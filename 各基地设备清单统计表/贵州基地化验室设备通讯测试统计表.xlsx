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panl\Desktop\"/>
    </mc:Choice>
  </mc:AlternateContent>
  <xr:revisionPtr revIDLastSave="0" documentId="13_ncr:1_{5164FC8D-AB11-42C3-9851-3DD4DDEA675F}" xr6:coauthVersionLast="47" xr6:coauthVersionMax="47" xr10:uidLastSave="{00000000-0000-0000-0000-000000000000}"/>
  <bookViews>
    <workbookView xWindow="2630" yWindow="590" windowWidth="29060" windowHeight="1594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2" l="1"/>
  <c r="D8" i="2"/>
  <c r="D4" i="2"/>
</calcChain>
</file>

<file path=xl/sharedStrings.xml><?xml version="1.0" encoding="utf-8"?>
<sst xmlns="http://schemas.openxmlformats.org/spreadsheetml/2006/main" count="207" uniqueCount="169">
  <si>
    <t>贵州基地化验室设备通讯测试统计表</t>
  </si>
  <si>
    <t>序号</t>
  </si>
  <si>
    <t>通讯测试结果</t>
  </si>
  <si>
    <t>设备名称</t>
  </si>
  <si>
    <t>型号</t>
  </si>
  <si>
    <t>供应商</t>
  </si>
  <si>
    <t>协助需求</t>
  </si>
  <si>
    <t>备用方案</t>
  </si>
  <si>
    <t>备注</t>
  </si>
  <si>
    <t>精密天平</t>
  </si>
  <si>
    <t>ME3002E</t>
  </si>
  <si>
    <t xml:space="preserve">METTLER TOLEDO  </t>
  </si>
  <si>
    <t>无</t>
  </si>
  <si>
    <t>ME2002E</t>
  </si>
  <si>
    <t>分析天平</t>
  </si>
  <si>
    <t>ME204E</t>
  </si>
  <si>
    <t>罐内涂膜完整性测定仪</t>
  </si>
  <si>
    <t>DER-400</t>
  </si>
  <si>
    <t>CanNeed嘉仪</t>
  </si>
  <si>
    <t>半自动罐内涂膜完整性测定仪</t>
  </si>
  <si>
    <t>CanNeed-MDER-C2</t>
  </si>
  <si>
    <t>EMS-200</t>
  </si>
  <si>
    <t>易开罐盖启破力全开力测定仪</t>
  </si>
  <si>
    <t>PTT-400</t>
  </si>
  <si>
    <t>紫外分光光度计</t>
  </si>
  <si>
    <t>U-2900</t>
  </si>
  <si>
    <t>HITACHI 日立</t>
  </si>
  <si>
    <t>高压灭菌锅</t>
  </si>
  <si>
    <t>SX-700</t>
  </si>
  <si>
    <t>TOMY</t>
  </si>
  <si>
    <t>手动移液枪</t>
  </si>
  <si>
    <t>Pipette 100-1000ul</t>
  </si>
  <si>
    <t>低温恒温培养箱</t>
  </si>
  <si>
    <t>MIR-254-PC</t>
  </si>
  <si>
    <t>恒温培养箱</t>
  </si>
  <si>
    <t>BD260</t>
  </si>
  <si>
    <t>罐后端尺寸自动检测仪</t>
  </si>
  <si>
    <t>BMS-1000</t>
  </si>
  <si>
    <t>原子荧光光度计</t>
  </si>
  <si>
    <t>AFS-9750</t>
  </si>
  <si>
    <t xml:space="preserve">海光仪器 </t>
  </si>
  <si>
    <t>需要供应商提供通讯协议并技术支持</t>
  </si>
  <si>
    <t>UV5</t>
  </si>
  <si>
    <t>台式酸度计</t>
  </si>
  <si>
    <t>S210</t>
  </si>
  <si>
    <t xml:space="preserve">METTLER TOLEDO   </t>
  </si>
  <si>
    <t>高效液相色谱</t>
  </si>
  <si>
    <t>1260 Infinity Ⅱ</t>
  </si>
  <si>
    <t xml:space="preserve">Agilent（安捷伦） </t>
  </si>
  <si>
    <t>气相色谱仪</t>
  </si>
  <si>
    <t>8860 GC</t>
  </si>
  <si>
    <t>酶标仪</t>
  </si>
  <si>
    <t>Infinite M200 Pro</t>
  </si>
  <si>
    <t>糖度计</t>
  </si>
  <si>
    <t>PR-201a</t>
  </si>
  <si>
    <t>ATAGO爱拓</t>
  </si>
  <si>
    <t>PR-101a</t>
  </si>
  <si>
    <t>折光/PH/电导率检测仪</t>
  </si>
  <si>
    <t>R4</t>
  </si>
  <si>
    <t>总酸滴定仪</t>
  </si>
  <si>
    <t>T5</t>
  </si>
  <si>
    <t>尘埃粒子计数器</t>
  </si>
  <si>
    <t>CW-HPC300</t>
  </si>
  <si>
    <t>hinaWay赛纳威</t>
  </si>
  <si>
    <t>密度计</t>
  </si>
  <si>
    <t>D4</t>
  </si>
  <si>
    <t>PH计</t>
  </si>
  <si>
    <t>sevenExcellence</t>
  </si>
  <si>
    <t>电热鼓风干燥箱</t>
  </si>
  <si>
    <t>BGZ-420</t>
  </si>
  <si>
    <t>MIR-154-PC</t>
  </si>
  <si>
    <t>高速台式全自动氨基酸分析仪</t>
  </si>
  <si>
    <t>LA8080</t>
  </si>
  <si>
    <t xml:space="preserve">HITACHI     </t>
  </si>
  <si>
    <t>近红外线检测仪</t>
  </si>
  <si>
    <t>PerkinElmer  LactoScope FT-B</t>
  </si>
  <si>
    <t>量筒</t>
  </si>
  <si>
    <t>UREX20</t>
  </si>
  <si>
    <t>生物显微镜</t>
  </si>
  <si>
    <t>CKX53</t>
  </si>
  <si>
    <t>OLYMPUS奥林巴斯</t>
  </si>
  <si>
    <t>螺旋测微仪</t>
  </si>
  <si>
    <t>103-137</t>
  </si>
  <si>
    <t>全自动卷边投影仪</t>
  </si>
  <si>
    <t>SeamSight®-B</t>
  </si>
  <si>
    <t>数显卡尺</t>
  </si>
  <si>
    <t>500-196-30</t>
  </si>
  <si>
    <t>螺旋千分尺</t>
  </si>
  <si>
    <t>147-202</t>
  </si>
  <si>
    <t>数显封盖密封性测定仪</t>
  </si>
  <si>
    <t>DSST-100</t>
  </si>
  <si>
    <t>便携式电导率仪</t>
  </si>
  <si>
    <r>
      <rPr>
        <sz val="11"/>
        <color theme="1"/>
        <rFont val="等线"/>
        <charset val="134"/>
        <scheme val="minor"/>
      </rPr>
      <t>S3</t>
    </r>
    <r>
      <rPr>
        <sz val="11"/>
        <color rgb="FFFF0000"/>
        <rFont val="等线"/>
        <charset val="134"/>
        <scheme val="minor"/>
      </rPr>
      <t>-meter</t>
    </r>
  </si>
  <si>
    <t>METTLER TOLEDO</t>
  </si>
  <si>
    <r>
      <rPr>
        <sz val="11"/>
        <color theme="1"/>
        <rFont val="等线"/>
        <charset val="134"/>
        <scheme val="minor"/>
      </rPr>
      <t>ClO</t>
    </r>
    <r>
      <rPr>
        <sz val="11"/>
        <color theme="1"/>
        <rFont val="Tahoma"/>
        <charset val="1"/>
      </rPr>
      <t>₂</t>
    </r>
    <r>
      <rPr>
        <sz val="11"/>
        <color theme="1"/>
        <rFont val="等线"/>
        <charset val="134"/>
        <scheme val="minor"/>
      </rPr>
      <t>+余氯检测仪</t>
    </r>
  </si>
  <si>
    <t>Palintest</t>
  </si>
  <si>
    <t>百灵达</t>
  </si>
  <si>
    <t>数显温度计</t>
  </si>
  <si>
    <t>testo 110</t>
  </si>
  <si>
    <t>铂钴色度测定仪</t>
  </si>
  <si>
    <t>H197727</t>
  </si>
  <si>
    <t>HANNA哈纳</t>
  </si>
  <si>
    <t>便携式红外测温仪</t>
  </si>
  <si>
    <t>TM330</t>
  </si>
  <si>
    <t>浮游菌检测仪</t>
  </si>
  <si>
    <t>MD8</t>
  </si>
  <si>
    <t>Sartorius赛多利斯</t>
  </si>
  <si>
    <t>膜盒压力表</t>
  </si>
  <si>
    <t>北京布莱迪仪器仪表</t>
  </si>
  <si>
    <t>OHAUS奥豪斯</t>
  </si>
  <si>
    <t>Scout系列</t>
  </si>
  <si>
    <t>网络需求：需要每间化验室有可以连接到AGV服务器的网络</t>
  </si>
  <si>
    <t>注：因现场设备有更换，具体设备数量和型号可能和现场有出入。</t>
  </si>
  <si>
    <t>设备数量</t>
  </si>
  <si>
    <t>需求</t>
  </si>
  <si>
    <t>采集方案</t>
  </si>
  <si>
    <t>采集方式</t>
  </si>
  <si>
    <t>测试成功</t>
  </si>
  <si>
    <t>实时采集</t>
  </si>
  <si>
    <t>增加智能网关</t>
  </si>
  <si>
    <t>/</t>
  </si>
  <si>
    <t>需协助</t>
  </si>
  <si>
    <t>待定</t>
  </si>
  <si>
    <t>文件导入/带入默认值/批量输入/半自动采集（即根据检测结果规律自动带入相同的部分，减少手动输入内容）</t>
  </si>
  <si>
    <t>可能需要签三方保密协议，具体需要和供应商沟通</t>
  </si>
  <si>
    <t>可能需要签三方保密协议（厂家、软件公司和贵单位），还要收费，具体需要和供应商沟通</t>
  </si>
  <si>
    <t>无法自动采集</t>
  </si>
  <si>
    <t>文件导入</t>
  </si>
  <si>
    <t>使用现场连接设备的电脑进行文件导入</t>
  </si>
  <si>
    <t>通讯接口被占用</t>
  </si>
  <si>
    <t>带入默认值/批量输入/半自动数据（即根据检测结果规律自动带入相同的部分，减少手动输入内容）</t>
  </si>
  <si>
    <t>手动输入</t>
  </si>
  <si>
    <t>设备无通讯接口</t>
  </si>
  <si>
    <t>注：1.文件导入方式需要按顺序进行检测样品，且单种设备文件内容和格式需要统一；
        2.因现场设备有更换，具体设备数量和型号可能和现场有出入。</t>
  </si>
  <si>
    <t>设备目前已连接电脑，设备数据传输只能软件和采集设备二选一，需和供应商进行确认是否可以两者兼容</t>
    <phoneticPr fontId="13" type="noConversion"/>
  </si>
  <si>
    <t>温湿度计</t>
    <phoneticPr fontId="13" type="noConversion"/>
  </si>
  <si>
    <t>Mar-11</t>
    <phoneticPr fontId="13" type="noConversion"/>
  </si>
  <si>
    <t>辅助设备</t>
    <phoneticPr fontId="13" type="noConversion"/>
  </si>
  <si>
    <t>其他</t>
    <phoneticPr fontId="13" type="noConversion"/>
  </si>
  <si>
    <t>无</t>
    <phoneticPr fontId="13" type="noConversion"/>
  </si>
  <si>
    <t>字段</t>
    <phoneticPr fontId="13" type="noConversion"/>
  </si>
  <si>
    <t>重金属</t>
    <phoneticPr fontId="13" type="noConversion"/>
  </si>
  <si>
    <t>Ph</t>
    <phoneticPr fontId="13" type="noConversion"/>
  </si>
  <si>
    <t>VB6、苹果酸、咖啡因、柠檬酸、胭脂红</t>
    <phoneticPr fontId="13" type="noConversion"/>
  </si>
  <si>
    <t>VB12</t>
    <phoneticPr fontId="13" type="noConversion"/>
  </si>
  <si>
    <t>肌醇</t>
    <phoneticPr fontId="13" type="noConversion"/>
  </si>
  <si>
    <t>糖度</t>
    <phoneticPr fontId="13" type="noConversion"/>
  </si>
  <si>
    <t>曲线图、ABS</t>
    <phoneticPr fontId="13" type="noConversion"/>
  </si>
  <si>
    <t>可溶性固体</t>
    <phoneticPr fontId="13" type="noConversion"/>
  </si>
  <si>
    <t>PH值</t>
    <phoneticPr fontId="13" type="noConversion"/>
  </si>
  <si>
    <t>使用频率低</t>
    <phoneticPr fontId="13" type="noConversion"/>
  </si>
  <si>
    <t>密度</t>
    <phoneticPr fontId="13" type="noConversion"/>
  </si>
  <si>
    <t>不出报告</t>
    <phoneticPr fontId="13" type="noConversion"/>
  </si>
  <si>
    <t>pH值</t>
    <phoneticPr fontId="13" type="noConversion"/>
  </si>
  <si>
    <t>带入默认值/批量输入/半自动数据（即根据检测结果规律自动带入相同的部分，减少手动输入内容）</t>
    <phoneticPr fontId="13" type="noConversion"/>
  </si>
  <si>
    <t>盖尺寸综合检测仪</t>
    <phoneticPr fontId="13" type="noConversion"/>
  </si>
  <si>
    <r>
      <rPr>
        <sz val="11"/>
        <color rgb="FFFF0000"/>
        <rFont val="等线"/>
        <family val="3"/>
        <charset val="134"/>
        <scheme val="minor"/>
      </rPr>
      <t>盖尺寸综合检测仪：</t>
    </r>
    <r>
      <rPr>
        <sz val="11"/>
        <color theme="1"/>
        <rFont val="等线"/>
        <family val="3"/>
        <charset val="134"/>
        <scheme val="minor"/>
      </rPr>
      <t>设备目前已连接电脑，设备数据传输只能软件和采集设备二选一，需和供应商进行确认是否可以两者兼容</t>
    </r>
    <phoneticPr fontId="15" type="noConversion"/>
  </si>
  <si>
    <t>型号数量</t>
    <phoneticPr fontId="15" type="noConversion"/>
  </si>
  <si>
    <t>数量占比</t>
    <phoneticPr fontId="15" type="noConversion"/>
  </si>
  <si>
    <t>1个字段设备种类</t>
    <phoneticPr fontId="15" type="noConversion"/>
  </si>
  <si>
    <t>贵州基地化验室设备通讯测总结</t>
    <phoneticPr fontId="15" type="noConversion"/>
  </si>
  <si>
    <t>无法数据采集</t>
    <phoneticPr fontId="13" type="noConversion"/>
  </si>
  <si>
    <t>需要协助</t>
    <phoneticPr fontId="13" type="noConversion"/>
  </si>
  <si>
    <t>可以实时采集</t>
    <phoneticPr fontId="13" type="noConversion"/>
  </si>
  <si>
    <t>无接口</t>
    <phoneticPr fontId="13" type="noConversion"/>
  </si>
  <si>
    <t>与广东协商计划使用文件导入</t>
    <phoneticPr fontId="13" type="noConversion"/>
  </si>
  <si>
    <t>接口已被电脑占用，计划使用文件导入</t>
    <phoneticPr fontId="13" type="noConversion"/>
  </si>
  <si>
    <t>已停用</t>
    <phoneticPr fontId="13" type="noConversion"/>
  </si>
  <si>
    <t>需要协议和技术支持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</si>
</sst>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7" x14ac:knownFonts="1">
    <font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6"/>
      <name val="等线"/>
      <charset val="134"/>
      <scheme val="minor"/>
    </font>
    <font>
      <b/>
      <sz val="16"/>
      <color rgb="FFFF0000"/>
      <name val="等线"/>
      <charset val="134"/>
      <scheme val="minor"/>
    </font>
    <font>
      <sz val="11"/>
      <color rgb="FF0070C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黑体"/>
      <charset val="134"/>
    </font>
    <font>
      <sz val="11"/>
      <color theme="1"/>
      <name val="Times New Roman"/>
      <family val="1"/>
    </font>
    <font>
      <sz val="11"/>
      <color theme="1"/>
      <name val="Tahoma"/>
      <charset val="1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6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14"/>
      <name val="等线"/>
      <family val="3"/>
      <charset val="134"/>
      <scheme val="minor"/>
    </font>
    <font>
      <sz val="14"/>
      <color theme="1"/>
      <name val="宋体"/>
      <family val="3"/>
      <charset val="134"/>
    </font>
    <font>
      <sz val="14"/>
      <name val="宋体"/>
      <family val="3"/>
      <charset val="134"/>
    </font>
    <font>
      <sz val="16"/>
      <color theme="1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2" fillId="0" borderId="1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176" fontId="0" fillId="0" borderId="6" xfId="0" applyNumberForma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vertical="center"/>
    </xf>
    <xf numFmtId="0" fontId="25" fillId="0" borderId="13" xfId="0" applyFont="1" applyBorder="1" applyAlignment="1">
      <alignment vertical="center"/>
    </xf>
    <xf numFmtId="0" fontId="24" fillId="0" borderId="10" xfId="0" applyFont="1" applyBorder="1" applyAlignment="1">
      <alignment horizontal="left" vertical="center"/>
    </xf>
    <xf numFmtId="49" fontId="14" fillId="0" borderId="0" xfId="0" applyNumberFormat="1" applyFont="1" applyAlignment="1">
      <alignment horizontal="center" vertical="center"/>
    </xf>
    <xf numFmtId="0" fontId="24" fillId="0" borderId="10" xfId="0" applyFont="1" applyBorder="1" applyAlignment="1">
      <alignment horizontal="left" vertical="center" wrapText="1"/>
    </xf>
    <xf numFmtId="0" fontId="23" fillId="8" borderId="13" xfId="0" applyFont="1" applyFill="1" applyBorder="1" applyAlignment="1">
      <alignment horizontal="left" vertical="center"/>
    </xf>
    <xf numFmtId="0" fontId="17" fillId="0" borderId="4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8" fillId="8" borderId="13" xfId="0" applyFont="1" applyFill="1" applyBorder="1" applyAlignment="1">
      <alignment horizontal="left" vertical="center"/>
    </xf>
    <xf numFmtId="0" fontId="18" fillId="8" borderId="21" xfId="0" applyFont="1" applyFill="1" applyBorder="1" applyAlignment="1">
      <alignment horizontal="left" vertical="center"/>
    </xf>
    <xf numFmtId="0" fontId="18" fillId="8" borderId="20" xfId="0" applyFont="1" applyFill="1" applyBorder="1" applyAlignment="1">
      <alignment horizontal="left" vertical="center"/>
    </xf>
    <xf numFmtId="0" fontId="26" fillId="0" borderId="21" xfId="0" applyFont="1" applyBorder="1" applyAlignment="1">
      <alignment horizontal="left" vertical="center"/>
    </xf>
    <xf numFmtId="0" fontId="26" fillId="0" borderId="20" xfId="0" applyFont="1" applyBorder="1" applyAlignment="1">
      <alignment horizontal="left" vertical="center"/>
    </xf>
    <xf numFmtId="0" fontId="24" fillId="0" borderId="12" xfId="0" applyFont="1" applyBorder="1" applyAlignment="1">
      <alignment horizontal="center" vertical="center" wrapText="1"/>
    </xf>
    <xf numFmtId="0" fontId="24" fillId="8" borderId="12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/>
    </xf>
    <xf numFmtId="0" fontId="6" fillId="8" borderId="12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16" fillId="8" borderId="6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0" fillId="3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64"/>
  <sheetViews>
    <sheetView topLeftCell="B1" zoomScaleNormal="100" workbookViewId="0">
      <pane xSplit="1" ySplit="3" topLeftCell="C4" activePane="bottomRight" state="frozen"/>
      <selection pane="topRight"/>
      <selection pane="bottomLeft"/>
      <selection pane="bottomRight" activeCell="H26" sqref="H26:H44"/>
    </sheetView>
  </sheetViews>
  <sheetFormatPr defaultColWidth="9" defaultRowHeight="14" x14ac:dyDescent="0.3"/>
  <cols>
    <col min="2" max="2" width="6.33203125" customWidth="1"/>
    <col min="3" max="3" width="12.25" customWidth="1"/>
    <col min="4" max="4" width="22.58203125" customWidth="1"/>
    <col min="5" max="5" width="18.83203125" customWidth="1"/>
    <col min="6" max="6" width="17.75" customWidth="1"/>
    <col min="7" max="7" width="13.25" customWidth="1"/>
    <col min="8" max="8" width="12.5" customWidth="1"/>
    <col min="9" max="9" width="24.75" customWidth="1"/>
    <col min="10" max="10" width="42.6640625" customWidth="1"/>
    <col min="11" max="11" width="21.83203125" customWidth="1"/>
  </cols>
  <sheetData>
    <row r="1" spans="2:10" ht="14.5" thickBot="1" x14ac:dyDescent="0.35"/>
    <row r="2" spans="2:10" ht="39.75" customHeight="1" x14ac:dyDescent="0.3">
      <c r="B2" s="64" t="s">
        <v>0</v>
      </c>
      <c r="C2" s="65"/>
      <c r="D2" s="65"/>
      <c r="E2" s="65"/>
      <c r="F2" s="65"/>
      <c r="G2" s="65"/>
      <c r="H2" s="65"/>
      <c r="I2" s="66"/>
      <c r="J2" s="67"/>
    </row>
    <row r="3" spans="2:10" s="1" customFormat="1" ht="25" customHeight="1" x14ac:dyDescent="0.3"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22" t="s">
        <v>140</v>
      </c>
      <c r="H3" s="3" t="s">
        <v>6</v>
      </c>
      <c r="I3" s="12" t="s">
        <v>7</v>
      </c>
      <c r="J3" s="9" t="s">
        <v>8</v>
      </c>
    </row>
    <row r="4" spans="2:10" s="1" customFormat="1" ht="25" customHeight="1" x14ac:dyDescent="0.3">
      <c r="B4" s="4">
        <v>1</v>
      </c>
      <c r="C4" s="78" t="s">
        <v>163</v>
      </c>
      <c r="D4" s="13" t="s">
        <v>9</v>
      </c>
      <c r="E4" s="13" t="s">
        <v>10</v>
      </c>
      <c r="F4" s="13" t="s">
        <v>11</v>
      </c>
      <c r="G4" s="56"/>
      <c r="H4" s="50" t="s">
        <v>12</v>
      </c>
      <c r="I4" s="50" t="s">
        <v>139</v>
      </c>
      <c r="J4" s="17"/>
    </row>
    <row r="5" spans="2:10" s="1" customFormat="1" ht="25" customHeight="1" x14ac:dyDescent="0.3">
      <c r="B5" s="4">
        <v>2</v>
      </c>
      <c r="C5" s="78"/>
      <c r="D5" s="13" t="s">
        <v>9</v>
      </c>
      <c r="E5" s="13" t="s">
        <v>13</v>
      </c>
      <c r="F5" s="13" t="s">
        <v>11</v>
      </c>
      <c r="G5" s="57"/>
      <c r="H5" s="51"/>
      <c r="I5" s="51"/>
      <c r="J5" s="29"/>
    </row>
    <row r="6" spans="2:10" s="1" customFormat="1" ht="25" customHeight="1" x14ac:dyDescent="0.3">
      <c r="B6" s="4">
        <v>3</v>
      </c>
      <c r="C6" s="78"/>
      <c r="D6" s="13" t="s">
        <v>14</v>
      </c>
      <c r="E6" s="13" t="s">
        <v>15</v>
      </c>
      <c r="F6" s="13" t="s">
        <v>11</v>
      </c>
      <c r="G6" s="57"/>
      <c r="H6" s="51"/>
      <c r="I6" s="51"/>
      <c r="J6" s="29"/>
    </row>
    <row r="7" spans="2:10" s="1" customFormat="1" ht="25" customHeight="1" x14ac:dyDescent="0.3">
      <c r="B7" s="4">
        <v>4</v>
      </c>
      <c r="C7" s="78"/>
      <c r="D7" s="13" t="s">
        <v>16</v>
      </c>
      <c r="E7" s="13" t="s">
        <v>17</v>
      </c>
      <c r="F7" s="13" t="s">
        <v>18</v>
      </c>
      <c r="G7" s="57"/>
      <c r="H7" s="51"/>
      <c r="I7" s="51"/>
      <c r="J7" s="29"/>
    </row>
    <row r="8" spans="2:10" s="1" customFormat="1" ht="33" customHeight="1" x14ac:dyDescent="0.3">
      <c r="B8" s="4">
        <v>5</v>
      </c>
      <c r="C8" s="78"/>
      <c r="D8" s="13" t="s">
        <v>19</v>
      </c>
      <c r="E8" s="13" t="s">
        <v>20</v>
      </c>
      <c r="F8" s="13" t="s">
        <v>18</v>
      </c>
      <c r="G8" s="57"/>
      <c r="H8" s="51"/>
      <c r="I8" s="51"/>
      <c r="J8" s="29"/>
    </row>
    <row r="9" spans="2:10" s="1" customFormat="1" ht="53.5" customHeight="1" x14ac:dyDescent="0.3">
      <c r="B9" s="4">
        <v>6</v>
      </c>
      <c r="C9" s="78"/>
      <c r="D9" s="26" t="s">
        <v>155</v>
      </c>
      <c r="E9" s="13" t="s">
        <v>21</v>
      </c>
      <c r="F9" s="13" t="s">
        <v>18</v>
      </c>
      <c r="G9" s="57"/>
      <c r="H9" s="51"/>
      <c r="I9" s="51"/>
      <c r="J9" s="35" t="s">
        <v>134</v>
      </c>
    </row>
    <row r="10" spans="2:10" s="1" customFormat="1" ht="25" customHeight="1" x14ac:dyDescent="0.3">
      <c r="B10" s="4">
        <v>7</v>
      </c>
      <c r="C10" s="78"/>
      <c r="D10" s="13" t="s">
        <v>22</v>
      </c>
      <c r="E10" s="13" t="s">
        <v>23</v>
      </c>
      <c r="F10" s="13" t="s">
        <v>18</v>
      </c>
      <c r="G10" s="57"/>
      <c r="H10" s="51"/>
      <c r="I10" s="51"/>
      <c r="J10" s="29"/>
    </row>
    <row r="11" spans="2:10" s="1" customFormat="1" ht="25" customHeight="1" x14ac:dyDescent="0.3">
      <c r="B11" s="4">
        <v>8</v>
      </c>
      <c r="C11" s="78"/>
      <c r="D11" s="13" t="s">
        <v>36</v>
      </c>
      <c r="E11" s="13" t="s">
        <v>37</v>
      </c>
      <c r="F11" s="13" t="s">
        <v>18</v>
      </c>
      <c r="G11" s="58"/>
      <c r="H11" s="52"/>
      <c r="I11" s="51"/>
      <c r="J11" s="29"/>
    </row>
    <row r="12" spans="2:10" s="1" customFormat="1" ht="25" customHeight="1" x14ac:dyDescent="0.3">
      <c r="B12" s="4">
        <v>9</v>
      </c>
      <c r="C12" s="53" t="s">
        <v>162</v>
      </c>
      <c r="D12" s="13" t="s">
        <v>24</v>
      </c>
      <c r="E12" s="13" t="s">
        <v>25</v>
      </c>
      <c r="F12" s="13" t="s">
        <v>26</v>
      </c>
      <c r="G12" s="24" t="s">
        <v>147</v>
      </c>
      <c r="H12" s="54" t="s">
        <v>41</v>
      </c>
      <c r="I12" s="49" t="s">
        <v>154</v>
      </c>
      <c r="J12" s="33" t="s">
        <v>165</v>
      </c>
    </row>
    <row r="13" spans="2:10" s="1" customFormat="1" ht="25" customHeight="1" x14ac:dyDescent="0.3">
      <c r="B13" s="4">
        <v>10</v>
      </c>
      <c r="C13" s="53"/>
      <c r="D13" s="13" t="s">
        <v>38</v>
      </c>
      <c r="E13" s="13" t="s">
        <v>39</v>
      </c>
      <c r="F13" s="13" t="s">
        <v>40</v>
      </c>
      <c r="G13" s="23" t="s">
        <v>141</v>
      </c>
      <c r="H13" s="44"/>
      <c r="I13" s="49"/>
      <c r="J13" s="30"/>
    </row>
    <row r="14" spans="2:10" s="1" customFormat="1" ht="25" customHeight="1" x14ac:dyDescent="0.3">
      <c r="B14" s="4">
        <v>11</v>
      </c>
      <c r="C14" s="53"/>
      <c r="D14" s="13" t="s">
        <v>24</v>
      </c>
      <c r="E14" s="13" t="s">
        <v>42</v>
      </c>
      <c r="F14" s="13" t="s">
        <v>11</v>
      </c>
      <c r="G14" s="23" t="s">
        <v>147</v>
      </c>
      <c r="H14" s="44"/>
      <c r="I14" s="49"/>
      <c r="J14" s="30"/>
    </row>
    <row r="15" spans="2:10" s="1" customFormat="1" ht="25" customHeight="1" x14ac:dyDescent="0.3">
      <c r="B15" s="4">
        <v>12</v>
      </c>
      <c r="C15" s="53"/>
      <c r="D15" s="13" t="s">
        <v>43</v>
      </c>
      <c r="E15" s="13" t="s">
        <v>44</v>
      </c>
      <c r="F15" s="13" t="s">
        <v>45</v>
      </c>
      <c r="G15" s="23" t="s">
        <v>142</v>
      </c>
      <c r="H15" s="44"/>
      <c r="I15" s="49"/>
      <c r="J15" s="30"/>
    </row>
    <row r="16" spans="2:10" s="1" customFormat="1" ht="41.5" customHeight="1" x14ac:dyDescent="0.3">
      <c r="B16" s="4">
        <v>13</v>
      </c>
      <c r="C16" s="53"/>
      <c r="D16" s="13" t="s">
        <v>46</v>
      </c>
      <c r="E16" s="13" t="s">
        <v>47</v>
      </c>
      <c r="F16" s="13" t="s">
        <v>48</v>
      </c>
      <c r="G16" s="23" t="s">
        <v>143</v>
      </c>
      <c r="H16" s="44"/>
      <c r="I16" s="49"/>
      <c r="J16" s="31"/>
    </row>
    <row r="17" spans="2:10" s="1" customFormat="1" ht="25" customHeight="1" x14ac:dyDescent="0.3">
      <c r="B17" s="4">
        <v>14</v>
      </c>
      <c r="C17" s="53"/>
      <c r="D17" s="13" t="s">
        <v>49</v>
      </c>
      <c r="E17" s="13" t="s">
        <v>50</v>
      </c>
      <c r="F17" s="13" t="s">
        <v>48</v>
      </c>
      <c r="G17" s="23" t="s">
        <v>145</v>
      </c>
      <c r="H17" s="44"/>
      <c r="I17" s="49"/>
      <c r="J17" s="31"/>
    </row>
    <row r="18" spans="2:10" s="1" customFormat="1" ht="25" customHeight="1" x14ac:dyDescent="0.3">
      <c r="B18" s="4">
        <v>15</v>
      </c>
      <c r="C18" s="53"/>
      <c r="D18" s="13" t="s">
        <v>51</v>
      </c>
      <c r="E18" s="13" t="s">
        <v>52</v>
      </c>
      <c r="F18" s="13"/>
      <c r="G18" s="23" t="s">
        <v>144</v>
      </c>
      <c r="H18" s="44"/>
      <c r="I18" s="49"/>
      <c r="J18" s="31"/>
    </row>
    <row r="19" spans="2:10" s="1" customFormat="1" ht="25" customHeight="1" x14ac:dyDescent="0.3">
      <c r="B19" s="4">
        <v>16</v>
      </c>
      <c r="C19" s="53"/>
      <c r="D19" s="13" t="s">
        <v>53</v>
      </c>
      <c r="E19" s="13" t="s">
        <v>54</v>
      </c>
      <c r="F19" s="13" t="s">
        <v>55</v>
      </c>
      <c r="G19" s="23" t="s">
        <v>146</v>
      </c>
      <c r="H19" s="44"/>
      <c r="I19" s="49"/>
      <c r="J19" s="31"/>
    </row>
    <row r="20" spans="2:10" s="1" customFormat="1" ht="25" customHeight="1" x14ac:dyDescent="0.3">
      <c r="B20" s="4">
        <v>17</v>
      </c>
      <c r="C20" s="53"/>
      <c r="D20" s="13" t="s">
        <v>53</v>
      </c>
      <c r="E20" s="13" t="s">
        <v>56</v>
      </c>
      <c r="F20" s="13" t="s">
        <v>55</v>
      </c>
      <c r="G20" s="23" t="s">
        <v>146</v>
      </c>
      <c r="H20" s="44"/>
      <c r="I20" s="49"/>
      <c r="J20" s="31"/>
    </row>
    <row r="21" spans="2:10" s="1" customFormat="1" ht="25" customHeight="1" x14ac:dyDescent="0.3">
      <c r="B21" s="4">
        <v>18</v>
      </c>
      <c r="C21" s="53"/>
      <c r="D21" s="13" t="s">
        <v>57</v>
      </c>
      <c r="E21" s="13" t="s">
        <v>58</v>
      </c>
      <c r="F21" s="13" t="s">
        <v>11</v>
      </c>
      <c r="G21" s="23" t="s">
        <v>148</v>
      </c>
      <c r="H21" s="44"/>
      <c r="I21" s="49"/>
      <c r="J21" s="31"/>
    </row>
    <row r="22" spans="2:10" s="1" customFormat="1" ht="25" customHeight="1" x14ac:dyDescent="0.3">
      <c r="B22" s="4">
        <v>19</v>
      </c>
      <c r="C22" s="53"/>
      <c r="D22" s="13" t="s">
        <v>59</v>
      </c>
      <c r="E22" s="13" t="s">
        <v>60</v>
      </c>
      <c r="F22" s="13" t="s">
        <v>11</v>
      </c>
      <c r="G22" s="23" t="s">
        <v>149</v>
      </c>
      <c r="H22" s="44"/>
      <c r="I22" s="49"/>
      <c r="J22" s="31" t="s">
        <v>150</v>
      </c>
    </row>
    <row r="23" spans="2:10" s="1" customFormat="1" ht="25" customHeight="1" x14ac:dyDescent="0.3">
      <c r="B23" s="4">
        <v>20</v>
      </c>
      <c r="C23" s="53"/>
      <c r="D23" s="13" t="s">
        <v>61</v>
      </c>
      <c r="E23" s="13" t="s">
        <v>62</v>
      </c>
      <c r="F23" s="13" t="s">
        <v>63</v>
      </c>
      <c r="G23" s="21"/>
      <c r="H23" s="44"/>
      <c r="I23" s="49"/>
      <c r="J23" s="31"/>
    </row>
    <row r="24" spans="2:10" s="1" customFormat="1" ht="25" customHeight="1" x14ac:dyDescent="0.3">
      <c r="B24" s="4">
        <v>21</v>
      </c>
      <c r="C24" s="53"/>
      <c r="D24" s="13" t="s">
        <v>64</v>
      </c>
      <c r="E24" s="13" t="s">
        <v>65</v>
      </c>
      <c r="F24" s="13" t="s">
        <v>11</v>
      </c>
      <c r="G24" s="23" t="s">
        <v>151</v>
      </c>
      <c r="H24" s="44"/>
      <c r="I24" s="49"/>
      <c r="J24" s="31" t="s">
        <v>152</v>
      </c>
    </row>
    <row r="25" spans="2:10" s="1" customFormat="1" ht="25" customHeight="1" x14ac:dyDescent="0.3">
      <c r="B25" s="4">
        <v>22</v>
      </c>
      <c r="C25" s="53"/>
      <c r="D25" s="13" t="s">
        <v>66</v>
      </c>
      <c r="E25" s="13" t="s">
        <v>67</v>
      </c>
      <c r="F25" s="13" t="s">
        <v>11</v>
      </c>
      <c r="G25" s="25" t="s">
        <v>153</v>
      </c>
      <c r="H25" s="55"/>
      <c r="I25" s="49"/>
      <c r="J25" s="31"/>
    </row>
    <row r="26" spans="2:10" s="1" customFormat="1" ht="34.5" customHeight="1" x14ac:dyDescent="0.3">
      <c r="B26" s="4">
        <v>23</v>
      </c>
      <c r="C26" s="75" t="s">
        <v>161</v>
      </c>
      <c r="D26" s="13" t="s">
        <v>83</v>
      </c>
      <c r="E26" s="28" t="s">
        <v>84</v>
      </c>
      <c r="F26" s="13" t="s">
        <v>18</v>
      </c>
      <c r="G26" s="59"/>
      <c r="H26" s="44" t="s">
        <v>139</v>
      </c>
      <c r="I26" s="49" t="s">
        <v>154</v>
      </c>
      <c r="J26" s="32" t="s">
        <v>166</v>
      </c>
    </row>
    <row r="27" spans="2:10" s="1" customFormat="1" ht="34.5" customHeight="1" x14ac:dyDescent="0.3">
      <c r="B27" s="4">
        <v>24</v>
      </c>
      <c r="C27" s="75"/>
      <c r="D27" s="13" t="s">
        <v>71</v>
      </c>
      <c r="E27" s="28" t="s">
        <v>72</v>
      </c>
      <c r="F27" s="13" t="s">
        <v>73</v>
      </c>
      <c r="G27" s="60"/>
      <c r="H27" s="44"/>
      <c r="I27" s="49"/>
      <c r="J27" s="42" t="s">
        <v>164</v>
      </c>
    </row>
    <row r="28" spans="2:10" s="1" customFormat="1" ht="34.5" customHeight="1" x14ac:dyDescent="0.3">
      <c r="B28" s="4">
        <v>25</v>
      </c>
      <c r="C28" s="75"/>
      <c r="D28" s="13" t="s">
        <v>74</v>
      </c>
      <c r="E28" s="28" t="s">
        <v>75</v>
      </c>
      <c r="F28" s="13"/>
      <c r="G28" s="60"/>
      <c r="H28" s="44"/>
      <c r="I28" s="49"/>
      <c r="J28" s="42"/>
    </row>
    <row r="29" spans="2:10" s="1" customFormat="1" ht="34.5" customHeight="1" x14ac:dyDescent="0.3">
      <c r="B29" s="4">
        <v>26</v>
      </c>
      <c r="C29" s="75"/>
      <c r="D29" s="13" t="s">
        <v>76</v>
      </c>
      <c r="E29" s="28" t="s">
        <v>77</v>
      </c>
      <c r="F29" s="13"/>
      <c r="G29" s="60"/>
      <c r="H29" s="44"/>
      <c r="I29" s="49"/>
      <c r="J29" s="42"/>
    </row>
    <row r="30" spans="2:10" s="1" customFormat="1" ht="34.5" customHeight="1" x14ac:dyDescent="0.3">
      <c r="B30" s="4">
        <v>27</v>
      </c>
      <c r="C30" s="75"/>
      <c r="D30" s="13" t="s">
        <v>78</v>
      </c>
      <c r="E30" s="28" t="s">
        <v>79</v>
      </c>
      <c r="F30" s="13" t="s">
        <v>80</v>
      </c>
      <c r="G30" s="60"/>
      <c r="H30" s="44"/>
      <c r="I30" s="49"/>
      <c r="J30" s="42"/>
    </row>
    <row r="31" spans="2:10" s="1" customFormat="1" ht="34.5" customHeight="1" x14ac:dyDescent="0.3">
      <c r="B31" s="4">
        <v>28</v>
      </c>
      <c r="C31" s="75"/>
      <c r="D31" s="13" t="s">
        <v>81</v>
      </c>
      <c r="E31" s="28" t="s">
        <v>82</v>
      </c>
      <c r="F31" s="13"/>
      <c r="G31" s="60"/>
      <c r="H31" s="44"/>
      <c r="I31" s="49"/>
      <c r="J31" s="42"/>
    </row>
    <row r="32" spans="2:10" s="1" customFormat="1" ht="34.5" customHeight="1" x14ac:dyDescent="0.3">
      <c r="B32" s="4">
        <v>29</v>
      </c>
      <c r="C32" s="75"/>
      <c r="D32" s="18" t="s">
        <v>135</v>
      </c>
      <c r="E32" s="34" t="s">
        <v>136</v>
      </c>
      <c r="F32" s="13"/>
      <c r="G32" s="60"/>
      <c r="H32" s="44"/>
      <c r="I32" s="49"/>
      <c r="J32" s="42"/>
    </row>
    <row r="33" spans="2:10" s="1" customFormat="1" ht="34.5" customHeight="1" x14ac:dyDescent="0.3">
      <c r="B33" s="4">
        <v>30</v>
      </c>
      <c r="C33" s="75"/>
      <c r="D33" s="13" t="s">
        <v>81</v>
      </c>
      <c r="E33" s="28" t="s">
        <v>82</v>
      </c>
      <c r="F33" s="13"/>
      <c r="G33" s="60"/>
      <c r="H33" s="44"/>
      <c r="I33" s="49"/>
      <c r="J33" s="42"/>
    </row>
    <row r="34" spans="2:10" s="1" customFormat="1" ht="34.5" customHeight="1" x14ac:dyDescent="0.3">
      <c r="B34" s="4">
        <v>31</v>
      </c>
      <c r="C34" s="75"/>
      <c r="D34" s="13" t="s">
        <v>85</v>
      </c>
      <c r="E34" s="13" t="s">
        <v>86</v>
      </c>
      <c r="F34" s="13"/>
      <c r="G34" s="60"/>
      <c r="H34" s="44"/>
      <c r="I34" s="49"/>
      <c r="J34" s="42"/>
    </row>
    <row r="35" spans="2:10" s="1" customFormat="1" ht="34.5" customHeight="1" x14ac:dyDescent="0.3">
      <c r="B35" s="4">
        <v>32</v>
      </c>
      <c r="C35" s="75"/>
      <c r="D35" s="13" t="s">
        <v>87</v>
      </c>
      <c r="E35" s="13" t="s">
        <v>88</v>
      </c>
      <c r="F35" s="13"/>
      <c r="G35" s="60"/>
      <c r="H35" s="44"/>
      <c r="I35" s="49"/>
      <c r="J35" s="42"/>
    </row>
    <row r="36" spans="2:10" s="1" customFormat="1" ht="34.5" customHeight="1" x14ac:dyDescent="0.3">
      <c r="B36" s="4">
        <v>33</v>
      </c>
      <c r="C36" s="75"/>
      <c r="D36" s="13" t="s">
        <v>89</v>
      </c>
      <c r="E36" s="13" t="s">
        <v>90</v>
      </c>
      <c r="F36" s="13" t="s">
        <v>18</v>
      </c>
      <c r="G36" s="60"/>
      <c r="H36" s="44"/>
      <c r="I36" s="49"/>
      <c r="J36" s="42"/>
    </row>
    <row r="37" spans="2:10" s="1" customFormat="1" ht="34.5" customHeight="1" x14ac:dyDescent="0.3">
      <c r="B37" s="4">
        <v>34</v>
      </c>
      <c r="C37" s="75"/>
      <c r="D37" s="13" t="s">
        <v>91</v>
      </c>
      <c r="E37" s="13" t="s">
        <v>92</v>
      </c>
      <c r="F37" s="13" t="s">
        <v>93</v>
      </c>
      <c r="G37" s="60"/>
      <c r="H37" s="44"/>
      <c r="I37" s="49"/>
      <c r="J37" s="42"/>
    </row>
    <row r="38" spans="2:10" s="1" customFormat="1" ht="34.5" customHeight="1" x14ac:dyDescent="0.3">
      <c r="B38" s="4">
        <v>35</v>
      </c>
      <c r="C38" s="75"/>
      <c r="D38" s="13" t="s">
        <v>94</v>
      </c>
      <c r="E38" s="13" t="s">
        <v>95</v>
      </c>
      <c r="F38" s="13" t="s">
        <v>96</v>
      </c>
      <c r="G38" s="60"/>
      <c r="H38" s="44"/>
      <c r="I38" s="49"/>
      <c r="J38" s="42"/>
    </row>
    <row r="39" spans="2:10" s="1" customFormat="1" ht="34.5" customHeight="1" x14ac:dyDescent="0.3">
      <c r="B39" s="4">
        <v>36</v>
      </c>
      <c r="C39" s="75"/>
      <c r="D39" s="13" t="s">
        <v>97</v>
      </c>
      <c r="E39" s="13" t="s">
        <v>98</v>
      </c>
      <c r="F39" s="13"/>
      <c r="G39" s="60"/>
      <c r="H39" s="44"/>
      <c r="I39" s="49"/>
      <c r="J39" s="42"/>
    </row>
    <row r="40" spans="2:10" s="1" customFormat="1" ht="34.5" customHeight="1" x14ac:dyDescent="0.3">
      <c r="B40" s="4">
        <v>37</v>
      </c>
      <c r="C40" s="75"/>
      <c r="D40" s="13" t="s">
        <v>99</v>
      </c>
      <c r="E40" s="13" t="s">
        <v>100</v>
      </c>
      <c r="F40" s="13" t="s">
        <v>101</v>
      </c>
      <c r="G40" s="60"/>
      <c r="H40" s="44"/>
      <c r="I40" s="49"/>
      <c r="J40" s="42"/>
    </row>
    <row r="41" spans="2:10" s="1" customFormat="1" ht="34.5" customHeight="1" x14ac:dyDescent="0.3">
      <c r="B41" s="4">
        <v>38</v>
      </c>
      <c r="C41" s="75"/>
      <c r="D41" s="13" t="s">
        <v>102</v>
      </c>
      <c r="E41" s="13" t="s">
        <v>103</v>
      </c>
      <c r="F41" s="13"/>
      <c r="G41" s="60"/>
      <c r="H41" s="44"/>
      <c r="I41" s="49"/>
      <c r="J41" s="42"/>
    </row>
    <row r="42" spans="2:10" s="1" customFormat="1" ht="34.5" customHeight="1" x14ac:dyDescent="0.3">
      <c r="B42" s="4">
        <v>39</v>
      </c>
      <c r="C42" s="75"/>
      <c r="D42" s="13" t="s">
        <v>104</v>
      </c>
      <c r="E42" s="13" t="s">
        <v>105</v>
      </c>
      <c r="F42" s="13" t="s">
        <v>106</v>
      </c>
      <c r="G42" s="60"/>
      <c r="H42" s="44"/>
      <c r="I42" s="49"/>
      <c r="J42" s="42"/>
    </row>
    <row r="43" spans="2:10" s="1" customFormat="1" ht="34.5" customHeight="1" x14ac:dyDescent="0.3">
      <c r="B43" s="4">
        <v>40</v>
      </c>
      <c r="C43" s="75"/>
      <c r="D43" s="13" t="s">
        <v>76</v>
      </c>
      <c r="E43" s="13" t="s">
        <v>77</v>
      </c>
      <c r="F43" s="13"/>
      <c r="G43" s="60"/>
      <c r="H43" s="44"/>
      <c r="I43" s="49"/>
      <c r="J43" s="42"/>
    </row>
    <row r="44" spans="2:10" s="1" customFormat="1" ht="34.5" customHeight="1" x14ac:dyDescent="0.3">
      <c r="B44" s="4">
        <v>41</v>
      </c>
      <c r="C44" s="75"/>
      <c r="D44" s="14" t="s">
        <v>107</v>
      </c>
      <c r="E44" s="14"/>
      <c r="F44" s="14" t="s">
        <v>108</v>
      </c>
      <c r="G44" s="60"/>
      <c r="H44" s="44"/>
      <c r="I44" s="49"/>
      <c r="J44" s="43"/>
    </row>
    <row r="45" spans="2:10" s="1" customFormat="1" ht="34.5" customHeight="1" x14ac:dyDescent="0.3">
      <c r="B45" s="4">
        <v>42</v>
      </c>
      <c r="C45" s="76" t="s">
        <v>138</v>
      </c>
      <c r="D45" s="19" t="s">
        <v>27</v>
      </c>
      <c r="E45" s="19" t="s">
        <v>28</v>
      </c>
      <c r="F45" s="19" t="s">
        <v>29</v>
      </c>
      <c r="G45" s="61" t="s">
        <v>139</v>
      </c>
      <c r="H45" s="45"/>
      <c r="I45" s="46"/>
      <c r="J45" s="39" t="s">
        <v>137</v>
      </c>
    </row>
    <row r="46" spans="2:10" s="1" customFormat="1" ht="34.5" customHeight="1" x14ac:dyDescent="0.3">
      <c r="B46" s="4">
        <v>43</v>
      </c>
      <c r="C46" s="77"/>
      <c r="D46" s="19" t="s">
        <v>30</v>
      </c>
      <c r="E46" s="19" t="s">
        <v>31</v>
      </c>
      <c r="F46" s="19"/>
      <c r="G46" s="62"/>
      <c r="H46" s="45"/>
      <c r="I46" s="47"/>
      <c r="J46" s="40"/>
    </row>
    <row r="47" spans="2:10" s="1" customFormat="1" ht="34.5" customHeight="1" x14ac:dyDescent="0.3">
      <c r="B47" s="4">
        <v>44</v>
      </c>
      <c r="C47" s="77"/>
      <c r="D47" s="19" t="s">
        <v>32</v>
      </c>
      <c r="E47" s="19" t="s">
        <v>33</v>
      </c>
      <c r="F47" s="19"/>
      <c r="G47" s="62"/>
      <c r="H47" s="45"/>
      <c r="I47" s="47"/>
      <c r="J47" s="40"/>
    </row>
    <row r="48" spans="2:10" s="1" customFormat="1" ht="34.5" customHeight="1" x14ac:dyDescent="0.3">
      <c r="B48" s="4">
        <v>45</v>
      </c>
      <c r="C48" s="77"/>
      <c r="D48" s="19" t="s">
        <v>34</v>
      </c>
      <c r="E48" s="19" t="s">
        <v>35</v>
      </c>
      <c r="F48" s="19"/>
      <c r="G48" s="62"/>
      <c r="H48" s="45"/>
      <c r="I48" s="47"/>
      <c r="J48" s="40"/>
    </row>
    <row r="49" spans="2:10" s="1" customFormat="1" ht="34.5" customHeight="1" x14ac:dyDescent="0.3">
      <c r="B49" s="4">
        <v>46</v>
      </c>
      <c r="C49" s="77"/>
      <c r="D49" s="19" t="s">
        <v>68</v>
      </c>
      <c r="E49" s="19" t="s">
        <v>69</v>
      </c>
      <c r="F49" s="19"/>
      <c r="G49" s="62"/>
      <c r="H49" s="45"/>
      <c r="I49" s="47"/>
      <c r="J49" s="40"/>
    </row>
    <row r="50" spans="2:10" s="1" customFormat="1" ht="34.5" customHeight="1" x14ac:dyDescent="0.3">
      <c r="B50" s="4">
        <v>47</v>
      </c>
      <c r="C50" s="77"/>
      <c r="D50" s="19" t="s">
        <v>32</v>
      </c>
      <c r="E50" s="19" t="s">
        <v>70</v>
      </c>
      <c r="F50" s="19"/>
      <c r="G50" s="62"/>
      <c r="H50" s="45"/>
      <c r="I50" s="47"/>
      <c r="J50" s="41"/>
    </row>
    <row r="51" spans="2:10" s="1" customFormat="1" ht="34.5" customHeight="1" x14ac:dyDescent="0.3">
      <c r="B51" s="4">
        <v>48</v>
      </c>
      <c r="C51" s="77"/>
      <c r="D51" s="20" t="s">
        <v>109</v>
      </c>
      <c r="E51" s="19">
        <v>2</v>
      </c>
      <c r="F51" s="19" t="s">
        <v>110</v>
      </c>
      <c r="G51" s="63"/>
      <c r="H51" s="45"/>
      <c r="I51" s="48"/>
      <c r="J51" s="36" t="s">
        <v>167</v>
      </c>
    </row>
    <row r="52" spans="2:10" s="1" customFormat="1" ht="34.5" customHeight="1" x14ac:dyDescent="0.3">
      <c r="B52" s="68" t="s">
        <v>111</v>
      </c>
      <c r="C52" s="69"/>
      <c r="D52" s="69"/>
      <c r="E52" s="69"/>
      <c r="F52" s="69"/>
      <c r="G52" s="69"/>
      <c r="H52" s="69"/>
      <c r="I52" s="70"/>
      <c r="J52" s="71"/>
    </row>
    <row r="53" spans="2:10" s="1" customFormat="1" ht="25" customHeight="1" thickBot="1" x14ac:dyDescent="0.35">
      <c r="B53" s="72" t="s">
        <v>112</v>
      </c>
      <c r="C53" s="73"/>
      <c r="D53" s="73"/>
      <c r="E53" s="73"/>
      <c r="F53" s="73"/>
      <c r="G53" s="73"/>
      <c r="H53" s="73"/>
      <c r="I53" s="73"/>
      <c r="J53" s="74"/>
    </row>
    <row r="54" spans="2:10" s="1" customFormat="1" ht="25" customHeight="1" x14ac:dyDescent="0.3">
      <c r="D54" s="15"/>
      <c r="E54" s="16"/>
    </row>
    <row r="55" spans="2:10" s="1" customFormat="1" ht="25" customHeight="1" x14ac:dyDescent="0.3"/>
    <row r="56" spans="2:10" s="1" customFormat="1" ht="25" customHeight="1" x14ac:dyDescent="0.3"/>
    <row r="57" spans="2:10" s="1" customFormat="1" ht="25" customHeight="1" x14ac:dyDescent="0.3"/>
    <row r="58" spans="2:10" s="1" customFormat="1" ht="25" customHeight="1" x14ac:dyDescent="0.3"/>
    <row r="59" spans="2:10" s="1" customFormat="1" ht="25" customHeight="1" x14ac:dyDescent="0.3"/>
    <row r="60" spans="2:10" s="1" customFormat="1" ht="25" customHeight="1" x14ac:dyDescent="0.3"/>
    <row r="61" spans="2:10" s="1" customFormat="1" ht="25" customHeight="1" x14ac:dyDescent="0.3"/>
    <row r="62" spans="2:10" s="1" customFormat="1" ht="25" customHeight="1" x14ac:dyDescent="0.3"/>
    <row r="63" spans="2:10" s="1" customFormat="1" ht="25" customHeight="1" x14ac:dyDescent="0.3"/>
    <row r="64" spans="2:10" s="1" customFormat="1" ht="25" customHeight="1" x14ac:dyDescent="0.3"/>
  </sheetData>
  <mergeCells count="20">
    <mergeCell ref="G45:G51"/>
    <mergeCell ref="B2:J2"/>
    <mergeCell ref="B52:J52"/>
    <mergeCell ref="B53:J53"/>
    <mergeCell ref="C26:C44"/>
    <mergeCell ref="C45:C51"/>
    <mergeCell ref="C4:C11"/>
    <mergeCell ref="I4:I11"/>
    <mergeCell ref="I12:I25"/>
    <mergeCell ref="I26:I44"/>
    <mergeCell ref="H4:H11"/>
    <mergeCell ref="C12:C25"/>
    <mergeCell ref="H12:H25"/>
    <mergeCell ref="G4:G11"/>
    <mergeCell ref="G26:G44"/>
    <mergeCell ref="J45:J50"/>
    <mergeCell ref="J27:J44"/>
    <mergeCell ref="H26:H44"/>
    <mergeCell ref="H45:H51"/>
    <mergeCell ref="I45:I51"/>
  </mergeCells>
  <phoneticPr fontId="13" type="noConversion"/>
  <pageMargins left="0.25" right="0.25" top="0.75" bottom="0.75" header="0.3" footer="0.3"/>
  <pageSetup paperSize="9" scale="5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V23"/>
  <sheetViews>
    <sheetView tabSelected="1" workbookViewId="0">
      <selection activeCell="H5" sqref="H5:H7"/>
    </sheetView>
  </sheetViews>
  <sheetFormatPr defaultColWidth="9" defaultRowHeight="14" x14ac:dyDescent="0.3"/>
  <cols>
    <col min="1" max="1" width="9" style="1"/>
    <col min="2" max="2" width="13.33203125" customWidth="1"/>
    <col min="3" max="5" width="9.08203125" customWidth="1"/>
    <col min="6" max="6" width="17.33203125" customWidth="1"/>
    <col min="7" max="7" width="28.9140625" customWidth="1"/>
    <col min="8" max="8" width="19.83203125" customWidth="1"/>
    <col min="9" max="9" width="11" customWidth="1"/>
    <col min="10" max="10" width="14.75" customWidth="1"/>
    <col min="11" max="11" width="39.08203125" customWidth="1"/>
  </cols>
  <sheetData>
    <row r="2" spans="1:22" ht="38.25" customHeight="1" x14ac:dyDescent="0.3">
      <c r="A2" s="96" t="s">
        <v>160</v>
      </c>
      <c r="B2" s="65"/>
      <c r="C2" s="65"/>
      <c r="D2" s="65"/>
      <c r="E2" s="65"/>
      <c r="F2" s="65"/>
      <c r="G2" s="65"/>
      <c r="H2" s="65"/>
      <c r="I2" s="65"/>
      <c r="J2" s="65"/>
      <c r="K2" s="67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34" customHeight="1" x14ac:dyDescent="0.3">
      <c r="A3" s="2" t="s">
        <v>1</v>
      </c>
      <c r="B3" s="3" t="s">
        <v>2</v>
      </c>
      <c r="C3" s="3" t="s">
        <v>113</v>
      </c>
      <c r="D3" s="22" t="s">
        <v>158</v>
      </c>
      <c r="E3" s="22" t="s">
        <v>157</v>
      </c>
      <c r="F3" s="3" t="s">
        <v>114</v>
      </c>
      <c r="G3" s="3" t="s">
        <v>115</v>
      </c>
      <c r="H3" s="3" t="s">
        <v>116</v>
      </c>
      <c r="I3" s="37" t="s">
        <v>159</v>
      </c>
      <c r="J3" s="3" t="s">
        <v>7</v>
      </c>
      <c r="K3" s="9" t="s">
        <v>8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60" customHeight="1" x14ac:dyDescent="0.3">
      <c r="A4" s="4">
        <v>1</v>
      </c>
      <c r="B4" s="5" t="s">
        <v>117</v>
      </c>
      <c r="C4" s="6">
        <v>10</v>
      </c>
      <c r="D4" s="27">
        <f>C4/(C4+C5+C8)</f>
        <v>0.19230769230769232</v>
      </c>
      <c r="E4" s="10">
        <v>8</v>
      </c>
      <c r="F4" s="6" t="s">
        <v>12</v>
      </c>
      <c r="G4" s="6" t="s">
        <v>118</v>
      </c>
      <c r="H4" s="10" t="s">
        <v>119</v>
      </c>
      <c r="I4" s="10" t="s">
        <v>120</v>
      </c>
      <c r="J4" s="6" t="s">
        <v>12</v>
      </c>
      <c r="K4" s="38" t="s">
        <v>156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30" customHeight="1" x14ac:dyDescent="0.3">
      <c r="A5" s="79">
        <v>2</v>
      </c>
      <c r="B5" s="100" t="s">
        <v>121</v>
      </c>
      <c r="C5" s="95">
        <v>20</v>
      </c>
      <c r="D5" s="86">
        <f>C5/(C4+C5+C8)</f>
        <v>0.38461538461538464</v>
      </c>
      <c r="E5" s="89">
        <v>14</v>
      </c>
      <c r="F5" s="83" t="s">
        <v>168</v>
      </c>
      <c r="G5" s="95" t="s">
        <v>122</v>
      </c>
      <c r="H5" s="95" t="s">
        <v>119</v>
      </c>
      <c r="I5" s="89">
        <v>10</v>
      </c>
      <c r="J5" s="94" t="s">
        <v>123</v>
      </c>
      <c r="K5" s="81" t="s">
        <v>124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30" customHeight="1" x14ac:dyDescent="0.3">
      <c r="A6" s="80"/>
      <c r="B6" s="100"/>
      <c r="C6" s="95"/>
      <c r="D6" s="87"/>
      <c r="E6" s="90"/>
      <c r="F6" s="84"/>
      <c r="G6" s="95"/>
      <c r="H6" s="95"/>
      <c r="I6" s="90"/>
      <c r="J6" s="94"/>
      <c r="K6" s="82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60" customHeight="1" x14ac:dyDescent="0.3">
      <c r="A7" s="4">
        <v>3</v>
      </c>
      <c r="B7" s="100"/>
      <c r="C7" s="95"/>
      <c r="D7" s="88"/>
      <c r="E7" s="91"/>
      <c r="F7" s="85"/>
      <c r="G7" s="95"/>
      <c r="H7" s="95"/>
      <c r="I7" s="91"/>
      <c r="J7" s="94"/>
      <c r="K7" s="11" t="s">
        <v>125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60" customHeight="1" x14ac:dyDescent="0.3">
      <c r="A8" s="4">
        <v>4</v>
      </c>
      <c r="B8" s="101" t="s">
        <v>126</v>
      </c>
      <c r="C8" s="95">
        <v>22</v>
      </c>
      <c r="D8" s="86">
        <f>C8/(C4+C5+C8)</f>
        <v>0.42307692307692307</v>
      </c>
      <c r="E8" s="89">
        <v>19</v>
      </c>
      <c r="F8" s="95" t="s">
        <v>12</v>
      </c>
      <c r="G8" s="6" t="s">
        <v>127</v>
      </c>
      <c r="H8" s="7" t="s">
        <v>128</v>
      </c>
      <c r="I8" s="92" t="s">
        <v>120</v>
      </c>
      <c r="J8" s="95" t="s">
        <v>12</v>
      </c>
      <c r="K8" s="11" t="s">
        <v>129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60" customHeight="1" x14ac:dyDescent="0.3">
      <c r="A9" s="4">
        <v>5</v>
      </c>
      <c r="B9" s="101"/>
      <c r="C9" s="95"/>
      <c r="D9" s="88"/>
      <c r="E9" s="91"/>
      <c r="F9" s="95"/>
      <c r="G9" s="8" t="s">
        <v>130</v>
      </c>
      <c r="H9" s="6" t="s">
        <v>131</v>
      </c>
      <c r="I9" s="93"/>
      <c r="J9" s="95"/>
      <c r="K9" s="11" t="s">
        <v>132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50.15" customHeight="1" x14ac:dyDescent="0.3">
      <c r="A10" s="97" t="s">
        <v>133</v>
      </c>
      <c r="B10" s="98"/>
      <c r="C10" s="98"/>
      <c r="D10" s="98"/>
      <c r="E10" s="98"/>
      <c r="F10" s="98"/>
      <c r="G10" s="98"/>
      <c r="H10" s="98"/>
      <c r="I10" s="98"/>
      <c r="J10" s="98"/>
      <c r="K10" s="99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50.15" customHeight="1" x14ac:dyDescent="0.3">
      <c r="B11" s="1"/>
      <c r="C11" s="1"/>
      <c r="D11" s="1"/>
      <c r="E11" s="1"/>
      <c r="F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50.15" customHeight="1" x14ac:dyDescent="0.3">
      <c r="B12" s="1"/>
      <c r="C12" s="1"/>
      <c r="D12" s="1"/>
      <c r="E12" s="1"/>
      <c r="F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50.15" customHeight="1" x14ac:dyDescent="0.3">
      <c r="B13" s="1"/>
      <c r="C13" s="1"/>
      <c r="D13" s="1"/>
      <c r="E13" s="1"/>
      <c r="F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50.15" customHeight="1" x14ac:dyDescent="0.3">
      <c r="B14" s="1"/>
      <c r="C14" s="1"/>
      <c r="D14" s="1"/>
      <c r="E14" s="1"/>
      <c r="F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50.15" customHeight="1" x14ac:dyDescent="0.3">
      <c r="B15" s="1"/>
      <c r="C15" s="1"/>
      <c r="D15" s="1"/>
      <c r="E15" s="1"/>
      <c r="F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25" customHeight="1" x14ac:dyDescent="0.3">
      <c r="B16" s="1"/>
      <c r="C16" s="1"/>
      <c r="D16" s="1"/>
      <c r="E16" s="1"/>
      <c r="F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2:22" ht="25" customHeight="1" x14ac:dyDescent="0.3">
      <c r="B17" s="1"/>
      <c r="C17" s="1"/>
      <c r="D17" s="1"/>
      <c r="E17" s="1"/>
      <c r="F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2:22" ht="25" customHeight="1" x14ac:dyDescent="0.3">
      <c r="B18" s="1"/>
      <c r="C18" s="1"/>
      <c r="D18" s="1"/>
      <c r="E18" s="1"/>
      <c r="F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2:22" ht="25" customHeight="1" x14ac:dyDescent="0.3">
      <c r="B19" s="1"/>
      <c r="C19" s="1"/>
      <c r="D19" s="1"/>
      <c r="E19" s="1"/>
      <c r="F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2:22" ht="25" customHeight="1" x14ac:dyDescent="0.3">
      <c r="B20" s="1"/>
      <c r="C20" s="1"/>
      <c r="D20" s="1"/>
      <c r="E20" s="1"/>
      <c r="F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2:22" ht="25" customHeight="1" x14ac:dyDescent="0.3">
      <c r="B21" s="1"/>
      <c r="C21" s="1"/>
      <c r="D21" s="1"/>
      <c r="E21" s="1"/>
      <c r="F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2:22" ht="25" customHeight="1" x14ac:dyDescent="0.3"/>
    <row r="23" spans="2:22" ht="25" customHeight="1" x14ac:dyDescent="0.3"/>
  </sheetData>
  <mergeCells count="20">
    <mergeCell ref="A2:K2"/>
    <mergeCell ref="A10:K10"/>
    <mergeCell ref="B5:B7"/>
    <mergeCell ref="B8:B9"/>
    <mergeCell ref="C5:C7"/>
    <mergeCell ref="C8:C9"/>
    <mergeCell ref="E5:E7"/>
    <mergeCell ref="E8:E9"/>
    <mergeCell ref="F8:F9"/>
    <mergeCell ref="G5:G7"/>
    <mergeCell ref="H5:H7"/>
    <mergeCell ref="A5:A6"/>
    <mergeCell ref="K5:K6"/>
    <mergeCell ref="F5:F7"/>
    <mergeCell ref="D5:D7"/>
    <mergeCell ref="D8:D9"/>
    <mergeCell ref="I5:I7"/>
    <mergeCell ref="I8:I9"/>
    <mergeCell ref="J5:J7"/>
    <mergeCell ref="J8:J9"/>
  </mergeCells>
  <phoneticPr fontId="15" type="noConversion"/>
  <pageMargins left="0.25" right="0.25" top="0.75" bottom="0.75" header="0.3" footer="0.3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P</dc:creator>
  <cp:lastModifiedBy>L P</cp:lastModifiedBy>
  <cp:lastPrinted>2024-10-23T01:38:08Z</cp:lastPrinted>
  <dcterms:created xsi:type="dcterms:W3CDTF">2015-06-05T18:19:00Z</dcterms:created>
  <dcterms:modified xsi:type="dcterms:W3CDTF">2024-10-23T10:09:28Z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870FED60ACC44919826A9E2E649807BE_12</vt:lpwstr>
  </property>
  <property fmtid="{D5CDD505-2E9C-101B-9397-08002B2CF9AE}" pid="3" name="KSOProductBuildVer">
    <vt:lpwstr>2052-12.1.0.18608</vt:lpwstr>
  </property>
</Properties>
</file>