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产品岗-陈欢" sheetId="1" r:id="rId1"/>
  </sheets>
  <definedNames>
    <definedName name="_xlnm.Print_Area" localSheetId="0">'产品岗-陈欢'!$A$1:$J$23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<sst xmlns="http://schemas.openxmlformats.org/spreadsheetml/2006/main" count="103" uniqueCount="88">
  <si>
    <r>
      <rPr>
        <b/>
        <sz val="18"/>
        <color rgb="FF000000"/>
        <rFont val="微软雅黑"/>
        <charset val="134"/>
      </rPr>
      <t xml:space="preserve"> 2023年度市场企划部绩效考核表-</t>
    </r>
    <r>
      <rPr>
        <b/>
        <u/>
        <sz val="18"/>
        <color rgb="FF000000"/>
        <rFont val="微软雅黑"/>
        <charset val="134"/>
      </rPr>
      <t xml:space="preserve">产品经理岗 </t>
    </r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</si>
  <si>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2024 年 1 </t>
    </r>
    <r>
      <rPr>
        <u/>
        <sz val="10"/>
        <color rgb="FF000000"/>
        <rFont val="微软雅黑"/>
        <charset val="134"/>
      </rPr>
      <t>月</t>
    </r>
  </si>
  <si>
    <t>被考核人</t>
  </si>
  <si>
    <t>陈欢</t>
  </si>
  <si>
    <t>岗位名称</t>
  </si>
  <si>
    <t>产品经理</t>
  </si>
  <si>
    <t>直属上级</t>
  </si>
  <si>
    <t>市场企划部总监</t>
  </si>
  <si>
    <t>所属部门</t>
  </si>
  <si>
    <t>市场企划部</t>
  </si>
  <si>
    <t>填表日期</t>
  </si>
  <si>
    <t>2024.02.01</t>
  </si>
  <si>
    <t>隔级领导</t>
  </si>
  <si>
    <t>序号</t>
  </si>
  <si>
    <t>考核项目</t>
  </si>
  <si>
    <t>权重（%）</t>
  </si>
  <si>
    <t>目标</t>
  </si>
  <si>
    <t>计算公式/名词释义</t>
  </si>
  <si>
    <t>考核标准</t>
  </si>
  <si>
    <r>
      <rPr>
        <b/>
        <sz val="10"/>
        <color rgb="FF000000"/>
        <rFont val="微软雅黑"/>
        <charset val="134"/>
      </rPr>
      <t>实际完成情况</t>
    </r>
    <r>
      <rPr>
        <b/>
        <sz val="10"/>
        <color rgb="FFFF0000"/>
        <rFont val="微软雅黑"/>
        <charset val="134"/>
      </rPr>
      <t>（由员工自行填写）</t>
    </r>
  </si>
  <si>
    <t>部门领导评分</t>
  </si>
  <si>
    <t>数据提供/考核主体</t>
  </si>
  <si>
    <t>否决项</t>
  </si>
  <si>
    <t>/</t>
  </si>
  <si>
    <t>无事故</t>
  </si>
  <si>
    <t>因行产品岗工作不到位造成的相关功能未能如期上线</t>
  </si>
  <si>
    <t>出现一单本月绩效0分</t>
  </si>
  <si>
    <t>本月无事故</t>
  </si>
  <si>
    <t>总经办</t>
  </si>
  <si>
    <t>产品岗</t>
  </si>
  <si>
    <t>执行力</t>
  </si>
  <si>
    <t>因个人工作原因造成的目标进度未按计划达成。出现延期时按考核标准进行扣分</t>
  </si>
  <si>
    <t>延迟1天扣5分</t>
  </si>
  <si>
    <t>每周按计划分配需求任务，目标版本按时达成上线</t>
  </si>
  <si>
    <t>直接上级</t>
  </si>
  <si>
    <t>原型规范</t>
  </si>
  <si>
    <t>确保产品原型的规范与完整、直观、可实施性</t>
  </si>
  <si>
    <t>部门负责人根据实际情况扣分1-10分</t>
  </si>
  <si>
    <t>原型结构设计完整，便于开发容易理解，不出错</t>
  </si>
  <si>
    <t>个人管理能力</t>
  </si>
  <si>
    <t>计划性，合理性安排自身工作，能梳理工作的优先级，对自身负责的项目，做到合理排期，主动推进</t>
  </si>
  <si>
    <t>多项目按需求优先级顺序处理，集中专注板块逐一推进</t>
  </si>
  <si>
    <t>需求把控</t>
  </si>
  <si>
    <t>确保需求的理解及产品方案的匹配度、以及需求池的更新及时性（每日下班前更新）</t>
  </si>
  <si>
    <t>Tapd更新需求信息，内部需求会议评审，保证不出错</t>
  </si>
  <si>
    <t>沟通能力</t>
  </si>
  <si>
    <t>与客户、项目人员沟通，快速理解客户需求（需求会议，内部评审会议），引导客户，工作进度等重要节点主动汇报（日报、周报）</t>
  </si>
  <si>
    <t>主动汇报，及时解决客户提出的问题，收集反馈的需求</t>
  </si>
  <si>
    <t>协调能力</t>
  </si>
  <si>
    <t>配合、协调项目各小组的相关工作（前端、项目经理、测试、设计等）</t>
  </si>
  <si>
    <t>有小组或同事反馈1次设计不配合，扣1分</t>
  </si>
  <si>
    <t>项目组配合完成原型设计、整合</t>
  </si>
  <si>
    <t>质量分</t>
  </si>
  <si>
    <t>自身工作，确保交付质量，无需他人重新调整、设计</t>
  </si>
  <si>
    <t>粗心问题1次，扣2分</t>
  </si>
  <si>
    <t>原型清晰不需要他人重新调整，根据澄清需求情况，按实际场景修改调整原型的合理性</t>
  </si>
  <si>
    <t>业务熟悉度</t>
  </si>
  <si>
    <t>掌握业务理论知识，及项目流程及细节</t>
  </si>
  <si>
    <t>同事反馈产品对业务知识不理解，依据实际情况，进行1-10分扣分</t>
  </si>
  <si>
    <t>业务流程问题多方了解，对业务知识熟悉</t>
  </si>
  <si>
    <t>配合度及执行力</t>
  </si>
  <si>
    <t>对相关部门的工作配合及对公司规章制度、上级安排其他事务的执行力及反馈达到100%（包含临时安排事项），因自身原因被投诉扣10分/次</t>
  </si>
  <si>
    <t>依据日常工作情况进行评分1-10分</t>
  </si>
  <si>
    <t>上级安排事务及时完成，反馈跟进情况</t>
  </si>
  <si>
    <t>附加项</t>
  </si>
  <si>
    <t>扣分项</t>
  </si>
  <si>
    <t>因自身问题、工作作风问题或工作失误等，造成不利于公司的各类影响或造成公司经济损失。</t>
  </si>
  <si>
    <t>加分项</t>
  </si>
  <si>
    <t>提出合理化建议为公司节省成本、挽回损失、创造额外价值等（先自述，总办考评）</t>
  </si>
  <si>
    <t>合计</t>
  </si>
  <si>
    <t>绩效系数</t>
  </si>
  <si>
    <t>S级 ≥95分，系数为1.2；A级 90≤A＜95，系数为1.1；B级80≤B＜90，系数为1.0，C级70≤C＜80，系数为0.8；D级D＜70，系数为0~0.6</t>
  </si>
  <si>
    <t>备注：1、项目需求功能上线为否决项，一旦出现，当月绩效为0分。
          2、附加项为额外加分项，如考核当月有加分行为发生的，请先自述具体表现，由总办进行考评。</t>
  </si>
  <si>
    <t xml:space="preserve">被考核人： </t>
  </si>
  <si>
    <t>考核人：</t>
  </si>
  <si>
    <t>编制控制率</t>
  </si>
  <si>
    <t>编制330人</t>
  </si>
  <si>
    <t>总编制超编1人，扣5分
岗位超编1人，扣3分</t>
  </si>
  <si>
    <t>利润达成率</t>
  </si>
  <si>
    <t>200万</t>
  </si>
  <si>
    <t>实际利润额/预算利润额*标准分值</t>
  </si>
  <si>
    <t>189万</t>
  </si>
  <si>
    <t>利润</t>
  </si>
  <si>
    <t>规模</t>
  </si>
  <si>
    <t>应收</t>
  </si>
  <si>
    <t>库存</t>
  </si>
  <si>
    <t>周会、约会工作推进表</t>
  </si>
  <si>
    <t>财务账当月核销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</si>
</sst>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1">
    <font>
      <sz val="12"/>
      <color theme="1"/>
      <name val="等线"/>
      <charset val="134"/>
      <scheme val="minor"/>
    </font>
    <font>
      <sz val="10"/>
      <color rgb="FF000000"/>
      <name val="华文细黑"/>
      <charset val="134"/>
    </font>
    <font>
      <b/>
      <sz val="10"/>
      <color rgb="FF000000"/>
      <name val="华文细黑"/>
      <charset val="134"/>
    </font>
    <font>
      <sz val="12"/>
      <color rgb="FF000000"/>
      <name val="微软雅黑"/>
      <charset val="134"/>
    </font>
    <font>
      <b/>
      <sz val="18"/>
      <color rgb="FF000000"/>
      <name val="微软雅黑"/>
      <charset val="134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u/>
      <sz val="18"/>
      <color rgb="FF000000"/>
      <name val="微软雅黑"/>
      <charset val="134"/>
    </font>
    <font>
      <u/>
      <sz val="10"/>
      <color rgb="FF000000"/>
      <name val="微软雅黑"/>
      <charset val="134"/>
    </font>
    <font>
      <b/>
      <sz val="10"/>
      <color rgb="FFFF0000"/>
      <name val="微软雅黑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3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2" applyNumberFormat="0" applyFill="0" applyAlignment="0" applyProtection="0">
      <alignment vertical="center"/>
    </xf>
    <xf numFmtId="0" fontId="15" fillId="0" borderId="32" applyNumberFormat="0" applyFill="0" applyAlignment="0" applyProtection="0">
      <alignment vertical="center"/>
    </xf>
    <xf numFmtId="0" fontId="16" fillId="0" borderId="3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34" applyNumberFormat="0" applyAlignment="0" applyProtection="0">
      <alignment vertical="center"/>
    </xf>
    <xf numFmtId="0" fontId="18" fillId="9" borderId="35" applyNumberFormat="0" applyAlignment="0" applyProtection="0">
      <alignment vertical="center"/>
    </xf>
    <xf numFmtId="0" fontId="19" fillId="9" borderId="34" applyNumberFormat="0" applyAlignment="0" applyProtection="0">
      <alignment vertical="center"/>
    </xf>
    <xf numFmtId="0" fontId="20" fillId="10" borderId="36" applyNumberFormat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9" fontId="5" fillId="0" borderId="6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9" fontId="5" fillId="5" borderId="6" xfId="0" applyNumberFormat="1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9" fontId="5" fillId="4" borderId="9" xfId="0" applyNumberFormat="1" applyFont="1" applyFill="1" applyBorder="1" applyAlignment="1">
      <alignment horizontal="center" vertical="center" wrapText="1"/>
    </xf>
    <xf numFmtId="9" fontId="5" fillId="4" borderId="6" xfId="0" applyNumberFormat="1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left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9" fontId="5" fillId="4" borderId="11" xfId="0" applyNumberFormat="1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left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58" fontId="5" fillId="4" borderId="6" xfId="0" applyNumberFormat="1" applyFont="1" applyFill="1" applyBorder="1" applyAlignment="1">
      <alignment horizontal="center" vertical="center" wrapText="1"/>
    </xf>
    <xf numFmtId="58" fontId="5" fillId="4" borderId="6" xfId="0" applyNumberFormat="1" applyFont="1" applyFill="1" applyBorder="1" applyAlignment="1">
      <alignment horizontal="left" vertical="center" wrapText="1"/>
    </xf>
    <xf numFmtId="58" fontId="5" fillId="4" borderId="6" xfId="0" applyNumberFormat="1" applyFont="1" applyFill="1" applyBorder="1" applyAlignment="1">
      <alignment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6" fillId="2" borderId="21" xfId="0" applyFont="1" applyFill="1" applyBorder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right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left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7" fillId="0" borderId="0" xfId="0" applyFont="1" applyAlignment="1"/>
    <xf numFmtId="0" fontId="5" fillId="2" borderId="28" xfId="0" applyFont="1" applyFill="1" applyBorder="1" applyAlignment="1">
      <alignment vertical="center" wrapText="1"/>
    </xf>
    <xf numFmtId="176" fontId="5" fillId="2" borderId="29" xfId="0" applyNumberFormat="1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vertical="center" wrapText="1"/>
    </xf>
    <xf numFmtId="0" fontId="5" fillId="2" borderId="30" xfId="0" applyFont="1" applyFill="1" applyBorder="1" applyAlignment="1">
      <alignment horizontal="left" vertical="center" wrapText="1"/>
    </xf>
    <xf numFmtId="0" fontId="1" fillId="5" borderId="7" xfId="0" applyFont="1" applyFill="1" applyBorder="1" applyAlignment="1">
      <alignment horizontal="center" vertical="center" wrapText="1"/>
    </xf>
    <xf numFmtId="176" fontId="1" fillId="6" borderId="6" xfId="0" applyNumberFormat="1" applyFont="1" applyFill="1" applyBorder="1" applyAlignment="1">
      <alignment horizontal="center" vertical="center" wrapText="1"/>
    </xf>
    <xf numFmtId="176" fontId="1" fillId="6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4114800</xdr:colOff>
      <xdr:row>0</xdr:row>
      <xdr:rowOff>0</xdr:rowOff>
    </xdr:from>
    <xdr:to>
      <xdr:col>7</xdr:col>
      <xdr:colOff>1304925</xdr:colOff>
      <xdr:row>0</xdr:row>
      <xdr:rowOff>447675</xdr:rowOff>
    </xdr:to>
    <xdr:pic>
      <xdr:nvPicPr>
        <xdr:cNvPr id="3" name="图片 1" descr="04-亿兴云logo-页眉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800975" y="0"/>
          <a:ext cx="563880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outlinePr summaryBelow="0" summaryRight="0"/>
  </sheetPr>
  <dimension ref="A1:L36"/>
  <sheetViews>
    <sheetView tabSelected="1" topLeftCell="A2" workbookViewId="0">
      <selection activeCell="L15" sqref="L15"/>
    </sheetView>
  </sheetViews>
  <sheetFormatPr defaultColWidth="9" defaultRowHeight="14.25" customHeight="1"/>
  <cols>
    <col min="1" max="1" width="3.125" style="2" customWidth="1"/>
    <col min="2" max="2" width="8.375" style="2" customWidth="1"/>
    <col min="3" max="3" width="20.125" style="3" customWidth="1"/>
    <col min="4" max="4" width="5.875" style="3" customWidth="1"/>
    <col min="5" max="5" width="10.875" style="3" customWidth="1"/>
    <col min="6" max="6" width="62.125" style="3" customWidth="1"/>
    <col min="7" max="7" width="48.75" style="3" customWidth="1"/>
    <col min="8" max="8" width="42.125" style="3" customWidth="1"/>
    <col min="9" max="9" width="12" style="3" customWidth="1"/>
    <col min="10" max="10" width="17.5" style="3" customWidth="1"/>
    <col min="11" max="40" width="9" style="3"/>
  </cols>
  <sheetData>
    <row r="1" ht="39" customHeight="1" spans="1:8">
      <c r="A1" s="4"/>
      <c r="B1" s="4"/>
      <c r="C1" s="5"/>
      <c r="D1" s="5"/>
      <c r="E1" s="6"/>
      <c r="F1" s="7"/>
      <c r="G1" s="7"/>
      <c r="H1" s="7"/>
    </row>
    <row r="2" ht="24" customHeight="1" spans="1:10">
      <c r="A2" s="8" t="s">
        <v>0</v>
      </c>
      <c r="B2" s="8"/>
      <c r="C2" s="8"/>
      <c r="D2" s="8"/>
      <c r="E2" s="8"/>
      <c r="F2" s="8"/>
      <c r="G2" s="8"/>
      <c r="H2" s="8"/>
      <c r="I2" s="69"/>
      <c r="J2" s="70"/>
    </row>
    <row r="3" ht="18" customHeight="1" spans="1:10">
      <c r="A3" s="9" t="s">
        <v>1</v>
      </c>
      <c r="B3" s="9"/>
      <c r="C3" s="9"/>
      <c r="D3" s="9"/>
      <c r="E3" s="9"/>
      <c r="F3" s="9"/>
      <c r="G3" s="9"/>
      <c r="H3" s="9"/>
      <c r="I3" s="9"/>
      <c r="J3" s="71"/>
    </row>
    <row r="4" ht="18" customHeight="1" spans="1:10">
      <c r="A4" s="10" t="s">
        <v>2</v>
      </c>
      <c r="B4" s="11"/>
      <c r="C4" s="11" t="s">
        <v>3</v>
      </c>
      <c r="D4" s="11"/>
      <c r="E4" s="11"/>
      <c r="F4" s="11" t="s">
        <v>4</v>
      </c>
      <c r="G4" s="11" t="s">
        <v>5</v>
      </c>
      <c r="H4" s="11" t="s">
        <v>6</v>
      </c>
      <c r="I4" s="11" t="s">
        <v>7</v>
      </c>
      <c r="J4" s="72"/>
    </row>
    <row r="5" ht="18" customHeight="1" spans="1:10">
      <c r="A5" s="12" t="s">
        <v>8</v>
      </c>
      <c r="B5" s="13"/>
      <c r="C5" s="13" t="s">
        <v>9</v>
      </c>
      <c r="D5" s="13"/>
      <c r="E5" s="13"/>
      <c r="F5" s="13" t="s">
        <v>10</v>
      </c>
      <c r="G5" s="13" t="s">
        <v>11</v>
      </c>
      <c r="H5" s="13" t="s">
        <v>12</v>
      </c>
      <c r="I5" s="13"/>
      <c r="J5" s="73"/>
    </row>
    <row r="6" ht="31.5" customHeight="1" spans="1:10">
      <c r="A6" s="14" t="s">
        <v>13</v>
      </c>
      <c r="B6" s="15" t="s">
        <v>14</v>
      </c>
      <c r="C6" s="15"/>
      <c r="D6" s="15" t="s">
        <v>15</v>
      </c>
      <c r="E6" s="15" t="s">
        <v>16</v>
      </c>
      <c r="F6" s="15" t="s">
        <v>17</v>
      </c>
      <c r="G6" s="15" t="s">
        <v>18</v>
      </c>
      <c r="H6" s="15" t="s">
        <v>19</v>
      </c>
      <c r="I6" s="15" t="s">
        <v>20</v>
      </c>
      <c r="J6" s="74" t="s">
        <v>21</v>
      </c>
    </row>
    <row r="7" s="1" customFormat="1" ht="21" customHeight="1" spans="1:10">
      <c r="A7" s="16">
        <v>1</v>
      </c>
      <c r="B7" s="17" t="s">
        <v>22</v>
      </c>
      <c r="C7" s="18"/>
      <c r="D7" s="19" t="s">
        <v>23</v>
      </c>
      <c r="E7" s="19" t="s">
        <v>24</v>
      </c>
      <c r="F7" s="20" t="s">
        <v>25</v>
      </c>
      <c r="G7" s="20" t="s">
        <v>26</v>
      </c>
      <c r="H7" s="19" t="s">
        <v>27</v>
      </c>
      <c r="I7" s="19"/>
      <c r="J7" s="75" t="s">
        <v>28</v>
      </c>
    </row>
    <row r="8" s="1" customFormat="1" ht="24.95" customHeight="1" spans="1:10">
      <c r="A8" s="16">
        <v>2</v>
      </c>
      <c r="B8" s="21" t="s">
        <v>29</v>
      </c>
      <c r="C8" s="22" t="s">
        <v>30</v>
      </c>
      <c r="D8" s="23">
        <v>0.1</v>
      </c>
      <c r="E8" s="23"/>
      <c r="F8" s="24" t="s">
        <v>31</v>
      </c>
      <c r="G8" s="25" t="s">
        <v>32</v>
      </c>
      <c r="H8" s="26" t="s">
        <v>33</v>
      </c>
      <c r="I8" s="26"/>
      <c r="J8" s="76" t="s">
        <v>34</v>
      </c>
    </row>
    <row r="9" s="1" customFormat="1" ht="32" customHeight="1" spans="1:10">
      <c r="A9" s="16">
        <v>3</v>
      </c>
      <c r="B9" s="27"/>
      <c r="C9" s="22" t="s">
        <v>35</v>
      </c>
      <c r="D9" s="23">
        <v>0.1</v>
      </c>
      <c r="E9" s="23"/>
      <c r="F9" s="24" t="s">
        <v>36</v>
      </c>
      <c r="G9" s="25" t="s">
        <v>37</v>
      </c>
      <c r="H9" s="26" t="s">
        <v>38</v>
      </c>
      <c r="I9" s="26"/>
      <c r="J9" s="76" t="s">
        <v>34</v>
      </c>
    </row>
    <row r="10" s="1" customFormat="1" ht="35" customHeight="1" spans="1:10">
      <c r="A10" s="16"/>
      <c r="B10" s="27"/>
      <c r="C10" s="28" t="s">
        <v>39</v>
      </c>
      <c r="D10" s="29">
        <v>0.15</v>
      </c>
      <c r="E10" s="29"/>
      <c r="F10" s="30" t="s">
        <v>40</v>
      </c>
      <c r="G10" s="25" t="s">
        <v>37</v>
      </c>
      <c r="H10" s="26" t="s">
        <v>41</v>
      </c>
      <c r="I10" s="26"/>
      <c r="J10" s="76" t="s">
        <v>34</v>
      </c>
    </row>
    <row r="11" s="1" customFormat="1" ht="33" customHeight="1" spans="1:10">
      <c r="A11" s="16">
        <v>4</v>
      </c>
      <c r="B11" s="27"/>
      <c r="C11" s="28" t="s">
        <v>42</v>
      </c>
      <c r="D11" s="29">
        <v>0.15</v>
      </c>
      <c r="E11" s="29"/>
      <c r="F11" s="30" t="s">
        <v>43</v>
      </c>
      <c r="G11" s="25" t="s">
        <v>37</v>
      </c>
      <c r="H11" s="26" t="s">
        <v>44</v>
      </c>
      <c r="I11" s="26"/>
      <c r="J11" s="76" t="s">
        <v>34</v>
      </c>
    </row>
    <row r="12" s="1" customFormat="1" ht="38" customHeight="1" spans="1:10">
      <c r="A12" s="16">
        <v>5</v>
      </c>
      <c r="B12" s="27"/>
      <c r="C12" s="28" t="s">
        <v>45</v>
      </c>
      <c r="D12" s="29">
        <v>0.1</v>
      </c>
      <c r="E12" s="29"/>
      <c r="F12" s="30" t="s">
        <v>46</v>
      </c>
      <c r="G12" s="25" t="s">
        <v>37</v>
      </c>
      <c r="H12" s="26" t="s">
        <v>47</v>
      </c>
      <c r="I12" s="26"/>
      <c r="J12" s="76" t="s">
        <v>34</v>
      </c>
    </row>
    <row r="13" s="1" customFormat="1" ht="33" customHeight="1" spans="1:10">
      <c r="A13" s="16">
        <v>6</v>
      </c>
      <c r="B13" s="27"/>
      <c r="C13" s="22" t="s">
        <v>48</v>
      </c>
      <c r="D13" s="23">
        <v>0.05</v>
      </c>
      <c r="E13" s="23"/>
      <c r="F13" s="24" t="s">
        <v>49</v>
      </c>
      <c r="G13" s="25" t="s">
        <v>50</v>
      </c>
      <c r="H13" s="31" t="s">
        <v>51</v>
      </c>
      <c r="I13" s="26"/>
      <c r="J13" s="76" t="s">
        <v>34</v>
      </c>
    </row>
    <row r="14" s="1" customFormat="1" ht="33" customHeight="1" spans="1:10">
      <c r="A14" s="16">
        <v>7</v>
      </c>
      <c r="B14" s="27"/>
      <c r="C14" s="26" t="s">
        <v>52</v>
      </c>
      <c r="D14" s="23">
        <v>0.2</v>
      </c>
      <c r="E14" s="23"/>
      <c r="F14" s="24" t="s">
        <v>53</v>
      </c>
      <c r="G14" s="25" t="s">
        <v>54</v>
      </c>
      <c r="H14" s="26" t="s">
        <v>55</v>
      </c>
      <c r="I14" s="26"/>
      <c r="J14" s="76" t="s">
        <v>34</v>
      </c>
    </row>
    <row r="15" s="1" customFormat="1" ht="29.1" customHeight="1" spans="1:10">
      <c r="A15" s="16">
        <v>8</v>
      </c>
      <c r="B15" s="32"/>
      <c r="C15" s="22" t="s">
        <v>56</v>
      </c>
      <c r="D15" s="23">
        <v>0.1</v>
      </c>
      <c r="E15" s="23"/>
      <c r="F15" s="24" t="s">
        <v>57</v>
      </c>
      <c r="G15" s="25" t="s">
        <v>58</v>
      </c>
      <c r="H15" s="26" t="s">
        <v>59</v>
      </c>
      <c r="I15" s="26"/>
      <c r="J15" s="76" t="s">
        <v>34</v>
      </c>
    </row>
    <row r="16" s="1" customFormat="1" ht="18" customHeight="1" spans="1:10">
      <c r="A16" s="16">
        <v>9</v>
      </c>
      <c r="B16" s="33" t="s">
        <v>60</v>
      </c>
      <c r="C16" s="34"/>
      <c r="D16" s="35">
        <v>0.05</v>
      </c>
      <c r="E16" s="36">
        <v>1</v>
      </c>
      <c r="F16" s="37" t="s">
        <v>61</v>
      </c>
      <c r="G16" s="37" t="s">
        <v>62</v>
      </c>
      <c r="H16" s="38" t="s">
        <v>63</v>
      </c>
      <c r="I16" s="38"/>
      <c r="J16" s="77" t="s">
        <v>34</v>
      </c>
    </row>
    <row r="17" s="1" customFormat="1" ht="18" customHeight="1" spans="1:10">
      <c r="A17" s="16">
        <v>10</v>
      </c>
      <c r="B17" s="39"/>
      <c r="C17" s="40"/>
      <c r="D17" s="41"/>
      <c r="E17" s="19"/>
      <c r="F17" s="42"/>
      <c r="G17" s="42"/>
      <c r="H17" s="43"/>
      <c r="I17" s="43"/>
      <c r="J17" s="78"/>
    </row>
    <row r="18" s="1" customFormat="1" ht="32.25" customHeight="1" spans="1:12">
      <c r="A18" s="16">
        <v>11</v>
      </c>
      <c r="B18" s="44" t="s">
        <v>64</v>
      </c>
      <c r="C18" s="45"/>
      <c r="D18" s="19" t="s">
        <v>23</v>
      </c>
      <c r="E18" s="36" t="s">
        <v>65</v>
      </c>
      <c r="F18" s="20" t="s">
        <v>66</v>
      </c>
      <c r="G18" s="46"/>
      <c r="H18" s="46"/>
      <c r="I18" s="46"/>
      <c r="J18" s="75" t="s">
        <v>28</v>
      </c>
      <c r="L18" s="79"/>
    </row>
    <row r="19" s="1" customFormat="1" ht="34.5" customHeight="1" spans="1:10">
      <c r="A19" s="16">
        <v>12</v>
      </c>
      <c r="B19" s="47"/>
      <c r="C19" s="48"/>
      <c r="D19" s="19" t="s">
        <v>23</v>
      </c>
      <c r="E19" s="49" t="s">
        <v>67</v>
      </c>
      <c r="F19" s="50" t="s">
        <v>68</v>
      </c>
      <c r="G19" s="51"/>
      <c r="H19" s="46"/>
      <c r="I19" s="51"/>
      <c r="J19" s="75" t="s">
        <v>28</v>
      </c>
    </row>
    <row r="20" ht="21" customHeight="1" spans="1:10">
      <c r="A20" s="52" t="s">
        <v>69</v>
      </c>
      <c r="B20" s="53"/>
      <c r="C20" s="53"/>
      <c r="D20" s="54">
        <v>100</v>
      </c>
      <c r="E20" s="54"/>
      <c r="F20" s="54"/>
      <c r="G20" s="54"/>
      <c r="H20" s="25"/>
      <c r="I20" s="54">
        <f>SUM(I8:I17)</f>
        <v>0</v>
      </c>
      <c r="J20" s="80"/>
    </row>
    <row r="21" ht="21" customHeight="1" spans="1:10">
      <c r="A21" s="55" t="s">
        <v>70</v>
      </c>
      <c r="B21" s="56"/>
      <c r="C21" s="56"/>
      <c r="D21" s="57"/>
      <c r="E21" s="55" t="s">
        <v>71</v>
      </c>
      <c r="F21" s="58"/>
      <c r="G21" s="58"/>
      <c r="H21" s="58"/>
      <c r="I21" s="81"/>
      <c r="J21" s="82"/>
    </row>
    <row r="22" ht="39" customHeight="1" spans="1:10">
      <c r="A22" s="59" t="s">
        <v>72</v>
      </c>
      <c r="B22" s="60"/>
      <c r="C22" s="60"/>
      <c r="D22" s="60"/>
      <c r="E22" s="60"/>
      <c r="F22" s="60"/>
      <c r="G22" s="60"/>
      <c r="H22" s="60"/>
      <c r="I22" s="60"/>
      <c r="J22" s="83"/>
    </row>
    <row r="23" ht="30.75" customHeight="1" spans="1:10">
      <c r="A23" s="61"/>
      <c r="B23" s="62" t="s">
        <v>73</v>
      </c>
      <c r="C23" s="62"/>
      <c r="D23" s="63"/>
      <c r="E23" s="64"/>
      <c r="F23" s="64"/>
      <c r="G23" s="65" t="s">
        <v>74</v>
      </c>
      <c r="H23" s="64"/>
      <c r="I23" s="61"/>
      <c r="J23" s="61"/>
    </row>
    <row r="26" ht="28.5" hidden="1" customHeight="1" spans="3:10">
      <c r="C26" s="66" t="s">
        <v>75</v>
      </c>
      <c r="D26" s="66">
        <v>5</v>
      </c>
      <c r="E26" s="66" t="s">
        <v>76</v>
      </c>
      <c r="F26" s="66"/>
      <c r="G26" s="66" t="s">
        <v>77</v>
      </c>
      <c r="H26" s="66"/>
      <c r="I26" s="66">
        <v>5</v>
      </c>
      <c r="J26" s="84"/>
    </row>
    <row r="27" hidden="1" customHeight="1"/>
    <row r="28" hidden="1" customHeight="1"/>
    <row r="29" hidden="1" customHeight="1" spans="3:10">
      <c r="C29" s="67" t="s">
        <v>78</v>
      </c>
      <c r="D29" s="68">
        <v>10</v>
      </c>
      <c r="E29" s="68" t="s">
        <v>79</v>
      </c>
      <c r="F29" s="68"/>
      <c r="G29" s="68" t="s">
        <v>80</v>
      </c>
      <c r="H29" s="68" t="s">
        <v>81</v>
      </c>
      <c r="I29" s="85">
        <f>189/200*D29</f>
        <v>9.45</v>
      </c>
      <c r="J29" s="86"/>
    </row>
    <row r="30" hidden="1" customHeight="1" spans="3:4">
      <c r="C30" s="3" t="s">
        <v>82</v>
      </c>
      <c r="D30" s="3">
        <v>40</v>
      </c>
    </row>
    <row r="31" hidden="1" customHeight="1" spans="3:4">
      <c r="C31" s="3" t="s">
        <v>83</v>
      </c>
      <c r="D31" s="3">
        <v>20</v>
      </c>
    </row>
    <row r="32" hidden="1" customHeight="1" spans="3:4">
      <c r="C32" s="3" t="s">
        <v>84</v>
      </c>
      <c r="D32" s="3">
        <v>20</v>
      </c>
    </row>
    <row r="33" hidden="1" customHeight="1" spans="3:4">
      <c r="C33" s="3" t="s">
        <v>85</v>
      </c>
      <c r="D33" s="3">
        <v>20</v>
      </c>
    </row>
    <row r="34" hidden="1" customHeight="1" spans="3:3">
      <c r="C34" s="3" t="s">
        <v>86</v>
      </c>
    </row>
    <row r="35" hidden="1" customHeight="1"/>
    <row r="36" hidden="1" customHeight="1" spans="3:3">
      <c r="C36" s="3" t="s">
        <v>87</v>
      </c>
    </row>
  </sheetData>
  <mergeCells count="26">
    <mergeCell ref="C1:E1"/>
    <mergeCell ref="A2:J2"/>
    <mergeCell ref="A3:J3"/>
    <mergeCell ref="A4:B4"/>
    <mergeCell ref="C4:E4"/>
    <mergeCell ref="I4:J4"/>
    <mergeCell ref="A5:B5"/>
    <mergeCell ref="C5:E5"/>
    <mergeCell ref="I5:J5"/>
    <mergeCell ref="B6:C6"/>
    <mergeCell ref="B7:C7"/>
    <mergeCell ref="A20:C20"/>
    <mergeCell ref="A21:C21"/>
    <mergeCell ref="E21:H21"/>
    <mergeCell ref="A22:J22"/>
    <mergeCell ref="B23:C23"/>
    <mergeCell ref="B8:B15"/>
    <mergeCell ref="D16:D17"/>
    <mergeCell ref="E16:E17"/>
    <mergeCell ref="F16:F17"/>
    <mergeCell ref="G16:G17"/>
    <mergeCell ref="H16:H17"/>
    <mergeCell ref="I16:I17"/>
    <mergeCell ref="J16:J17"/>
    <mergeCell ref="B18:C19"/>
    <mergeCell ref="B16:C1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产品岗-陈欢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陈胡安Juan</cp:lastModifiedBy>
  <dcterms:created xsi:type="dcterms:W3CDTF">2006-09-16T00:00:00Z</dcterms:created>
  <dcterms:modified xsi:type="dcterms:W3CDTF">2024-02-01T11:31:19Z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D1C9B8427FEB446EA61E7ACCAC0EB4E8_12</vt:lpwstr>
  </property>
  <property fmtid="{D5CDD505-2E9C-101B-9397-08002B2CF9AE}" pid="3" name="KSOProductBuildVer">
    <vt:lpwstr>2052-12.1.0.16120</vt:lpwstr>
  </property>
</Properties>
</file>