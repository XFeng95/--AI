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 tabRatio="941" firstSheet="2" activeTab="1"/>
  </bookViews>
  <sheets>
    <sheet name="导出计数_车间" sheetId="14" r:id="rId1"/>
    <sheet name="1-生产外检" sheetId="1" r:id="rId2"/>
    <sheet name="1-生产内检" sheetId="2" r:id="rId3"/>
    <sheet name="2-化验室" sheetId="4" r:id="rId4"/>
    <sheet name="3-液体糖" sheetId="6" r:id="rId5"/>
    <sheet name="4-战马" sheetId="7" r:id="rId6"/>
    <sheet name="5-电子天平、电子秤、砝码" sheetId="8" r:id="rId7"/>
    <sheet name="5-内检电子天平、电子称" sheetId="11" r:id="rId8"/>
    <sheet name="6-温湿度计" sheetId="10" r:id="rId9"/>
    <sheet name="6-内校温湿度计" sheetId="13" r:id="rId10"/>
    <sheet name="1-生产坏或者不用" sheetId="3" r:id="rId11"/>
    <sheet name="2-化验室备用和坏" sheetId="5" r:id="rId12"/>
    <sheet name="3-电子天平、坏备用" sheetId="12" r:id="rId13"/>
  </sheets>
  <definedNames>
    <definedName name="_xlnm._FilterDatabase" localSheetId="1" hidden="1">'1-生产外检'!$A$1:$S$164</definedName>
    <definedName name="_xlnm._FilterDatabase" localSheetId="2" hidden="1">'1-生产内检'!$A$1:$O$135</definedName>
    <definedName name="_xlnm._FilterDatabase" localSheetId="3" hidden="1">'2-化验室'!$A$1:$R$144</definedName>
    <definedName name="_xlnm._FilterDatabase" localSheetId="6" hidden="1">'5-电子天平、电子秤、砝码'!$A$1:$Q$53</definedName>
    <definedName name="_xlnm._FilterDatabase" localSheetId="7" hidden="1">'5-内检电子天平、电子称'!$A$1:$N$74</definedName>
    <definedName name="_xlnm._FilterDatabase" localSheetId="8" hidden="1">'6-温湿度计'!$A$1:$R$33</definedName>
    <definedName name="_xlnm._FilterDatabase" localSheetId="9" hidden="1">'6-内校温湿度计'!$A$1:$H$31</definedName>
    <definedName name="_xlnm._FilterDatabase" localSheetId="10" hidden="1">'1-生产坏或者不用'!$A$1:$R$166</definedName>
    <definedName name="_xlnm._FilterDatabase" localSheetId="11" hidden="1">'2-化验室备用和坏'!$A$2:$P$83</definedName>
    <definedName name="_xlnm._FilterDatabase" localSheetId="4" hidden="1">'3-液体糖'!$A$1:$Q$34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E127" authorId="0">
      <text>
        <r>
          <rPr>
            <sz val="9"/>
            <rFont val="宋体"/>
            <charset val="134"/>
          </rPr>
          <t>Lenovo:
也为COD消解仪</t>
        </r>
      </text>
    </comment>
  </commentList>
</comments>
</file>

<file path=xl/comments2.xml><?xml version="1.0" encoding="utf-8"?>
<comments xmlns="http://schemas.openxmlformats.org/spreadsheetml/2006/main">
  <authors>
    <author>品管统计</author>
  </authors>
  <commentList>
    <comment ref="G39" authorId="0">
      <text>
        <r>
          <rPr>
            <b/>
            <sz val="9"/>
            <rFont val="宋体"/>
            <charset val="134"/>
          </rPr>
          <t>品管统计:</t>
        </r>
        <r>
          <rPr>
            <sz val="9"/>
            <rFont val="宋体"/>
            <charset val="134"/>
          </rPr>
          <t xml:space="preserve">
误差大</t>
        </r>
      </text>
    </comment>
  </commentList>
</comments>
</file>

<file path=xl/comments3.xml><?xml version="1.0" encoding="utf-8"?>
<comments xmlns="http://schemas.openxmlformats.org/spreadsheetml/2006/main">
  <authors>
    <author>品管统计</author>
  </authors>
  <commentList>
    <comment ref="F162" authorId="0">
      <text>
        <r>
          <rPr>
            <b/>
            <sz val="9"/>
            <rFont val="宋体"/>
            <charset val="134"/>
          </rPr>
          <t>品管统计:</t>
        </r>
        <r>
          <rPr>
            <sz val="9"/>
            <rFont val="宋体"/>
            <charset val="134"/>
          </rPr>
          <t xml:space="preserve">
更换新表2024.12
</t>
        </r>
      </text>
    </comment>
  </commentList>
</comments>
</file>

<file path=xl/sharedStrings.xml><?xml version="1.0" encoding="utf-8"?>
<sst xmlns="http://schemas.openxmlformats.org/spreadsheetml/2006/main" count="9901" uniqueCount="2005">
  <si>
    <t>外检</t>
  </si>
  <si>
    <t>车间</t>
  </si>
  <si>
    <t>计数</t>
  </si>
  <si>
    <t>内检</t>
  </si>
  <si>
    <t>生产</t>
  </si>
  <si>
    <t>化验室</t>
  </si>
  <si>
    <t>糖厂</t>
  </si>
  <si>
    <t>战马</t>
  </si>
  <si>
    <t>砝码</t>
  </si>
  <si>
    <t>天平</t>
  </si>
  <si>
    <t>温湿度计</t>
  </si>
  <si>
    <t>合计</t>
  </si>
  <si>
    <t>安全管理</t>
  </si>
  <si>
    <t>二车间</t>
  </si>
  <si>
    <t>三车间</t>
  </si>
  <si>
    <t>一车间</t>
  </si>
  <si>
    <t>制水污水</t>
  </si>
  <si>
    <t>蒸汽房</t>
  </si>
  <si>
    <t>危废</t>
  </si>
  <si>
    <t>蒸汽、危废、安全等</t>
  </si>
  <si>
    <t>证书</t>
  </si>
  <si>
    <t>地点</t>
  </si>
  <si>
    <t>名称</t>
  </si>
  <si>
    <t>公司编号</t>
  </si>
  <si>
    <t>型号</t>
  </si>
  <si>
    <t>出厂编号</t>
  </si>
  <si>
    <t>启用日期</t>
  </si>
  <si>
    <t>量程</t>
  </si>
  <si>
    <t>准确度</t>
  </si>
  <si>
    <t>校准周期</t>
  </si>
  <si>
    <t>检定单位</t>
  </si>
  <si>
    <t>检定日期</t>
  </si>
  <si>
    <t>下次检定  日期</t>
  </si>
  <si>
    <t>费用</t>
  </si>
  <si>
    <t>使用情况</t>
  </si>
  <si>
    <t>使用地点</t>
  </si>
  <si>
    <t>厂家</t>
  </si>
  <si>
    <t>校准</t>
  </si>
  <si>
    <t>污水房</t>
  </si>
  <si>
    <t>便携式气体探测器</t>
  </si>
  <si>
    <t>GASTiger2000-4L</t>
  </si>
  <si>
    <t>G20240911711</t>
  </si>
  <si>
    <t>—</t>
  </si>
  <si>
    <r>
      <rPr>
        <sz val="9"/>
        <rFont val="Times New Roman"/>
        <charset val="0"/>
      </rPr>
      <t>1</t>
    </r>
    <r>
      <rPr>
        <sz val="9"/>
        <rFont val="宋体"/>
        <charset val="0"/>
      </rPr>
      <t>年</t>
    </r>
  </si>
  <si>
    <t>佛山质计中心</t>
  </si>
  <si>
    <t>2025.10送检</t>
  </si>
  <si>
    <t>生物显微镜</t>
  </si>
  <si>
    <t>C-PD-211</t>
  </si>
  <si>
    <t>XSP-1C</t>
  </si>
  <si>
    <t>2010/10</t>
  </si>
  <si>
    <t>便携式光度计</t>
  </si>
  <si>
    <t>C-PD-206</t>
  </si>
  <si>
    <t>DR/890</t>
  </si>
  <si>
    <t>100690C78379</t>
  </si>
  <si>
    <t>检定</t>
  </si>
  <si>
    <t>一线灌装</t>
  </si>
  <si>
    <t>定量灌装机</t>
  </si>
  <si>
    <t>C-PD-203</t>
  </si>
  <si>
    <r>
      <rPr>
        <sz val="9"/>
        <rFont val="Times New Roman"/>
        <charset val="0"/>
      </rPr>
      <t>36</t>
    </r>
    <r>
      <rPr>
        <sz val="9"/>
        <rFont val="宋体"/>
        <charset val="134"/>
      </rPr>
      <t>头</t>
    </r>
  </si>
  <si>
    <t>1-K221150</t>
  </si>
  <si>
    <t>二线灌装</t>
  </si>
  <si>
    <t>C-PD-204</t>
  </si>
  <si>
    <t>2-K221151</t>
  </si>
  <si>
    <t>五线灌装</t>
  </si>
  <si>
    <t>C-PD-345</t>
  </si>
  <si>
    <r>
      <rPr>
        <sz val="9"/>
        <rFont val="Times New Roman"/>
        <charset val="0"/>
      </rPr>
      <t>40</t>
    </r>
    <r>
      <rPr>
        <sz val="9"/>
        <rFont val="宋体"/>
        <charset val="134"/>
      </rPr>
      <t>头</t>
    </r>
  </si>
  <si>
    <t>2012/08</t>
  </si>
  <si>
    <t>六线灌装</t>
  </si>
  <si>
    <t>C-PD-346</t>
  </si>
  <si>
    <t>制水车间</t>
  </si>
  <si>
    <t>PH计</t>
  </si>
  <si>
    <t>C-QA-046</t>
  </si>
  <si>
    <t>S20</t>
  </si>
  <si>
    <r>
      <rPr>
        <sz val="9"/>
        <rFont val="Times New Roman"/>
        <charset val="0"/>
      </rPr>
      <t>0.00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14.00</t>
    </r>
  </si>
  <si>
    <t>0.01pH</t>
  </si>
  <si>
    <t>制水车间A组</t>
  </si>
  <si>
    <t>C-PD-436</t>
  </si>
  <si>
    <t>M300</t>
  </si>
  <si>
    <t>1237407243</t>
  </si>
  <si>
    <t>广州国科</t>
  </si>
  <si>
    <t>制水车间B组</t>
  </si>
  <si>
    <t>C-PD-434</t>
  </si>
  <si>
    <t>1237497168</t>
  </si>
  <si>
    <t>制水车间C组</t>
  </si>
  <si>
    <t>C-PD-437</t>
  </si>
  <si>
    <t>1237517442</t>
  </si>
  <si>
    <t>制水车间D组</t>
  </si>
  <si>
    <t>C-PD-347</t>
  </si>
  <si>
    <t>1237457113</t>
  </si>
  <si>
    <t>温度表</t>
  </si>
  <si>
    <t>C-PD-216</t>
  </si>
  <si>
    <t>1-62TT01</t>
  </si>
  <si>
    <r>
      <rPr>
        <sz val="9"/>
        <rFont val="Times New Roman"/>
        <charset val="0"/>
      </rPr>
      <t>0</t>
    </r>
    <r>
      <rPr>
        <sz val="9"/>
        <color indexed="8"/>
        <rFont val="宋体"/>
        <charset val="134"/>
      </rPr>
      <t>～</t>
    </r>
    <r>
      <rPr>
        <sz val="9"/>
        <color indexed="8"/>
        <rFont val="Times New Roman"/>
        <charset val="0"/>
      </rPr>
      <t>150</t>
    </r>
    <r>
      <rPr>
        <sz val="9"/>
        <color indexed="8"/>
        <rFont val="宋体"/>
        <charset val="134"/>
      </rPr>
      <t>℃</t>
    </r>
  </si>
  <si>
    <t>0/1℃</t>
  </si>
  <si>
    <t>半年</t>
  </si>
  <si>
    <t>C-PD-217</t>
  </si>
  <si>
    <t>1-01TT01</t>
  </si>
  <si>
    <t>C-PD-218</t>
  </si>
  <si>
    <t>2-62TT01</t>
  </si>
  <si>
    <t>C-PD-219</t>
  </si>
  <si>
    <t>2-01TT01</t>
  </si>
  <si>
    <t>三线灌装</t>
  </si>
  <si>
    <t>C-PD-258</t>
  </si>
  <si>
    <t>3-62TT01</t>
  </si>
  <si>
    <r>
      <rPr>
        <sz val="9"/>
        <rFont val="宋体"/>
        <charset val="134"/>
      </rPr>
      <t>0</t>
    </r>
    <r>
      <rPr>
        <sz val="9"/>
        <color indexed="8"/>
        <rFont val="宋体"/>
        <charset val="134"/>
      </rPr>
      <t>～</t>
    </r>
    <r>
      <rPr>
        <sz val="9"/>
        <color indexed="8"/>
        <rFont val="Times New Roman"/>
        <charset val="0"/>
      </rPr>
      <t>150</t>
    </r>
    <r>
      <rPr>
        <sz val="9"/>
        <color indexed="8"/>
        <rFont val="宋体"/>
        <charset val="134"/>
      </rPr>
      <t>℃</t>
    </r>
  </si>
  <si>
    <t>C-PD-259</t>
  </si>
  <si>
    <t>3-01TT01</t>
  </si>
  <si>
    <t>四线灌装</t>
  </si>
  <si>
    <t>C-PD-269</t>
  </si>
  <si>
    <t>4-62TT01</t>
  </si>
  <si>
    <t>C-PD-270</t>
  </si>
  <si>
    <t>4-01TT01</t>
  </si>
  <si>
    <t>C-PD-341</t>
  </si>
  <si>
    <t>5-62TT01</t>
  </si>
  <si>
    <t>C-PD-342</t>
  </si>
  <si>
    <t>5-01TT01</t>
  </si>
  <si>
    <t>C-PD-343</t>
  </si>
  <si>
    <t>6-62TT01</t>
  </si>
  <si>
    <t>C-PD-344</t>
  </si>
  <si>
    <t>6-01TT01</t>
  </si>
  <si>
    <t>C组RO进水电导率仪</t>
  </si>
  <si>
    <t>C-PD-308</t>
  </si>
  <si>
    <t>CM-230</t>
  </si>
  <si>
    <t>1112202004935</t>
  </si>
  <si>
    <t>C组一级RO产水电导率仪</t>
  </si>
  <si>
    <t>C-PD-307</t>
  </si>
  <si>
    <t>1011100139940</t>
  </si>
  <si>
    <t>C组二级RO产水电导率仪</t>
  </si>
  <si>
    <t>C-PD-306</t>
  </si>
  <si>
    <t>0508393</t>
  </si>
  <si>
    <t>D组RO进水电导率仪</t>
  </si>
  <si>
    <t>C-PD-350</t>
  </si>
  <si>
    <t>1112202004942</t>
  </si>
  <si>
    <t>D组一级RO产水电导率仪</t>
  </si>
  <si>
    <t>C-PD-349</t>
  </si>
  <si>
    <t>YB2021092728.D</t>
  </si>
  <si>
    <t>D组二级RO产水电导率仪</t>
  </si>
  <si>
    <t>C-PD-348</t>
  </si>
  <si>
    <t>YB2021092731.D</t>
  </si>
  <si>
    <t>压力表</t>
  </si>
  <si>
    <t>C-PD-054</t>
  </si>
  <si>
    <t>Y-100</t>
  </si>
  <si>
    <t>0~0/6MPa</t>
  </si>
  <si>
    <t>0/02MPa</t>
  </si>
  <si>
    <t>袋式过滤器</t>
  </si>
  <si>
    <t>进口</t>
  </si>
  <si>
    <t>C-PD-055</t>
  </si>
  <si>
    <t>0/01MPa</t>
  </si>
  <si>
    <t>C-PD-056</t>
  </si>
  <si>
    <t>0~1MPa</t>
  </si>
  <si>
    <t>杭州富阳华仪仪表</t>
  </si>
  <si>
    <t>C-PD-057</t>
  </si>
  <si>
    <t>高处</t>
  </si>
  <si>
    <t>C-PD-053</t>
  </si>
  <si>
    <t>C-PD-092</t>
  </si>
  <si>
    <t>C-PD-093</t>
  </si>
  <si>
    <t>袋式过滤器上</t>
  </si>
  <si>
    <t>C-PD-094</t>
  </si>
  <si>
    <t>0~100MPa</t>
  </si>
  <si>
    <t>1MPa</t>
  </si>
  <si>
    <t>袋式过滤器低处</t>
  </si>
  <si>
    <t>一车间
液氮罐</t>
  </si>
  <si>
    <t>C-PD-454</t>
  </si>
  <si>
    <t>Y-60</t>
  </si>
  <si>
    <t>2018/10</t>
  </si>
  <si>
    <t>0~1/6MPa</t>
  </si>
  <si>
    <t>0/05MPa</t>
  </si>
  <si>
    <t>WIKA</t>
  </si>
  <si>
    <t>C-PD-453</t>
  </si>
  <si>
    <t>0~10kPa</t>
  </si>
  <si>
    <t>0/2kPa</t>
  </si>
  <si>
    <t>一车间设备</t>
  </si>
  <si>
    <t>C-EE-002</t>
  </si>
  <si>
    <t>Y-150</t>
  </si>
  <si>
    <t>分气缸</t>
  </si>
  <si>
    <t>进口（Spirax Sarco）</t>
  </si>
  <si>
    <t>C-EE-004</t>
  </si>
  <si>
    <t>C-EE-006</t>
  </si>
  <si>
    <t>C-EE-098</t>
  </si>
  <si>
    <t>0~2/5MPa</t>
  </si>
  <si>
    <t>C-EE-029</t>
  </si>
  <si>
    <t>富阳兴盛仪表厂</t>
  </si>
  <si>
    <t>C-EE-007</t>
  </si>
  <si>
    <t>配料间蒸汽罐</t>
  </si>
  <si>
    <t>上海仪川仪表厂</t>
  </si>
  <si>
    <t>一期配料上方蒸汽</t>
  </si>
  <si>
    <t>C-PD-424</t>
  </si>
  <si>
    <t>2015/5</t>
  </si>
  <si>
    <t>0~0/4MPa</t>
  </si>
  <si>
    <t>C-PD-425</t>
  </si>
  <si>
    <t>C-PD-426</t>
  </si>
  <si>
    <t>C-PD-427</t>
  </si>
  <si>
    <t>C-PD-250</t>
  </si>
  <si>
    <t>2012/01</t>
  </si>
  <si>
    <t>过滤器上</t>
  </si>
  <si>
    <t>C-PD-254</t>
  </si>
  <si>
    <t>C-PD-415</t>
  </si>
  <si>
    <r>
      <rPr>
        <sz val="9"/>
        <rFont val="Times New Roman"/>
        <charset val="0"/>
      </rPr>
      <t>∅</t>
    </r>
    <r>
      <rPr>
        <sz val="9"/>
        <rFont val="Times New Roman"/>
        <charset val="0"/>
      </rPr>
      <t>-100</t>
    </r>
  </si>
  <si>
    <t>杭州富阳东方仪表厂</t>
  </si>
  <si>
    <t>C-PD-262</t>
  </si>
  <si>
    <t>过滤器下</t>
  </si>
  <si>
    <t>C-PD-451</t>
  </si>
  <si>
    <t>C-PD-263</t>
  </si>
  <si>
    <t>袋式过滤器下</t>
  </si>
  <si>
    <t>C-PD-417</t>
  </si>
  <si>
    <t>C-PD-421</t>
  </si>
  <si>
    <t>三四线灌装液氮</t>
  </si>
  <si>
    <t>C-PD-413</t>
  </si>
  <si>
    <t>杭州富阳华仪仪表厂</t>
  </si>
  <si>
    <t>二期蒸汽房</t>
  </si>
  <si>
    <t>C-PD-457</t>
  </si>
  <si>
    <t>Y-101</t>
  </si>
  <si>
    <t>储气罐</t>
  </si>
  <si>
    <t>二期配料上方</t>
  </si>
  <si>
    <t>C-PD-239</t>
  </si>
  <si>
    <t>C-PD-422</t>
  </si>
  <si>
    <t>C-PD-423</t>
  </si>
  <si>
    <t>C-PD-411</t>
  </si>
  <si>
    <t>二配料夹层蒸汽</t>
  </si>
  <si>
    <t>C-EE-105</t>
  </si>
  <si>
    <t>配料夹层蒸汽</t>
  </si>
  <si>
    <t>二车间设备</t>
  </si>
  <si>
    <t>C-EE-106</t>
  </si>
  <si>
    <t>蒸汽房分汽缸</t>
  </si>
  <si>
    <t>C-EE-107</t>
  </si>
  <si>
    <t>C-EE-108</t>
  </si>
  <si>
    <t>C-EE-109</t>
  </si>
  <si>
    <t>C-EE-110</t>
  </si>
  <si>
    <t>C-PD-292</t>
  </si>
  <si>
    <t>C-PD-294</t>
  </si>
  <si>
    <t>陶瓷过滤器</t>
  </si>
  <si>
    <t>C-PD-295</t>
  </si>
  <si>
    <t>C-PD-408</t>
  </si>
  <si>
    <t>C-PD-296</t>
  </si>
  <si>
    <t>0~10MPa</t>
  </si>
  <si>
    <t>0/2MPa</t>
  </si>
  <si>
    <t>C-PD-407</t>
  </si>
  <si>
    <t>杭州东亚仪表有限公司</t>
  </si>
  <si>
    <t>C-PD-452</t>
  </si>
  <si>
    <t>C-PD-409</t>
  </si>
  <si>
    <t>五线液氮</t>
  </si>
  <si>
    <t>C-PD-455</t>
  </si>
  <si>
    <t>六线液氮</t>
  </si>
  <si>
    <t>C-PD-456</t>
  </si>
  <si>
    <t>雷尔达仪表有限公司</t>
  </si>
  <si>
    <t>三车间设备</t>
  </si>
  <si>
    <t>C-EE-117</t>
  </si>
  <si>
    <t>C-EE-118</t>
  </si>
  <si>
    <t>C-EE-119</t>
  </si>
  <si>
    <t>C-EE-120</t>
  </si>
  <si>
    <t>C-EE-121</t>
  </si>
  <si>
    <t>C-EE-112</t>
  </si>
  <si>
    <r>
      <rPr>
        <sz val="9"/>
        <rFont val="宋体"/>
        <charset val="134"/>
      </rPr>
      <t>压缩空气</t>
    </r>
    <r>
      <rPr>
        <sz val="9"/>
        <color rgb="FFFF0000"/>
        <rFont val="宋体"/>
        <charset val="134"/>
      </rPr>
      <t>新</t>
    </r>
  </si>
  <si>
    <t>C-EE-113</t>
  </si>
  <si>
    <t>C-EE-114</t>
  </si>
  <si>
    <t>C-EE-116</t>
  </si>
  <si>
    <t>三期配料夹层蒸汽</t>
  </si>
  <si>
    <t>C-EE-115</t>
  </si>
  <si>
    <t>两个缸之间</t>
  </si>
  <si>
    <t>三期配料上方</t>
  </si>
  <si>
    <t>C-PD-261</t>
  </si>
  <si>
    <t>C-PD-420</t>
  </si>
  <si>
    <t>三车间化验室</t>
  </si>
  <si>
    <t>14323000</t>
  </si>
  <si>
    <t>0~2/5M pa</t>
  </si>
  <si>
    <t>0/01M pa</t>
  </si>
  <si>
    <t>14395876</t>
  </si>
  <si>
    <t>0~3/0M pa</t>
  </si>
  <si>
    <t>C-EE-008</t>
  </si>
  <si>
    <t>三线灌装加热</t>
  </si>
  <si>
    <t>压差表</t>
  </si>
  <si>
    <t>A2-060Pa</t>
  </si>
  <si>
    <t>Z2406C1830</t>
  </si>
  <si>
    <t>0~60pa</t>
  </si>
  <si>
    <t>三线灌装上盖间</t>
  </si>
  <si>
    <t>Z2406C1839</t>
  </si>
  <si>
    <t>四线灌装加热</t>
  </si>
  <si>
    <t>Z2406C1828</t>
  </si>
  <si>
    <t>四线灌装上盖</t>
  </si>
  <si>
    <t>Z2406C1837</t>
  </si>
  <si>
    <t>一车间配料</t>
  </si>
  <si>
    <t>C-PD-432</t>
  </si>
  <si>
    <t>2016/10</t>
  </si>
  <si>
    <t>2pa</t>
  </si>
  <si>
    <t>C-PD-079</t>
  </si>
  <si>
    <t>B13057641</t>
  </si>
  <si>
    <t>EM200A-60Pa</t>
  </si>
  <si>
    <t>EM2208021099</t>
  </si>
  <si>
    <t>2022/12</t>
  </si>
  <si>
    <t>改造的新表</t>
  </si>
  <si>
    <t>ELECALL</t>
  </si>
  <si>
    <t>EM2209151715</t>
  </si>
  <si>
    <t>C-PD-117</t>
  </si>
  <si>
    <t>2000-60Pa</t>
  </si>
  <si>
    <t>1706T09094</t>
  </si>
  <si>
    <t>EM2209151780</t>
  </si>
  <si>
    <t>EM2208021087</t>
  </si>
  <si>
    <t>二车间配料</t>
  </si>
  <si>
    <t>B21050215</t>
  </si>
  <si>
    <t>2022/11</t>
  </si>
  <si>
    <t>C-PD-358</t>
  </si>
  <si>
    <t>B16114279</t>
  </si>
  <si>
    <t>原为B11074952，9/19查</t>
  </si>
  <si>
    <t>B16114287</t>
  </si>
  <si>
    <t>三线灌装一更</t>
  </si>
  <si>
    <t>C-PD-440</t>
  </si>
  <si>
    <t>B16110193</t>
  </si>
  <si>
    <t>三线废弃物传递间</t>
  </si>
  <si>
    <t>EM2303014196</t>
  </si>
  <si>
    <t>四线废弃物传递间</t>
  </si>
  <si>
    <t>EM2303014210</t>
  </si>
  <si>
    <t>四线灌装一更</t>
  </si>
  <si>
    <t>C-PD-359</t>
  </si>
  <si>
    <t>1706T09057</t>
  </si>
  <si>
    <t>C-PD-441</t>
  </si>
  <si>
    <t>1706T09060</t>
  </si>
  <si>
    <t>三车间配料</t>
  </si>
  <si>
    <t>Z2208L2865</t>
  </si>
  <si>
    <t>C-PD-442</t>
  </si>
  <si>
    <t>1706T09092</t>
  </si>
  <si>
    <t>灌装间外围</t>
  </si>
  <si>
    <t>EM2406218613</t>
  </si>
  <si>
    <t>2024/10</t>
  </si>
  <si>
    <t>下盖间</t>
  </si>
  <si>
    <t>EM2406218635</t>
  </si>
  <si>
    <t>更衣室</t>
  </si>
  <si>
    <t>C-PD-443</t>
  </si>
  <si>
    <t>B16114292</t>
  </si>
  <si>
    <t>EM2406218636</t>
  </si>
  <si>
    <t>EM2406218652</t>
  </si>
  <si>
    <t>二车间化验室</t>
  </si>
  <si>
    <t>C-QA-148</t>
  </si>
  <si>
    <t>B11074965</t>
  </si>
  <si>
    <t>市政自来水总表</t>
  </si>
  <si>
    <t>水表</t>
  </si>
  <si>
    <t>C-PD-391</t>
  </si>
  <si>
    <t>LXLY-200E</t>
  </si>
  <si>
    <t>SZ-001</t>
  </si>
  <si>
    <r>
      <rPr>
        <sz val="9"/>
        <rFont val="Times New Roman"/>
        <charset val="0"/>
      </rPr>
      <t>20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800m3/h</t>
    </r>
  </si>
  <si>
    <r>
      <rPr>
        <sz val="9"/>
        <color indexed="8"/>
        <rFont val="Times New Roman"/>
        <charset val="0"/>
      </rPr>
      <t>2</t>
    </r>
    <r>
      <rPr>
        <sz val="9"/>
        <color indexed="8"/>
        <rFont val="宋体"/>
        <charset val="134"/>
      </rPr>
      <t>级</t>
    </r>
    <r>
      <rPr>
        <sz val="9"/>
        <color indexed="8"/>
        <rFont val="Times New Roman"/>
        <charset val="0"/>
      </rPr>
      <t xml:space="preserve"> ±2%</t>
    </r>
  </si>
  <si>
    <t>表在水泵房</t>
  </si>
  <si>
    <t>制水车间进水总表</t>
  </si>
  <si>
    <t>C-PD-392</t>
  </si>
  <si>
    <t>LXLY-150E</t>
  </si>
  <si>
    <t>01009882</t>
  </si>
  <si>
    <r>
      <rPr>
        <sz val="9"/>
        <rFont val="Times New Roman"/>
        <charset val="0"/>
      </rPr>
      <t>10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600m</t>
    </r>
    <r>
      <rPr>
        <vertAlign val="superscript"/>
        <sz val="9"/>
        <color indexed="8"/>
        <rFont val="宋体"/>
        <charset val="134"/>
      </rPr>
      <t>3</t>
    </r>
    <r>
      <rPr>
        <sz val="9"/>
        <color indexed="8"/>
        <rFont val="宋体"/>
        <charset val="134"/>
      </rPr>
      <t>/h</t>
    </r>
  </si>
  <si>
    <t>生活用水总表</t>
  </si>
  <si>
    <t>C-PD-396</t>
  </si>
  <si>
    <t>H001063</t>
  </si>
  <si>
    <t>生产用水总表</t>
  </si>
  <si>
    <t>C-PD-397</t>
  </si>
  <si>
    <t>数字式反应器</t>
  </si>
  <si>
    <t>C-PD-207</t>
  </si>
  <si>
    <t>DRB 200</t>
  </si>
  <si>
    <t>18040C0431</t>
  </si>
  <si>
    <t>1706T09041</t>
  </si>
  <si>
    <t>2024/4/3</t>
  </si>
  <si>
    <t>脱包间</t>
  </si>
  <si>
    <t>压力变送器</t>
  </si>
  <si>
    <t>EL2600</t>
  </si>
  <si>
    <t>110C7QZI</t>
  </si>
  <si>
    <t>备用</t>
  </si>
  <si>
    <t>流量积算仪</t>
  </si>
  <si>
    <t>M841</t>
  </si>
  <si>
    <t>11-12183</t>
  </si>
  <si>
    <t>广州能源</t>
  </si>
  <si>
    <t>现场</t>
  </si>
  <si>
    <t>铂热电阻</t>
  </si>
  <si>
    <t>Pt100</t>
  </si>
  <si>
    <t>3221262</t>
  </si>
  <si>
    <t>A组RO进水电导率仪</t>
  </si>
  <si>
    <t>C-PD-024</t>
  </si>
  <si>
    <t>1011806000117</t>
  </si>
  <si>
    <t>A组一级RO产水电导率仪</t>
  </si>
  <si>
    <t>C-PD-023</t>
  </si>
  <si>
    <t>1111901061478</t>
  </si>
  <si>
    <t>A组二级RO产水电导率仪</t>
  </si>
  <si>
    <t>C-PD-022</t>
  </si>
  <si>
    <t>1010900091243</t>
  </si>
  <si>
    <t>B组RO进水电导率仪</t>
  </si>
  <si>
    <t>C-PD-028</t>
  </si>
  <si>
    <t>1011000030606</t>
  </si>
  <si>
    <t>B组一级RO产水电导率仪</t>
  </si>
  <si>
    <t>C-PD-027</t>
  </si>
  <si>
    <t>1011000012282</t>
  </si>
  <si>
    <t>B组二级RO产水电导率仪</t>
  </si>
  <si>
    <t>C-PD-026</t>
  </si>
  <si>
    <t>1011000047628</t>
  </si>
  <si>
    <t>流量计</t>
  </si>
  <si>
    <t>DN50</t>
  </si>
  <si>
    <t>C-PD-255</t>
  </si>
  <si>
    <t>K221150</t>
  </si>
  <si>
    <t>C-PD-268</t>
  </si>
  <si>
    <t>K221151</t>
  </si>
  <si>
    <t>安全管理部</t>
  </si>
  <si>
    <t>数字噪音计</t>
  </si>
  <si>
    <t>AR844</t>
  </si>
  <si>
    <t>05169379</t>
  </si>
  <si>
    <t>温度变送器</t>
  </si>
  <si>
    <t>3221261</t>
  </si>
  <si>
    <t>拆送</t>
  </si>
  <si>
    <t>C-PD-208</t>
  </si>
  <si>
    <t>S210</t>
  </si>
  <si>
    <t>B442149272</t>
  </si>
  <si>
    <t>2016/5</t>
  </si>
  <si>
    <t>-2/000～20/000</t>
  </si>
  <si>
    <t>0/01pH</t>
  </si>
  <si>
    <t>真空干燥箱</t>
  </si>
  <si>
    <t>C-PD-210</t>
  </si>
  <si>
    <t>DZF-6021</t>
  </si>
  <si>
    <t>洗罐水压力</t>
  </si>
  <si>
    <t>HSTL-800</t>
  </si>
  <si>
    <t>B4022111</t>
  </si>
  <si>
    <t>0-10bar</t>
  </si>
  <si>
    <t>WMB2088</t>
  </si>
  <si>
    <t>WMB2088-GW</t>
  </si>
  <si>
    <t>0～1Mpa</t>
  </si>
  <si>
    <t>PS103</t>
  </si>
  <si>
    <t>食堂</t>
  </si>
  <si>
    <t>可燃气体报警器</t>
  </si>
  <si>
    <t>1#</t>
  </si>
  <si>
    <t>2#</t>
  </si>
  <si>
    <t>3#</t>
  </si>
  <si>
    <t>4#</t>
  </si>
  <si>
    <t>5#</t>
  </si>
  <si>
    <t>6#</t>
  </si>
  <si>
    <t>7#</t>
  </si>
  <si>
    <t>8#</t>
  </si>
  <si>
    <t>全部</t>
  </si>
  <si>
    <t>内校</t>
  </si>
  <si>
    <t>1/114</t>
  </si>
  <si>
    <t>一</t>
  </si>
  <si>
    <t>1/2544</t>
  </si>
  <si>
    <t>二</t>
  </si>
  <si>
    <t>三</t>
  </si>
  <si>
    <t>其他</t>
  </si>
  <si>
    <t>.</t>
  </si>
  <si>
    <t>备注</t>
  </si>
  <si>
    <t>C-PD-212</t>
  </si>
  <si>
    <t>2010.10</t>
  </si>
  <si>
    <t>0~0.6MPa</t>
  </si>
  <si>
    <t>0.02MPa</t>
  </si>
  <si>
    <t>2025.5.12</t>
  </si>
  <si>
    <t>2025.11.11</t>
  </si>
  <si>
    <t>C-PD-213</t>
  </si>
  <si>
    <t>C-PD-214</t>
  </si>
  <si>
    <t>0.01MPa</t>
  </si>
  <si>
    <t>C-PD-215</t>
  </si>
  <si>
    <t>0~1.6MPa</t>
  </si>
  <si>
    <t>2015.5</t>
  </si>
  <si>
    <t>C-PD-450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</si>
  <si>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</si>
  <si>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C-PD-236</t>
  </si>
  <si>
    <t>2012.01</t>
  </si>
  <si>
    <t>0.04MPa</t>
  </si>
  <si>
    <t>C-PD-237</t>
  </si>
  <si>
    <t>C-PD-238</t>
  </si>
  <si>
    <t>C-PD-240</t>
  </si>
  <si>
    <t>C-PD-242</t>
  </si>
  <si>
    <t>C-PD-288</t>
  </si>
  <si>
    <t>2012.08</t>
  </si>
  <si>
    <t>C-PD-289</t>
  </si>
  <si>
    <t>C-PD-290</t>
  </si>
  <si>
    <r>
      <rPr>
        <sz val="9"/>
        <rFont val="Times New Roman"/>
        <charset val="0"/>
      </rPr>
      <t>RO</t>
    </r>
    <r>
      <rPr>
        <sz val="9"/>
        <rFont val="宋体"/>
        <charset val="134"/>
      </rPr>
      <t>水过滤器</t>
    </r>
  </si>
  <si>
    <t>C-PD-291</t>
  </si>
  <si>
    <t>C-PD-410</t>
  </si>
  <si>
    <t>0.05MPa</t>
  </si>
  <si>
    <t>过滤器</t>
  </si>
  <si>
    <t>制水车间AB组</t>
  </si>
  <si>
    <t>C-PD-013</t>
  </si>
  <si>
    <t>0~2.5MPa</t>
  </si>
  <si>
    <t>0.1MPa</t>
  </si>
  <si>
    <t>一级进水压力表</t>
  </si>
  <si>
    <t>C-PD-014</t>
  </si>
  <si>
    <t>一级二段压力表</t>
  </si>
  <si>
    <t>C-PD-015</t>
  </si>
  <si>
    <t>一级浓水压力表</t>
  </si>
  <si>
    <t>C-PD-016</t>
  </si>
  <si>
    <t>一级产水压力表</t>
  </si>
  <si>
    <t>C-PD-017</t>
  </si>
  <si>
    <t>二级进水压力表</t>
  </si>
  <si>
    <t>C-PD-018</t>
  </si>
  <si>
    <t>二级二段压力表</t>
  </si>
  <si>
    <t>C-PD-019</t>
  </si>
  <si>
    <t>二级浓水压力表</t>
  </si>
  <si>
    <t>C-PD-020</t>
  </si>
  <si>
    <t>二级产水压力表</t>
  </si>
  <si>
    <t>C-PD-029</t>
  </si>
  <si>
    <t>C-PD-030</t>
  </si>
  <si>
    <t>C-PD-031</t>
  </si>
  <si>
    <t>C-PD-032</t>
  </si>
  <si>
    <t>C-PD-033</t>
  </si>
  <si>
    <t>C-PD-034</t>
  </si>
  <si>
    <t>C-PD-035</t>
  </si>
  <si>
    <t>C-PD-036</t>
  </si>
  <si>
    <t>C-PD-228</t>
  </si>
  <si>
    <t>C-PD-229</t>
  </si>
  <si>
    <t>C-PD-230</t>
  </si>
  <si>
    <t>C-PD-231</t>
  </si>
  <si>
    <t>Y-20</t>
  </si>
  <si>
    <t>C-PD-232</t>
  </si>
  <si>
    <t>C-PD-233</t>
  </si>
  <si>
    <t>C-PD-234</t>
  </si>
  <si>
    <t>C-PD-235</t>
  </si>
  <si>
    <t>C-PD-317</t>
  </si>
  <si>
    <t>C-PD-318</t>
  </si>
  <si>
    <t>C-PD-319</t>
  </si>
  <si>
    <t>C-PD-320</t>
  </si>
  <si>
    <t>C-PD-321</t>
  </si>
  <si>
    <t>C-PD-322</t>
  </si>
  <si>
    <t>C-PD-323</t>
  </si>
  <si>
    <t>C-PD-324</t>
  </si>
  <si>
    <t>C-PD-002</t>
  </si>
  <si>
    <t>安保</t>
  </si>
  <si>
    <t>C-PD-003</t>
  </si>
  <si>
    <t>活性炭B上</t>
  </si>
  <si>
    <t>C-PD-004</t>
  </si>
  <si>
    <t>多介质A上</t>
  </si>
  <si>
    <t>C-PD-005</t>
  </si>
  <si>
    <t>活性炭B下</t>
  </si>
  <si>
    <t>C-PD-006</t>
  </si>
  <si>
    <t>多介质A下</t>
  </si>
  <si>
    <t>C-PD-007</t>
  </si>
  <si>
    <t>UVAB</t>
  </si>
  <si>
    <t>C-PD-008</t>
  </si>
  <si>
    <t>多介质B上</t>
  </si>
  <si>
    <t>C-PD-009</t>
  </si>
  <si>
    <t>多介质B下</t>
  </si>
  <si>
    <t>C-PD-010</t>
  </si>
  <si>
    <t>活性炭A上</t>
  </si>
  <si>
    <t>C-PD-011</t>
  </si>
  <si>
    <t>保安过滤器</t>
  </si>
  <si>
    <t>C-PD-012</t>
  </si>
  <si>
    <t>保安过滤器上</t>
  </si>
  <si>
    <t>C-PD-037</t>
  </si>
  <si>
    <t>活性炭A下</t>
  </si>
  <si>
    <t>C-PD-220</t>
  </si>
  <si>
    <r>
      <rPr>
        <sz val="9"/>
        <rFont val="宋体"/>
        <charset val="134"/>
      </rPr>
      <t>活性炭</t>
    </r>
    <r>
      <rPr>
        <sz val="9"/>
        <rFont val="Times New Roman"/>
        <charset val="0"/>
      </rPr>
      <t>C</t>
    </r>
    <r>
      <rPr>
        <sz val="9"/>
        <rFont val="宋体"/>
        <charset val="134"/>
      </rPr>
      <t>下</t>
    </r>
  </si>
  <si>
    <t>C-PD-221</t>
  </si>
  <si>
    <r>
      <rPr>
        <sz val="9"/>
        <rFont val="宋体"/>
        <charset val="134"/>
      </rPr>
      <t>活性炭</t>
    </r>
    <r>
      <rPr>
        <sz val="9"/>
        <rFont val="Times New Roman"/>
        <charset val="0"/>
      </rPr>
      <t>C</t>
    </r>
    <r>
      <rPr>
        <sz val="9"/>
        <rFont val="宋体"/>
        <charset val="134"/>
      </rPr>
      <t>上</t>
    </r>
  </si>
  <si>
    <t>C-PD-222</t>
  </si>
  <si>
    <r>
      <rPr>
        <sz val="9"/>
        <rFont val="Times New Roman"/>
        <charset val="0"/>
      </rPr>
      <t>UV</t>
    </r>
    <r>
      <rPr>
        <sz val="9"/>
        <rFont val="宋体"/>
        <charset val="134"/>
      </rPr>
      <t>后</t>
    </r>
    <r>
      <rPr>
        <sz val="9"/>
        <rFont val="Times New Roman"/>
        <charset val="0"/>
      </rPr>
      <t>C</t>
    </r>
  </si>
  <si>
    <t>C-PD-223</t>
  </si>
  <si>
    <t>安保下</t>
  </si>
  <si>
    <t>C-PD-224</t>
  </si>
  <si>
    <r>
      <rPr>
        <sz val="9"/>
        <rFont val="宋体"/>
        <charset val="134"/>
      </rPr>
      <t>多介质</t>
    </r>
    <r>
      <rPr>
        <sz val="9"/>
        <rFont val="Times New Roman"/>
        <charset val="0"/>
      </rPr>
      <t>C</t>
    </r>
    <r>
      <rPr>
        <sz val="9"/>
        <rFont val="宋体"/>
        <charset val="134"/>
      </rPr>
      <t>上</t>
    </r>
  </si>
  <si>
    <t>C-PD-225</t>
  </si>
  <si>
    <r>
      <rPr>
        <sz val="9"/>
        <rFont val="宋体"/>
        <charset val="134"/>
      </rPr>
      <t>多介质</t>
    </r>
    <r>
      <rPr>
        <sz val="9"/>
        <rFont val="Times New Roman"/>
        <charset val="0"/>
      </rPr>
      <t>C</t>
    </r>
    <r>
      <rPr>
        <sz val="9"/>
        <rFont val="宋体"/>
        <charset val="134"/>
      </rPr>
      <t>下</t>
    </r>
  </si>
  <si>
    <t>C-PD-226</t>
  </si>
  <si>
    <t>安保上</t>
  </si>
  <si>
    <t>C-PD-310</t>
  </si>
  <si>
    <r>
      <rPr>
        <sz val="9"/>
        <rFont val="宋体"/>
        <charset val="134"/>
      </rPr>
      <t>活性炭</t>
    </r>
    <r>
      <rPr>
        <sz val="9"/>
        <rFont val="Times New Roman"/>
        <charset val="0"/>
      </rPr>
      <t>D</t>
    </r>
    <r>
      <rPr>
        <sz val="9"/>
        <rFont val="宋体"/>
        <charset val="134"/>
      </rPr>
      <t>下</t>
    </r>
  </si>
  <si>
    <t>赛途仪器仪表有限公司</t>
  </si>
  <si>
    <t>C-PD-311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</si>
  <si>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0.6MPa</t>
    </r>
  </si>
  <si>
    <r>
      <rPr>
        <sz val="9"/>
        <rFont val="宋体"/>
        <charset val="134"/>
      </rPr>
      <t>活性炭</t>
    </r>
    <r>
      <rPr>
        <sz val="9"/>
        <rFont val="Times New Roman"/>
        <charset val="0"/>
      </rPr>
      <t>D</t>
    </r>
    <r>
      <rPr>
        <sz val="9"/>
        <rFont val="宋体"/>
        <charset val="134"/>
      </rPr>
      <t>上</t>
    </r>
  </si>
  <si>
    <t>C-PD-312</t>
  </si>
  <si>
    <r>
      <rPr>
        <sz val="9"/>
        <rFont val="宋体"/>
        <charset val="134"/>
      </rPr>
      <t>多介质</t>
    </r>
    <r>
      <rPr>
        <sz val="9"/>
        <rFont val="Times New Roman"/>
        <charset val="0"/>
      </rPr>
      <t>D</t>
    </r>
    <r>
      <rPr>
        <sz val="9"/>
        <rFont val="宋体"/>
        <charset val="134"/>
      </rPr>
      <t>下</t>
    </r>
  </si>
  <si>
    <t>C-PD-313</t>
  </si>
  <si>
    <r>
      <rPr>
        <sz val="9"/>
        <rFont val="宋体"/>
        <charset val="134"/>
      </rPr>
      <t>多介质</t>
    </r>
    <r>
      <rPr>
        <sz val="9"/>
        <rFont val="Times New Roman"/>
        <charset val="0"/>
      </rPr>
      <t>D</t>
    </r>
    <r>
      <rPr>
        <sz val="9"/>
        <rFont val="宋体"/>
        <charset val="134"/>
      </rPr>
      <t>上</t>
    </r>
  </si>
  <si>
    <t>C-PD-314</t>
  </si>
  <si>
    <t>C-PD-315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</si>
  <si>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1MPa</t>
    </r>
  </si>
  <si>
    <t>YW01027667</t>
  </si>
  <si>
    <t>C-PD-316</t>
  </si>
  <si>
    <t>UV后D</t>
  </si>
  <si>
    <t>水泵房</t>
  </si>
  <si>
    <t>C-PD-139</t>
  </si>
  <si>
    <t>C-PD-140</t>
  </si>
  <si>
    <t>C-PD-039</t>
  </si>
  <si>
    <t>屋顶上</t>
  </si>
  <si>
    <t>C-PD-227</t>
  </si>
  <si>
    <t>D组系统脱气膜</t>
  </si>
  <si>
    <t>-0.1~0Mpa</t>
  </si>
  <si>
    <t>0.002Mpa</t>
  </si>
  <si>
    <t>上海天川仪表厂</t>
  </si>
  <si>
    <t>0~1M pa</t>
  </si>
  <si>
    <t>上海驰检自动化仪表有限公司</t>
  </si>
  <si>
    <t>C-PD-505</t>
  </si>
  <si>
    <t>0.02Mpa</t>
  </si>
  <si>
    <t>YYST</t>
  </si>
  <si>
    <t>C-PD-144</t>
  </si>
  <si>
    <t>0~1.6M pa</t>
  </si>
  <si>
    <t>0.25M pa</t>
  </si>
  <si>
    <t>雷达尔仪表有限公司</t>
  </si>
  <si>
    <t>C-PD-145</t>
  </si>
  <si>
    <t>0~0.16M pa</t>
  </si>
  <si>
    <t>0.004M pa</t>
  </si>
  <si>
    <t>C-PD-147</t>
  </si>
  <si>
    <t>C-PD-148</t>
  </si>
  <si>
    <t>0~0.1M pa</t>
  </si>
  <si>
    <t>C-PD-149</t>
  </si>
  <si>
    <t>0.05M pa</t>
  </si>
  <si>
    <t>污水房（中水池）</t>
  </si>
  <si>
    <t>C-PD-150</t>
  </si>
  <si>
    <t>0~2.5M pa</t>
  </si>
  <si>
    <t>0.02M pa</t>
  </si>
  <si>
    <t>C-PD-151</t>
  </si>
  <si>
    <t>-0.1~0M pa</t>
  </si>
  <si>
    <t>富阳宏盛仪表厂</t>
  </si>
  <si>
    <t>C-PD-152</t>
  </si>
  <si>
    <t>0.005M pa</t>
  </si>
  <si>
    <t>C-PD-153</t>
  </si>
  <si>
    <t>0.04M pa</t>
  </si>
  <si>
    <t>杭州江南压力表有限公司</t>
  </si>
  <si>
    <t>C-PD-154</t>
  </si>
  <si>
    <t>0.1M pa</t>
  </si>
  <si>
    <t>C-PD-155</t>
  </si>
  <si>
    <t>C-PD-156</t>
  </si>
  <si>
    <t>0~0.6M pa</t>
  </si>
  <si>
    <t>0.01M pa</t>
  </si>
  <si>
    <t>C-PD-157</t>
  </si>
  <si>
    <t>2019.05</t>
  </si>
  <si>
    <t>杭州鹤山仪表有限公司</t>
  </si>
  <si>
    <t>C-PD-158</t>
  </si>
  <si>
    <t>C-PD-159</t>
  </si>
  <si>
    <t>一线冷却机</t>
  </si>
  <si>
    <t>C-PD-428</t>
  </si>
  <si>
    <t>2016/11</t>
  </si>
  <si>
    <t>一线冷却水槽</t>
  </si>
  <si>
    <t>C-PD-429</t>
  </si>
  <si>
    <t>C-PD-430</t>
  </si>
  <si>
    <t>C-PD-431</t>
  </si>
  <si>
    <t>C-PD-095</t>
  </si>
  <si>
    <t>C-PD-059</t>
  </si>
  <si>
    <t>矮处</t>
  </si>
  <si>
    <t>C-PD-061</t>
  </si>
  <si>
    <t>C-PD-070</t>
  </si>
  <si>
    <t>C-PD-087</t>
  </si>
  <si>
    <t>低处</t>
  </si>
  <si>
    <t>C-PD-089</t>
  </si>
  <si>
    <t>C-PD-058</t>
  </si>
  <si>
    <t>C-PD-060</t>
  </si>
  <si>
    <t>C-PD-249</t>
  </si>
  <si>
    <t>中间</t>
  </si>
  <si>
    <t>C-PD-251</t>
  </si>
  <si>
    <t>加热板交边（中间位置）</t>
  </si>
  <si>
    <t>C-PD-252</t>
  </si>
  <si>
    <t>加热板交前（低处）</t>
  </si>
  <si>
    <t>C-PD-412</t>
  </si>
  <si>
    <t>检查的过滤器上</t>
  </si>
  <si>
    <t>C-PD-414</t>
  </si>
  <si>
    <t>C-PD-416</t>
  </si>
  <si>
    <t>C-PD-260</t>
  </si>
  <si>
    <t>缸下低处</t>
  </si>
  <si>
    <t>C-PD-264</t>
  </si>
  <si>
    <t>低处板交后</t>
  </si>
  <si>
    <t>C-PD-418</t>
  </si>
  <si>
    <t>C-PD-419</t>
  </si>
  <si>
    <t>C-PD-293</t>
  </si>
  <si>
    <t>C-PD-502</t>
  </si>
  <si>
    <t>灌装间内</t>
  </si>
  <si>
    <t>C-PD-299</t>
  </si>
  <si>
    <t>板交后中间</t>
  </si>
  <si>
    <t>C-PD-404</t>
  </si>
  <si>
    <t>贴近玻璃窗</t>
  </si>
  <si>
    <t>C-PD-500</t>
  </si>
  <si>
    <t>C-PD-501</t>
  </si>
  <si>
    <t>C-PD-402</t>
  </si>
  <si>
    <t>C-PD-403</t>
  </si>
  <si>
    <t>贴近玻璃窗（油）要胶带贴</t>
  </si>
  <si>
    <t>北京布莱迪仪器仪表有限公司</t>
  </si>
  <si>
    <t>C-PD-405</t>
  </si>
  <si>
    <t>C-PD-406</t>
  </si>
  <si>
    <t>下次检定日期</t>
  </si>
  <si>
    <t>食品温度计</t>
  </si>
  <si>
    <t>W006</t>
  </si>
  <si>
    <r>
      <rPr>
        <sz val="9"/>
        <rFont val="Times New Roman"/>
        <charset val="0"/>
      </rPr>
      <t>1</t>
    </r>
    <r>
      <rPr>
        <sz val="9"/>
        <rFont val="宋体"/>
        <charset val="134"/>
      </rPr>
      <t>年</t>
    </r>
  </si>
  <si>
    <t>W007</t>
  </si>
  <si>
    <t>糖度计</t>
  </si>
  <si>
    <t>PR-101a</t>
  </si>
  <si>
    <t>D10430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</si>
  <si>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～45%</t>
    </r>
  </si>
  <si>
    <t>1年</t>
  </si>
  <si>
    <t>佛山市计量所</t>
  </si>
  <si>
    <t>一车间化验室</t>
  </si>
  <si>
    <t>D12239</t>
  </si>
  <si>
    <t>花都计量所</t>
  </si>
  <si>
    <t>罐内压力测定仪</t>
  </si>
  <si>
    <t>CPG20111107MSJ</t>
  </si>
  <si>
    <t>C-QA-004</t>
  </si>
  <si>
    <t>CPG-200</t>
  </si>
  <si>
    <r>
      <rPr>
        <sz val="9"/>
        <rFont val="Times New Roman"/>
        <charset val="0"/>
      </rPr>
      <t>-50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50KPa</t>
    </r>
  </si>
  <si>
    <t>2KPa</t>
  </si>
  <si>
    <t>在线普通</t>
  </si>
  <si>
    <t>C-PD-186</t>
  </si>
  <si>
    <t>成品</t>
  </si>
  <si>
    <t>罐盖内涂膜完整性测定</t>
  </si>
  <si>
    <t>C-QA-079</t>
  </si>
  <si>
    <t>DER-3</t>
  </si>
  <si>
    <t>DER20110901ZFX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</si>
  <si>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500mA</t>
    </r>
  </si>
  <si>
    <t>±2%</t>
  </si>
  <si>
    <t>一期大机内</t>
  </si>
  <si>
    <t>罐盖拉环拉力测定仪</t>
  </si>
  <si>
    <t>C-QA-022</t>
  </si>
  <si>
    <t>PTT-200</t>
  </si>
  <si>
    <t>PTT20100803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</si>
  <si>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200N</t>
    </r>
  </si>
  <si>
    <t>0.1N</t>
  </si>
  <si>
    <t>卷封投影仪校准快</t>
  </si>
  <si>
    <t>KZJ-C</t>
  </si>
  <si>
    <t>KZJ-C-490</t>
  </si>
  <si>
    <t>二期在用</t>
  </si>
  <si>
    <t>2025.9送检</t>
  </si>
  <si>
    <t>空罐翻边宽度测定仪</t>
  </si>
  <si>
    <t>C-QA-017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</si>
  <si>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3.5mm</t>
    </r>
  </si>
  <si>
    <t>0.01mm</t>
  </si>
  <si>
    <t>普通型</t>
  </si>
  <si>
    <t>罐口内径测定仪</t>
  </si>
  <si>
    <t>C-QA-018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</si>
  <si>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1.2mm</t>
    </r>
  </si>
  <si>
    <t>罐体高度量规</t>
  </si>
  <si>
    <t>C-QA-020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</si>
  <si>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10mm</t>
    </r>
  </si>
  <si>
    <t>普通型罐</t>
  </si>
  <si>
    <t>C-QA-052</t>
  </si>
  <si>
    <t>CX31</t>
  </si>
  <si>
    <t>AD7858</t>
  </si>
  <si>
    <t>高压灭菌锅</t>
  </si>
  <si>
    <t>C-QA-062</t>
  </si>
  <si>
    <t>MLS-3780</t>
  </si>
  <si>
    <t>031084</t>
  </si>
  <si>
    <t>C-QA-070</t>
  </si>
  <si>
    <t>C-QA-047</t>
  </si>
  <si>
    <t>C-QA-113</t>
  </si>
  <si>
    <t>B151567133</t>
  </si>
  <si>
    <r>
      <rPr>
        <sz val="9"/>
        <rFont val="Times New Roman"/>
        <charset val="0"/>
      </rPr>
      <t>-2.000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20.000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</si>
  <si>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</si>
  <si>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C-QA-112</t>
  </si>
  <si>
    <t>B152578560</t>
  </si>
  <si>
    <t>紫外分光光度计</t>
  </si>
  <si>
    <t>C-QA-051</t>
  </si>
  <si>
    <t>U-2900</t>
  </si>
  <si>
    <t>22E34-016</t>
  </si>
  <si>
    <t>C-QA-110</t>
  </si>
  <si>
    <t>22E40-009</t>
  </si>
  <si>
    <t>C-QA-128</t>
  </si>
  <si>
    <t>24E59-012</t>
  </si>
  <si>
    <t>C-QA-129</t>
  </si>
  <si>
    <t>24E61-006</t>
  </si>
  <si>
    <t>恒温培养箱</t>
  </si>
  <si>
    <t>C-QA-054</t>
  </si>
  <si>
    <t>MIR-254</t>
  </si>
  <si>
    <r>
      <rPr>
        <sz val="9"/>
        <rFont val="Times New Roman"/>
        <charset val="0"/>
      </rPr>
      <t>-10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60</t>
    </r>
    <r>
      <rPr>
        <sz val="9"/>
        <rFont val="宋体"/>
        <charset val="134"/>
      </rPr>
      <t>℃</t>
    </r>
  </si>
  <si>
    <t>C-QA-055</t>
  </si>
  <si>
    <t>C-QA-056</t>
  </si>
  <si>
    <t>C-QA-057</t>
  </si>
  <si>
    <t>C-QA-58</t>
  </si>
  <si>
    <t>C-QA-105</t>
  </si>
  <si>
    <t>C-QA-060</t>
  </si>
  <si>
    <t>BD240</t>
  </si>
  <si>
    <t>10-06275</t>
  </si>
  <si>
    <r>
      <rPr>
        <sz val="9"/>
        <rFont val="Times New Roman"/>
        <charset val="0"/>
      </rPr>
      <t>5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100℃</t>
    </r>
  </si>
  <si>
    <t>C-QA-059</t>
  </si>
  <si>
    <t>10-06277</t>
  </si>
  <si>
    <t>C-QA-104</t>
  </si>
  <si>
    <t>10-06266</t>
  </si>
  <si>
    <t>C-QA-061</t>
  </si>
  <si>
    <t>10-06285</t>
  </si>
  <si>
    <t>电热恒温鼓风干燥箱</t>
  </si>
  <si>
    <t>C-QA-053</t>
  </si>
  <si>
    <t>DGG-9123AD</t>
  </si>
  <si>
    <t>C-QA-103</t>
  </si>
  <si>
    <t>电热真空干燥箱</t>
  </si>
  <si>
    <t>C-QA-119</t>
  </si>
  <si>
    <t>DZG-609OD</t>
  </si>
  <si>
    <t>Y-60(0～30)MPa</t>
  </si>
  <si>
    <t>N001</t>
  </si>
  <si>
    <t>N002</t>
  </si>
  <si>
    <t>容量瓶</t>
  </si>
  <si>
    <t>C-QA-064</t>
  </si>
  <si>
    <t>260ml</t>
  </si>
  <si>
    <t>JGL-01</t>
  </si>
  <si>
    <t>240-260ml</t>
  </si>
  <si>
    <t>0.5ml</t>
  </si>
  <si>
    <t>C-QA-065</t>
  </si>
  <si>
    <t>JGL-02</t>
  </si>
  <si>
    <t>C-QA-144</t>
  </si>
  <si>
    <t>50ml</t>
  </si>
  <si>
    <t>RL01</t>
  </si>
  <si>
    <t>C-QA-108</t>
  </si>
  <si>
    <t>JGL-03</t>
  </si>
  <si>
    <t>C-QA-109</t>
  </si>
  <si>
    <t>JGL-04</t>
  </si>
  <si>
    <t>C-QA-146</t>
  </si>
  <si>
    <t>RL02</t>
  </si>
  <si>
    <t>C-QA-147</t>
  </si>
  <si>
    <t>RL03</t>
  </si>
  <si>
    <t>KZJ-C-493</t>
  </si>
  <si>
    <t>分度吸量管（1ml移液管）</t>
  </si>
  <si>
    <t>FD01</t>
  </si>
  <si>
    <t>FD02</t>
  </si>
  <si>
    <t>FD03</t>
  </si>
  <si>
    <t>FD04</t>
  </si>
  <si>
    <t>FD05</t>
  </si>
  <si>
    <t>FD06</t>
  </si>
  <si>
    <t>Y-60(0-2.5)MPA</t>
  </si>
  <si>
    <t>C001</t>
  </si>
  <si>
    <t>C002</t>
  </si>
  <si>
    <t>移液器</t>
  </si>
  <si>
    <t>(100-1000)μL</t>
  </si>
  <si>
    <t>YE179AG0004630</t>
  </si>
  <si>
    <t>C-QA-077</t>
  </si>
  <si>
    <t>CPG20111106MSJ</t>
  </si>
  <si>
    <t>二期成品拿去三期用</t>
  </si>
  <si>
    <t>双道原子荧光光度计</t>
  </si>
  <si>
    <t>C-QA-167</t>
  </si>
  <si>
    <t>AFS-9700</t>
  </si>
  <si>
    <t>9700/213400</t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</si>
  <si>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0.03ng/mL</t>
    </r>
  </si>
  <si>
    <t>氨基酸分析仪</t>
  </si>
  <si>
    <t>C-QA-169</t>
  </si>
  <si>
    <t>L-8900</t>
  </si>
  <si>
    <t>852-0150</t>
  </si>
  <si>
    <t>440nm-570nm</t>
  </si>
  <si>
    <t>3pmol</t>
  </si>
  <si>
    <t>电导率仪</t>
  </si>
  <si>
    <t>C-QA-045</t>
  </si>
  <si>
    <t>SG3</t>
  </si>
  <si>
    <r>
      <rPr>
        <sz val="9"/>
        <color indexed="8"/>
        <rFont val="Times New Roman"/>
        <charset val="0"/>
      </rPr>
      <t>0</t>
    </r>
    <r>
      <rPr>
        <sz val="9"/>
        <color indexed="8"/>
        <rFont val="宋体"/>
        <charset val="134"/>
      </rPr>
      <t>～200us/cm</t>
    </r>
  </si>
  <si>
    <t>0.01us/cm</t>
  </si>
  <si>
    <t>外径千分尺</t>
  </si>
  <si>
    <t>C-QA-041</t>
  </si>
  <si>
    <t>M110-25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</si>
  <si>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25mm</t>
    </r>
  </si>
  <si>
    <t>糖厂化验室</t>
  </si>
  <si>
    <t>W001</t>
  </si>
  <si>
    <t>在用</t>
  </si>
  <si>
    <t>W002</t>
  </si>
  <si>
    <t>C-QA-084</t>
  </si>
  <si>
    <t>FWG-100-d</t>
  </si>
  <si>
    <t>强化型</t>
  </si>
  <si>
    <t>密度计</t>
  </si>
  <si>
    <t>C-QA-168</t>
  </si>
  <si>
    <t>30PX</t>
  </si>
  <si>
    <t>LWEO4724</t>
  </si>
  <si>
    <t>C-QA-048</t>
  </si>
  <si>
    <t>S40</t>
  </si>
  <si>
    <t>在线化验室</t>
  </si>
  <si>
    <t>C-QA-102</t>
  </si>
  <si>
    <t>23E54-009</t>
  </si>
  <si>
    <t>C-QA-106</t>
  </si>
  <si>
    <t>0-30Mpa</t>
  </si>
  <si>
    <t>0401</t>
  </si>
  <si>
    <t>0-1Mpa</t>
  </si>
  <si>
    <t>0~25M pa</t>
  </si>
  <si>
    <t>2024</t>
  </si>
  <si>
    <t>0~30M pa</t>
  </si>
  <si>
    <t>5M pa</t>
  </si>
  <si>
    <t>折光仪（糖酸一体机）</t>
  </si>
  <si>
    <t>R4</t>
  </si>
  <si>
    <t>PH计（糖酸一体机）</t>
  </si>
  <si>
    <t>S470</t>
  </si>
  <si>
    <t>C341926714</t>
  </si>
  <si>
    <t>W003</t>
  </si>
  <si>
    <t>C-QA-170</t>
  </si>
  <si>
    <t>顶盖自动检测仪</t>
  </si>
  <si>
    <t>EMS-200</t>
  </si>
  <si>
    <t>EMS214825020315WBY</t>
  </si>
  <si>
    <t>酶标仪</t>
  </si>
  <si>
    <t>SUNRISE</t>
  </si>
  <si>
    <t>16039400</t>
  </si>
  <si>
    <t>DM40</t>
  </si>
  <si>
    <t>B840536544</t>
  </si>
  <si>
    <t>SX-700</t>
  </si>
  <si>
    <t>Y001</t>
  </si>
  <si>
    <t>Y002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</si>
  <si>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</si>
  <si>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Y003</t>
  </si>
  <si>
    <t>C-QA-178</t>
  </si>
  <si>
    <t>A92489</t>
  </si>
  <si>
    <r>
      <rPr>
        <sz val="9"/>
        <rFont val="Times New Roman"/>
        <charset val="0"/>
      </rPr>
      <t>0.0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45.0%</t>
    </r>
  </si>
  <si>
    <t>二期在线</t>
  </si>
  <si>
    <t>C-QA-177</t>
  </si>
  <si>
    <t>A89288</t>
  </si>
  <si>
    <t>二期化验室</t>
  </si>
  <si>
    <t>W004</t>
  </si>
  <si>
    <t>备用三车间</t>
  </si>
  <si>
    <t xml:space="preserve">数显温度计 </t>
  </si>
  <si>
    <t>C-QA-092</t>
  </si>
  <si>
    <t>testo 110</t>
  </si>
  <si>
    <t>33922179/805</t>
  </si>
  <si>
    <t>YEAA2AA0039685</t>
  </si>
  <si>
    <t>21G08942</t>
  </si>
  <si>
    <t>分度吸量管（2ml移液管）</t>
  </si>
  <si>
    <t>306</t>
  </si>
  <si>
    <t>分度吸量管（5ml移液管）</t>
  </si>
  <si>
    <t>307</t>
  </si>
  <si>
    <t>分度吸量管（10ml移液管）</t>
  </si>
  <si>
    <t>308</t>
  </si>
  <si>
    <t>分度吸量管（25ml移液管）</t>
  </si>
  <si>
    <t>309</t>
  </si>
  <si>
    <t>单标线容量瓶5ml</t>
  </si>
  <si>
    <t>301</t>
  </si>
  <si>
    <t>单标线容量瓶10ml</t>
  </si>
  <si>
    <t>302</t>
  </si>
  <si>
    <t>单标线容量瓶20ml</t>
  </si>
  <si>
    <t>303</t>
  </si>
  <si>
    <t>单标线容量瓶25ml</t>
  </si>
  <si>
    <t>304</t>
  </si>
  <si>
    <t>单标线容量瓶100ml</t>
  </si>
  <si>
    <t>305</t>
  </si>
  <si>
    <t>C-QA-081</t>
  </si>
  <si>
    <t>DER20110906ZFX</t>
  </si>
  <si>
    <t>D13408</t>
  </si>
  <si>
    <t>0～45%</t>
  </si>
  <si>
    <t>三期化验室</t>
  </si>
  <si>
    <t>D10375</t>
  </si>
  <si>
    <t>W008</t>
  </si>
  <si>
    <t>W005</t>
  </si>
  <si>
    <t>尘埃粒子计数器</t>
  </si>
  <si>
    <t>CW-HPC300</t>
  </si>
  <si>
    <r>
      <rPr>
        <sz val="9"/>
        <rFont val="Times New Roman"/>
        <charset val="0"/>
      </rPr>
      <t>0.3</t>
    </r>
    <r>
      <rPr>
        <sz val="9"/>
        <rFont val="宋体"/>
        <charset val="134"/>
      </rPr>
      <t>、</t>
    </r>
    <r>
      <rPr>
        <sz val="9"/>
        <rFont val="Times New Roman"/>
        <charset val="0"/>
      </rPr>
      <t>0.5</t>
    </r>
    <r>
      <rPr>
        <sz val="9"/>
        <rFont val="宋体"/>
        <charset val="134"/>
      </rPr>
      <t>、</t>
    </r>
    <r>
      <rPr>
        <sz val="9"/>
        <rFont val="Times New Roman"/>
        <charset val="0"/>
      </rPr>
      <t>5.0μm</t>
    </r>
  </si>
  <si>
    <t>100±10%@0.5um</t>
  </si>
  <si>
    <t>卷边厚度量规</t>
  </si>
  <si>
    <t>C-QA-016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</si>
  <si>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5mm</t>
    </r>
  </si>
  <si>
    <t>10ml移液器</t>
  </si>
  <si>
    <t>21B21232</t>
  </si>
  <si>
    <r>
      <rPr>
        <sz val="9"/>
        <rFont val="Times New Roman"/>
        <charset val="0"/>
      </rPr>
      <t>2</t>
    </r>
    <r>
      <rPr>
        <sz val="9"/>
        <color indexed="8"/>
        <rFont val="宋体"/>
        <charset val="134"/>
      </rPr>
      <t>-10ml</t>
    </r>
  </si>
  <si>
    <t>UV5</t>
  </si>
  <si>
    <t>C102914015</t>
  </si>
  <si>
    <t>C047569672</t>
  </si>
  <si>
    <t>生化培养箱</t>
  </si>
  <si>
    <t>SPX-250B-Z</t>
  </si>
  <si>
    <t>D12252</t>
  </si>
  <si>
    <t>三期备用</t>
  </si>
  <si>
    <t>三期灌装</t>
  </si>
  <si>
    <t>D10435</t>
  </si>
  <si>
    <t>色度检测仪</t>
  </si>
  <si>
    <t>C-QA-066</t>
  </si>
  <si>
    <t>XZ-S</t>
  </si>
  <si>
    <t>0-100PCU</t>
  </si>
  <si>
    <t>C-QA-067</t>
  </si>
  <si>
    <t>多工位罐盖内涂膜检测仪</t>
  </si>
  <si>
    <t>MDER-10</t>
  </si>
  <si>
    <t>MDER2412404010511BSH</t>
  </si>
  <si>
    <r>
      <rPr>
        <sz val="9"/>
        <color indexed="8"/>
        <rFont val="Times New Roman"/>
        <charset val="0"/>
      </rPr>
      <t>1</t>
    </r>
    <r>
      <rPr>
        <sz val="9"/>
        <color indexed="8"/>
        <rFont val="宋体"/>
        <charset val="134"/>
      </rPr>
      <t>年</t>
    </r>
  </si>
  <si>
    <t>液相色谱仪-二极管阵列检测器</t>
  </si>
  <si>
    <t>G7115A</t>
  </si>
  <si>
    <t>DEAB806191</t>
  </si>
  <si>
    <r>
      <rPr>
        <sz val="9"/>
        <color theme="1"/>
        <rFont val="Times New Roman"/>
        <charset val="0"/>
      </rPr>
      <t>2</t>
    </r>
    <r>
      <rPr>
        <sz val="9"/>
        <color indexed="8"/>
        <rFont val="宋体"/>
        <charset val="134"/>
      </rPr>
      <t>年</t>
    </r>
  </si>
  <si>
    <t>KZJ-C-253</t>
  </si>
  <si>
    <t>厚度测定仪</t>
  </si>
  <si>
    <t>0-6mm</t>
  </si>
  <si>
    <t>C-QA-107</t>
  </si>
  <si>
    <t>S3-STANDAR</t>
  </si>
  <si>
    <t>C045468990</t>
  </si>
  <si>
    <t>0～200us/cm</t>
  </si>
  <si>
    <t>电子数显卡尺</t>
  </si>
  <si>
    <t>A20210468</t>
  </si>
  <si>
    <t>0-150mm</t>
  </si>
  <si>
    <t>KZJ-C-249</t>
  </si>
  <si>
    <t>纯水机电导率</t>
  </si>
  <si>
    <t>H20BASIC-T</t>
  </si>
  <si>
    <t>0046506440</t>
  </si>
  <si>
    <t>一期化验室</t>
  </si>
  <si>
    <t>精密压力表</t>
  </si>
  <si>
    <t>YB-150</t>
  </si>
  <si>
    <t>2022.11.21</t>
  </si>
  <si>
    <t>CHG-200</t>
  </si>
  <si>
    <t>IDG-100</t>
  </si>
  <si>
    <t>PTT-400</t>
  </si>
  <si>
    <t>PTT2411971040419HZY</t>
  </si>
  <si>
    <t>(200-2000)μL</t>
  </si>
  <si>
    <t>YE5A572878</t>
  </si>
  <si>
    <t>(100-5000)μL</t>
  </si>
  <si>
    <t>12002722</t>
  </si>
  <si>
    <t>C-QA-162</t>
  </si>
  <si>
    <t>(20-200)μL</t>
  </si>
  <si>
    <t>YE5A459498</t>
  </si>
  <si>
    <t>10ml移液枪</t>
  </si>
  <si>
    <t>24B52951</t>
  </si>
  <si>
    <r>
      <rPr>
        <sz val="9"/>
        <rFont val="Times New Roman"/>
        <charset val="0"/>
      </rPr>
      <t>1</t>
    </r>
    <r>
      <rPr>
        <sz val="9"/>
        <color indexed="8"/>
        <rFont val="宋体"/>
        <charset val="134"/>
      </rPr>
      <t>-10ml</t>
    </r>
  </si>
  <si>
    <t>校准环规</t>
  </si>
  <si>
    <t>20315WBY</t>
  </si>
  <si>
    <t>气相色谱仪</t>
  </si>
  <si>
    <t>C-QA-151</t>
  </si>
  <si>
    <t>7890A</t>
  </si>
  <si>
    <t>US12241011</t>
  </si>
  <si>
    <t>液相色谱仪-紫外检测器</t>
  </si>
  <si>
    <t>C-QA-152</t>
  </si>
  <si>
    <t>DEABB03786</t>
  </si>
  <si>
    <t>20G37993</t>
  </si>
  <si>
    <t>W009</t>
  </si>
  <si>
    <t>W010</t>
  </si>
  <si>
    <t>W011</t>
  </si>
  <si>
    <t>2025.11送检</t>
  </si>
  <si>
    <t>C-QA-075</t>
  </si>
  <si>
    <t>CPG20111108MSJ</t>
  </si>
  <si>
    <t>坏未修</t>
  </si>
  <si>
    <t xml:space="preserve"> </t>
  </si>
  <si>
    <t>0000000</t>
  </si>
  <si>
    <t>糖厂生产</t>
  </si>
  <si>
    <t>83240</t>
  </si>
  <si>
    <t>半年一次</t>
  </si>
  <si>
    <t>成品罐</t>
  </si>
  <si>
    <t>杭州富阳华仪仪表有限公司</t>
  </si>
  <si>
    <t>热水罐区</t>
  </si>
  <si>
    <t>上海本都自动化仪表有限公司</t>
  </si>
  <si>
    <t>0230322206</t>
  </si>
  <si>
    <t>BRIGHTY</t>
  </si>
  <si>
    <t>2091</t>
  </si>
  <si>
    <t>三楼离交</t>
  </si>
  <si>
    <t>3282</t>
  </si>
  <si>
    <t>2031</t>
  </si>
  <si>
    <t>0667</t>
  </si>
  <si>
    <t>中国.雷尔达仪表有限公司</t>
  </si>
  <si>
    <t>1308</t>
  </si>
  <si>
    <t>88621</t>
  </si>
  <si>
    <t>83247</t>
  </si>
  <si>
    <t>83232</t>
  </si>
  <si>
    <t>YYFLT</t>
  </si>
  <si>
    <t>83326</t>
  </si>
  <si>
    <t>131131975</t>
  </si>
  <si>
    <t>杭州富阳兴盛仪表厂</t>
  </si>
  <si>
    <t>N003</t>
  </si>
  <si>
    <t>自动旋光仪</t>
  </si>
  <si>
    <t>C-QA-155</t>
  </si>
  <si>
    <t>SGW-1</t>
  </si>
  <si>
    <t>810813060074</t>
  </si>
  <si>
    <t>±45°</t>
  </si>
  <si>
    <t>0.001°</t>
  </si>
  <si>
    <t>液体糖</t>
  </si>
  <si>
    <t>65mm</t>
  </si>
  <si>
    <t>2012-10-3138</t>
  </si>
  <si>
    <t>1楼</t>
  </si>
  <si>
    <t>ro水总表</t>
  </si>
  <si>
    <t>C-QA-050</t>
  </si>
  <si>
    <t>22E34-017</t>
  </si>
  <si>
    <t>阿贝折射仪</t>
  </si>
  <si>
    <t>C-QA-156</t>
  </si>
  <si>
    <t>RM40</t>
  </si>
  <si>
    <t>B336743644</t>
  </si>
  <si>
    <t>0-85%</t>
  </si>
  <si>
    <t>200ml</t>
  </si>
  <si>
    <t>TC-05</t>
  </si>
  <si>
    <t>分度吸量管</t>
  </si>
  <si>
    <t>1ml</t>
  </si>
  <si>
    <t>001</t>
  </si>
  <si>
    <t>C-QA-179</t>
  </si>
  <si>
    <t>B633880175</t>
  </si>
  <si>
    <t>2017.3</t>
  </si>
  <si>
    <r>
      <rPr>
        <sz val="9"/>
        <color indexed="8"/>
        <rFont val="Times New Roman"/>
        <charset val="0"/>
      </rPr>
      <t>0</t>
    </r>
    <r>
      <rPr>
        <sz val="9"/>
        <color indexed="8"/>
        <rFont val="宋体"/>
        <charset val="134"/>
      </rPr>
      <t>～</t>
    </r>
    <r>
      <rPr>
        <sz val="9"/>
        <color indexed="8"/>
        <rFont val="Times New Roman"/>
        <charset val="0"/>
      </rPr>
      <t>500us/cm</t>
    </r>
  </si>
  <si>
    <t>±0.5%</t>
  </si>
  <si>
    <t>C-QA-176</t>
  </si>
  <si>
    <t>B442149270</t>
  </si>
  <si>
    <t>0.002pH</t>
  </si>
  <si>
    <t>具塞滴定管</t>
  </si>
  <si>
    <t>25mL</t>
  </si>
  <si>
    <t>TC-01</t>
  </si>
  <si>
    <t>100ml</t>
  </si>
  <si>
    <t>TC-02</t>
  </si>
  <si>
    <t>5ml</t>
  </si>
  <si>
    <t>TC-03</t>
  </si>
  <si>
    <t>10ml</t>
  </si>
  <si>
    <t>TC-04</t>
  </si>
  <si>
    <t>B439087316</t>
  </si>
  <si>
    <t>手持糖度计</t>
  </si>
  <si>
    <t>28-62%</t>
  </si>
  <si>
    <t>0093448</t>
  </si>
  <si>
    <t>0-150℃</t>
  </si>
  <si>
    <t>l14012622</t>
  </si>
  <si>
    <t>过滤之后冷却的温度表</t>
  </si>
  <si>
    <t>校准器</t>
  </si>
  <si>
    <t>CBT-CAL</t>
  </si>
  <si>
    <t>1008021202BSH</t>
  </si>
  <si>
    <t>2019.03</t>
  </si>
  <si>
    <t>C-QA-131</t>
  </si>
  <si>
    <t>CPG20120632LZJ</t>
  </si>
  <si>
    <r>
      <rPr>
        <sz val="9"/>
        <rFont val="宋体"/>
        <charset val="0"/>
      </rPr>
      <t>（</t>
    </r>
    <r>
      <rPr>
        <sz val="9"/>
        <rFont val="Times New Roman"/>
        <charset val="0"/>
      </rPr>
      <t>0-0.6</t>
    </r>
    <r>
      <rPr>
        <sz val="9"/>
        <rFont val="宋体"/>
        <charset val="134"/>
      </rPr>
      <t>）</t>
    </r>
    <r>
      <rPr>
        <sz val="9"/>
        <rFont val="Times New Roman"/>
        <charset val="0"/>
      </rPr>
      <t>KPa</t>
    </r>
  </si>
  <si>
    <t>0.1KPa</t>
  </si>
  <si>
    <t>C-QA-074</t>
  </si>
  <si>
    <t>CPG2011110JMSJ</t>
  </si>
  <si>
    <t>C-PD-284</t>
  </si>
  <si>
    <t>CPG20120633LZJ</t>
  </si>
  <si>
    <t>罐内涂膜完整性测定仪</t>
  </si>
  <si>
    <t>DER-400</t>
  </si>
  <si>
    <t>DER1008051702WBY</t>
  </si>
  <si>
    <t>罐身轴向承压测试仪</t>
  </si>
  <si>
    <t>AXL-4000S</t>
  </si>
  <si>
    <t>AXL1008053003WBY</t>
  </si>
  <si>
    <r>
      <rPr>
        <sz val="9"/>
        <rFont val="宋体"/>
        <charset val="0"/>
      </rPr>
      <t>（</t>
    </r>
    <r>
      <rPr>
        <sz val="9"/>
        <rFont val="Times New Roman"/>
        <charset val="0"/>
      </rPr>
      <t>0</t>
    </r>
    <r>
      <rPr>
        <sz val="9"/>
        <rFont val="宋体"/>
        <charset val="0"/>
      </rPr>
      <t>～</t>
    </r>
    <r>
      <rPr>
        <sz val="9"/>
        <rFont val="Times New Roman"/>
        <charset val="0"/>
      </rPr>
      <t>3</t>
    </r>
    <r>
      <rPr>
        <sz val="9"/>
        <rFont val="宋体"/>
        <charset val="0"/>
      </rPr>
      <t>）</t>
    </r>
    <r>
      <rPr>
        <sz val="9"/>
        <rFont val="Times New Roman"/>
        <charset val="0"/>
      </rPr>
      <t>mm</t>
    </r>
  </si>
  <si>
    <t xml:space="preserve">罐身高度测定仪 </t>
  </si>
  <si>
    <t>罐身壁厚测定仪</t>
  </si>
  <si>
    <t>17112559/
17027087</t>
  </si>
  <si>
    <t>底拱深度测定仪</t>
  </si>
  <si>
    <r>
      <rPr>
        <sz val="9"/>
        <rFont val="宋体"/>
        <charset val="0"/>
      </rPr>
      <t>（</t>
    </r>
    <r>
      <rPr>
        <sz val="9"/>
        <rFont val="Times New Roman"/>
        <charset val="0"/>
      </rPr>
      <t>0</t>
    </r>
    <r>
      <rPr>
        <sz val="9"/>
        <rFont val="宋体"/>
        <charset val="0"/>
      </rPr>
      <t>～</t>
    </r>
    <r>
      <rPr>
        <sz val="9"/>
        <rFont val="Times New Roman"/>
        <charset val="0"/>
      </rPr>
      <t>10</t>
    </r>
    <r>
      <rPr>
        <sz val="9"/>
        <rFont val="宋体"/>
        <charset val="0"/>
      </rPr>
      <t>）</t>
    </r>
    <r>
      <rPr>
        <sz val="9"/>
        <rFont val="Times New Roman"/>
        <charset val="0"/>
      </rPr>
      <t>mm</t>
    </r>
  </si>
  <si>
    <t>310ml</t>
  </si>
  <si>
    <t>JHL-01</t>
  </si>
  <si>
    <t>JHL-02</t>
  </si>
  <si>
    <t>C-QA-085</t>
  </si>
  <si>
    <t>11002989</t>
  </si>
  <si>
    <t>浊度仪</t>
  </si>
  <si>
    <t>CT-12</t>
  </si>
  <si>
    <t>自动电位滴定仪</t>
  </si>
  <si>
    <t>T5</t>
  </si>
  <si>
    <t>B835356866</t>
  </si>
  <si>
    <t>下次校准日期</t>
  </si>
  <si>
    <t>一车间称料</t>
  </si>
  <si>
    <t>电子称</t>
  </si>
  <si>
    <t>BBA236</t>
  </si>
  <si>
    <t>C426323704</t>
  </si>
  <si>
    <t>2024.7</t>
  </si>
  <si>
    <t>0~30kg</t>
  </si>
  <si>
    <t>10g</t>
  </si>
  <si>
    <t>电子天平</t>
  </si>
  <si>
    <t>C-PD-395</t>
  </si>
  <si>
    <t>MS-12001L</t>
  </si>
  <si>
    <t>B434938446</t>
  </si>
  <si>
    <t>2014.09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</si>
  <si>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12200g</t>
    </r>
  </si>
  <si>
    <t>0.1g</t>
  </si>
  <si>
    <t>糖厂香精</t>
  </si>
  <si>
    <t>TC01</t>
  </si>
  <si>
    <t>1g</t>
  </si>
  <si>
    <t>C-PD-351</t>
  </si>
  <si>
    <t>TCS-150</t>
  </si>
  <si>
    <t>B221956781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</si>
  <si>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150Kg</t>
    </r>
  </si>
  <si>
    <t>0.05kg</t>
  </si>
  <si>
    <t>C-SP-033</t>
  </si>
  <si>
    <t>B0433466HM</t>
  </si>
  <si>
    <t>B0387976GM</t>
  </si>
  <si>
    <t>C-QA-044</t>
  </si>
  <si>
    <t>PL-3002</t>
  </si>
  <si>
    <t>1231170285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</si>
  <si>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～3100g</t>
    </r>
  </si>
  <si>
    <t>C-PD-247</t>
  </si>
  <si>
    <t>B124152166</t>
  </si>
  <si>
    <t>C-PD-194</t>
  </si>
  <si>
    <t>PL-4002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</si>
  <si>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4100g</t>
    </r>
  </si>
  <si>
    <t>0.01g</t>
  </si>
  <si>
    <t>B434938445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</si>
  <si>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2200g</t>
    </r>
  </si>
  <si>
    <t>C-PD-357</t>
  </si>
  <si>
    <t>B222970533</t>
  </si>
  <si>
    <t>B846783665</t>
  </si>
  <si>
    <t>C-PD-200</t>
  </si>
  <si>
    <t>SB8001</t>
  </si>
  <si>
    <r>
      <rPr>
        <sz val="9"/>
        <rFont val="Times New Roman"/>
        <charset val="0"/>
      </rPr>
      <t>5</t>
    </r>
    <r>
      <rPr>
        <sz val="9"/>
        <rFont val="宋体"/>
        <charset val="0"/>
      </rPr>
      <t>～</t>
    </r>
    <r>
      <rPr>
        <sz val="9"/>
        <rFont val="Times New Roman"/>
        <charset val="0"/>
      </rPr>
      <t>8100g</t>
    </r>
  </si>
  <si>
    <t>二车间称料</t>
  </si>
  <si>
    <t xml:space="preserve">电子称 </t>
  </si>
  <si>
    <t>C-PD-244</t>
  </si>
  <si>
    <t>B143371697</t>
  </si>
  <si>
    <t>C-PD-201</t>
  </si>
  <si>
    <r>
      <rPr>
        <sz val="9"/>
        <rFont val="Times New Roman"/>
        <charset val="0"/>
      </rPr>
      <t>5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8100g</t>
    </r>
  </si>
  <si>
    <t>ME2002</t>
  </si>
  <si>
    <t>C036969969</t>
  </si>
  <si>
    <t>2022.12</t>
  </si>
  <si>
    <t>0~2200g</t>
  </si>
  <si>
    <t>电子分析天平</t>
  </si>
  <si>
    <t>C-QA-042</t>
  </si>
  <si>
    <t>AL-204</t>
  </si>
  <si>
    <t>1230280132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</si>
  <si>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200g</t>
    </r>
  </si>
  <si>
    <t>0.1mg</t>
  </si>
  <si>
    <t>C-QA-043</t>
  </si>
  <si>
    <t>——</t>
  </si>
  <si>
    <t>MS12001L</t>
  </si>
  <si>
    <t>C043352745</t>
  </si>
  <si>
    <t>0～12200g</t>
  </si>
  <si>
    <t>C-QA-097</t>
  </si>
  <si>
    <t>1232300075</t>
  </si>
  <si>
    <t>C-QA-098</t>
  </si>
  <si>
    <t>1232301634</t>
  </si>
  <si>
    <t>C-QA-100</t>
  </si>
  <si>
    <t>PL-2002</t>
  </si>
  <si>
    <t>1232290122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</si>
  <si>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2100g</t>
    </r>
  </si>
  <si>
    <t>C-PD-356</t>
  </si>
  <si>
    <t>B222970532</t>
  </si>
  <si>
    <t>三车间称料</t>
  </si>
  <si>
    <t>C-PD-353</t>
  </si>
  <si>
    <t>B221956779</t>
  </si>
  <si>
    <t>C-PD-352</t>
  </si>
  <si>
    <t>B221956780</t>
  </si>
  <si>
    <t>C-QA-114</t>
  </si>
  <si>
    <t>1232340816</t>
  </si>
  <si>
    <t>C-QA-115</t>
  </si>
  <si>
    <t>1232301629</t>
  </si>
  <si>
    <t>C-QA-117</t>
  </si>
  <si>
    <t>1232260329</t>
  </si>
  <si>
    <t>200g</t>
  </si>
  <si>
    <t>FM001</t>
  </si>
  <si>
    <r>
      <rPr>
        <sz val="9"/>
        <color theme="1"/>
        <rFont val="Times New Roman"/>
        <charset val="0"/>
      </rPr>
      <t>1</t>
    </r>
    <r>
      <rPr>
        <sz val="9"/>
        <color theme="1"/>
        <rFont val="宋体"/>
        <charset val="134"/>
      </rPr>
      <t>年</t>
    </r>
  </si>
  <si>
    <t>2kg</t>
  </si>
  <si>
    <t>FM002</t>
  </si>
  <si>
    <t>3kg</t>
  </si>
  <si>
    <t>FM003</t>
  </si>
  <si>
    <t>5kg</t>
  </si>
  <si>
    <t>FM004</t>
  </si>
  <si>
    <t>10kg</t>
  </si>
  <si>
    <t>FM010</t>
  </si>
  <si>
    <t>20kg</t>
  </si>
  <si>
    <t>FM020</t>
  </si>
  <si>
    <t>1000g</t>
  </si>
  <si>
    <t>TC001</t>
  </si>
  <si>
    <t>BSA224S</t>
  </si>
  <si>
    <t>28290816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</si>
  <si>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1000g</t>
    </r>
  </si>
  <si>
    <t>JJ1000</t>
  </si>
  <si>
    <t>211013060311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</si>
  <si>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220g</t>
    </r>
  </si>
  <si>
    <t>1-500g</t>
  </si>
  <si>
    <t>梅特勒托利多</t>
  </si>
  <si>
    <t>25kg</t>
  </si>
  <si>
    <t>FM25</t>
  </si>
  <si>
    <t>50kg</t>
  </si>
  <si>
    <t>FM02</t>
  </si>
  <si>
    <t>C426323703</t>
  </si>
  <si>
    <t>C426323707</t>
  </si>
  <si>
    <t>C426323702</t>
  </si>
  <si>
    <t>C426323705</t>
  </si>
  <si>
    <t>C426323706</t>
  </si>
  <si>
    <t>坏</t>
  </si>
  <si>
    <t>下次内校日期</t>
  </si>
  <si>
    <t>2025.5.20</t>
  </si>
  <si>
    <t>2026.5.20</t>
  </si>
  <si>
    <t>外检、内校</t>
  </si>
  <si>
    <t>坏，不准</t>
  </si>
  <si>
    <t>已修好</t>
  </si>
  <si>
    <t>-</t>
  </si>
  <si>
    <t>DL-01</t>
  </si>
  <si>
    <t>2025.6</t>
  </si>
  <si>
    <r>
      <rPr>
        <sz val="9"/>
        <rFont val="Times New Roman"/>
        <charset val="0"/>
      </rPr>
      <t>0</t>
    </r>
    <r>
      <rPr>
        <sz val="9"/>
        <rFont val="宋体"/>
        <charset val="0"/>
      </rPr>
      <t>～</t>
    </r>
    <r>
      <rPr>
        <sz val="9"/>
        <rFont val="Times New Roman"/>
        <charset val="0"/>
      </rPr>
      <t>5000g</t>
    </r>
  </si>
  <si>
    <t>电子秤</t>
  </si>
  <si>
    <t>一期化验室备用</t>
  </si>
  <si>
    <t>C-PD-248</t>
  </si>
  <si>
    <t>B133198797</t>
  </si>
  <si>
    <t>C-PD-281</t>
  </si>
  <si>
    <t>C-QA-006</t>
  </si>
  <si>
    <t>1231200917</t>
  </si>
  <si>
    <t>C-PD-192</t>
  </si>
  <si>
    <t>MS8001S</t>
  </si>
  <si>
    <t>B028051234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</si>
  <si>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8100g</t>
    </r>
  </si>
  <si>
    <t>B018032011</t>
  </si>
  <si>
    <t>C-QA-116</t>
  </si>
  <si>
    <t>B145431318</t>
  </si>
  <si>
    <t>C-PD-185</t>
  </si>
  <si>
    <t>1231200903</t>
  </si>
  <si>
    <t>1231351886</t>
  </si>
  <si>
    <t>TCS-KS210-HIC-150-5060</t>
  </si>
  <si>
    <t>YJ21033022</t>
  </si>
  <si>
    <t>0~150kg</t>
  </si>
  <si>
    <t>一仓库</t>
  </si>
  <si>
    <t>C-SP-001</t>
  </si>
  <si>
    <t>TCS-800</t>
  </si>
  <si>
    <r>
      <rPr>
        <sz val="9"/>
        <rFont val="Times New Roman"/>
        <charset val="0"/>
      </rPr>
      <t>4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800kg</t>
    </r>
  </si>
  <si>
    <t>二仓库</t>
  </si>
  <si>
    <t>C-SP-002</t>
  </si>
  <si>
    <t>2020.09</t>
  </si>
  <si>
    <t>三仓库</t>
  </si>
  <si>
    <t>C-SP-003</t>
  </si>
  <si>
    <t>17C6641</t>
  </si>
  <si>
    <t>2020.10</t>
  </si>
  <si>
    <t>1/2线热缩</t>
  </si>
  <si>
    <t>TCS-KS210-H1C</t>
  </si>
  <si>
    <t>YJ18070903</t>
  </si>
  <si>
    <t>2018.09</t>
  </si>
  <si>
    <t>50g</t>
  </si>
  <si>
    <t>3/4线热缩</t>
  </si>
  <si>
    <t>YJ18070904</t>
  </si>
  <si>
    <t>5/6线热缩</t>
  </si>
  <si>
    <t>YJ21033021</t>
  </si>
  <si>
    <t>2023.11</t>
  </si>
  <si>
    <t>1线码垛</t>
  </si>
  <si>
    <t>CK60</t>
  </si>
  <si>
    <t>102107</t>
  </si>
  <si>
    <t>2010.09</t>
  </si>
  <si>
    <t>1~50kg</t>
  </si>
  <si>
    <t>20g</t>
  </si>
  <si>
    <t>2线码垛</t>
  </si>
  <si>
    <t>102106</t>
  </si>
  <si>
    <t>3线码垛</t>
  </si>
  <si>
    <t>C-PD-360</t>
  </si>
  <si>
    <t>B145427446</t>
  </si>
  <si>
    <t>2012.02</t>
  </si>
  <si>
    <t>4线码垛</t>
  </si>
  <si>
    <t>C-PD-361</t>
  </si>
  <si>
    <t>B145427447</t>
  </si>
  <si>
    <t>5线码垛</t>
  </si>
  <si>
    <t>C-PD-362</t>
  </si>
  <si>
    <t>B223009115</t>
  </si>
  <si>
    <t>2012.07</t>
  </si>
  <si>
    <t>6线码垛</t>
  </si>
  <si>
    <t>B223009116</t>
  </si>
  <si>
    <t>YH-M0002</t>
  </si>
  <si>
    <t>0~3kg</t>
  </si>
  <si>
    <t>YH-C30002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</si>
  <si>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3000g</t>
    </r>
  </si>
  <si>
    <t>1线打码</t>
  </si>
  <si>
    <t>2线打码</t>
  </si>
  <si>
    <t>C-PD-195</t>
  </si>
  <si>
    <t>3线打码</t>
  </si>
  <si>
    <t>C-PD-187</t>
  </si>
  <si>
    <t>4线打码</t>
  </si>
  <si>
    <t>C-PD-355</t>
  </si>
  <si>
    <t>5线打码</t>
  </si>
  <si>
    <t>C-PD-197</t>
  </si>
  <si>
    <t>6线打码</t>
  </si>
  <si>
    <t>C-PD-282</t>
  </si>
  <si>
    <t>污水制水</t>
  </si>
  <si>
    <t>C-PD-205</t>
  </si>
  <si>
    <t>BSA124S</t>
  </si>
  <si>
    <t>120G</t>
  </si>
  <si>
    <t>YH-3</t>
  </si>
  <si>
    <t>0-30kg</t>
  </si>
  <si>
    <t>危废品库房</t>
  </si>
  <si>
    <t>TCS-100</t>
  </si>
  <si>
    <t>0-100kg</t>
  </si>
  <si>
    <t>C053822345</t>
  </si>
  <si>
    <t>美德时</t>
  </si>
  <si>
    <t>无菌室</t>
  </si>
  <si>
    <t>deli/9010</t>
  </si>
  <si>
    <t>N0/9011</t>
  </si>
  <si>
    <t>称料室</t>
  </si>
  <si>
    <t>存料2</t>
  </si>
  <si>
    <t>ws-1</t>
  </si>
  <si>
    <t>33/22189</t>
  </si>
  <si>
    <t>配料间</t>
  </si>
  <si>
    <t>称量室</t>
  </si>
  <si>
    <t>A6</t>
  </si>
  <si>
    <t>2012/10</t>
  </si>
  <si>
    <t>一期称量室</t>
  </si>
  <si>
    <t>2019/3</t>
  </si>
  <si>
    <t>N0/9010</t>
  </si>
  <si>
    <t>A4</t>
  </si>
  <si>
    <t>9010</t>
  </si>
  <si>
    <t>A1</t>
  </si>
  <si>
    <t>A2</t>
  </si>
  <si>
    <t>定量</t>
  </si>
  <si>
    <t>2024/2/29</t>
  </si>
  <si>
    <t>投料间</t>
  </si>
  <si>
    <t>23</t>
  </si>
  <si>
    <t>存料间3</t>
  </si>
  <si>
    <t xml:space="preserve">                                                                                                                        </t>
  </si>
  <si>
    <t>9011</t>
  </si>
  <si>
    <t>2022/8</t>
  </si>
  <si>
    <t>WS-1</t>
  </si>
  <si>
    <t>一车间仓库香精房</t>
  </si>
  <si>
    <t>2022/3</t>
  </si>
  <si>
    <t>存料1</t>
  </si>
  <si>
    <t>咖啡因房</t>
  </si>
  <si>
    <t>明高</t>
  </si>
  <si>
    <t>vb12</t>
  </si>
  <si>
    <t>A51058</t>
  </si>
  <si>
    <t>G1220800011</t>
  </si>
  <si>
    <t>5月送检</t>
  </si>
  <si>
    <t>编号</t>
  </si>
  <si>
    <t>内校日期</t>
  </si>
  <si>
    <t>一线热缩墙面</t>
  </si>
  <si>
    <t>天兴诚</t>
  </si>
  <si>
    <t>RS-WS-WIFI5-C3H</t>
  </si>
  <si>
    <t>1-3</t>
  </si>
  <si>
    <t>2025.5.23</t>
  </si>
  <si>
    <t>二线热缩墙面</t>
  </si>
  <si>
    <t>RS-WS-WIFI5-C4H</t>
  </si>
  <si>
    <t>1-4</t>
  </si>
  <si>
    <t>一期仓库1号门</t>
  </si>
  <si>
    <t>deli</t>
  </si>
  <si>
    <t>1-5</t>
  </si>
  <si>
    <t>一期仓库2号门</t>
  </si>
  <si>
    <t>(-30-50)℃</t>
  </si>
  <si>
    <t>1-6</t>
  </si>
  <si>
    <t>一期仓库3号门</t>
  </si>
  <si>
    <t>1-7</t>
  </si>
  <si>
    <t>一期香精房留样间</t>
  </si>
  <si>
    <t>1-8</t>
  </si>
  <si>
    <t>一期仓库白砂糖库位</t>
  </si>
  <si>
    <t>1-9</t>
  </si>
  <si>
    <t>一期库房3留样间</t>
  </si>
  <si>
    <t>1-12</t>
  </si>
  <si>
    <t>一期化验室留样间</t>
  </si>
  <si>
    <t>1-13</t>
  </si>
  <si>
    <t>一期库房4留样间</t>
  </si>
  <si>
    <t>1-14</t>
  </si>
  <si>
    <t>二期在线化验室</t>
  </si>
  <si>
    <t>2-11</t>
  </si>
  <si>
    <t>三线热缩墙面</t>
  </si>
  <si>
    <t>2-2</t>
  </si>
  <si>
    <t>四线热缩墙面</t>
  </si>
  <si>
    <t>2-3</t>
  </si>
  <si>
    <t>二期仓库1号门</t>
  </si>
  <si>
    <t>2-4</t>
  </si>
  <si>
    <t>二期仓库3号门</t>
  </si>
  <si>
    <t>2-5</t>
  </si>
  <si>
    <t>二期仓库5号门</t>
  </si>
  <si>
    <t>2-6</t>
  </si>
  <si>
    <t>二期仓库白砂糖库位</t>
  </si>
  <si>
    <t>2-8</t>
  </si>
  <si>
    <t>二期留样间</t>
  </si>
  <si>
    <t>2-10</t>
  </si>
  <si>
    <t>五线热缩墙面</t>
  </si>
  <si>
    <t>3-2</t>
  </si>
  <si>
    <t>六线热缩墙面</t>
  </si>
  <si>
    <t>3-3</t>
  </si>
  <si>
    <t>三期仓库1号门</t>
  </si>
  <si>
    <t>3-4</t>
  </si>
  <si>
    <t>三期仓库2号门</t>
  </si>
  <si>
    <t>3-5</t>
  </si>
  <si>
    <t>三期仓库4号门</t>
  </si>
  <si>
    <t>3-6</t>
  </si>
  <si>
    <t>三期化验室留样间下</t>
  </si>
  <si>
    <t>3-7</t>
  </si>
  <si>
    <t>三期化验室留样间上</t>
  </si>
  <si>
    <t>3-8</t>
  </si>
  <si>
    <t>三期仓库内容物区</t>
  </si>
  <si>
    <t>3-9</t>
  </si>
  <si>
    <t>制水车间ABC组</t>
  </si>
  <si>
    <t>N0.9010</t>
  </si>
  <si>
    <t>4-1</t>
  </si>
  <si>
    <t>津制</t>
  </si>
  <si>
    <t>4-2</t>
  </si>
  <si>
    <t>污水车间</t>
  </si>
  <si>
    <t>4-3</t>
  </si>
  <si>
    <t>糖厂仓库1</t>
  </si>
  <si>
    <t>5-1</t>
  </si>
  <si>
    <t>下次检定</t>
  </si>
  <si>
    <t>H003</t>
  </si>
  <si>
    <t>2024.5.28</t>
  </si>
  <si>
    <t>锅炉房</t>
  </si>
  <si>
    <t>C-EE-036</t>
  </si>
  <si>
    <t>2022.11.1</t>
  </si>
  <si>
    <t>免费</t>
  </si>
  <si>
    <t>报废</t>
  </si>
  <si>
    <t>C-EE-037</t>
  </si>
  <si>
    <t>C-EE-038</t>
  </si>
  <si>
    <t>C-EE-039</t>
  </si>
  <si>
    <t>C-EE-040</t>
  </si>
  <si>
    <t>C-EE-041</t>
  </si>
  <si>
    <t>0~0.1MPa</t>
  </si>
  <si>
    <t>0.005MPa</t>
  </si>
  <si>
    <t>C-EE-042</t>
  </si>
  <si>
    <t>C-PD-038</t>
  </si>
  <si>
    <t>2023.11.1</t>
  </si>
  <si>
    <t>C-PD-146</t>
  </si>
  <si>
    <t>C-PD-141</t>
  </si>
  <si>
    <t>0~40M pa</t>
  </si>
  <si>
    <t>1M pa</t>
  </si>
  <si>
    <t>C-PD-142</t>
  </si>
  <si>
    <t>C-PD-143</t>
  </si>
  <si>
    <t>电磁流量计</t>
  </si>
  <si>
    <t>C-PD-182</t>
  </si>
  <si>
    <t>HXLDE-100-21201</t>
  </si>
  <si>
    <t>107165</t>
  </si>
  <si>
    <t>2023.12.20</t>
  </si>
  <si>
    <t>备用，显示屏不亮</t>
  </si>
  <si>
    <t>压差流量计</t>
  </si>
  <si>
    <t>C-EE-034</t>
  </si>
  <si>
    <t>M800</t>
  </si>
  <si>
    <t>A0C1845C</t>
  </si>
  <si>
    <t>±0.1kg/h</t>
  </si>
  <si>
    <t>2022.4.26</t>
  </si>
  <si>
    <t>蒸汽误差</t>
  </si>
  <si>
    <t>C-EE-035</t>
  </si>
  <si>
    <t>A0C1850C</t>
  </si>
  <si>
    <t>2023.4.21</t>
  </si>
  <si>
    <t>通电无反应</t>
  </si>
  <si>
    <t>C-EE-099</t>
  </si>
  <si>
    <t>A9M1362C</t>
  </si>
  <si>
    <t>(0-60)Pa</t>
  </si>
  <si>
    <t>1706T05042</t>
  </si>
  <si>
    <t>2019.11</t>
  </si>
  <si>
    <t>已坏</t>
  </si>
  <si>
    <t>C-PD-331</t>
  </si>
  <si>
    <t>P01539</t>
  </si>
  <si>
    <t>2025.10.28</t>
  </si>
  <si>
    <t>旧表</t>
  </si>
  <si>
    <t>C-PD-335</t>
  </si>
  <si>
    <t>P01538</t>
  </si>
  <si>
    <t>10</t>
  </si>
  <si>
    <t>C-QA-173</t>
  </si>
  <si>
    <t>B08205726</t>
  </si>
  <si>
    <t>2016.10</t>
  </si>
  <si>
    <t>2020.11.2</t>
  </si>
  <si>
    <t>不用</t>
  </si>
  <si>
    <t>C-PD-438</t>
  </si>
  <si>
    <t>B16114291</t>
  </si>
  <si>
    <t>C-PD-439</t>
  </si>
  <si>
    <t>B16114290</t>
  </si>
  <si>
    <t>C-PD-433</t>
  </si>
  <si>
    <t>B1611480</t>
  </si>
  <si>
    <t>C-PD-340</t>
  </si>
  <si>
    <t>B16114293</t>
  </si>
  <si>
    <t>生产部办公室</t>
  </si>
  <si>
    <t>X.y辐射空气吸收剂量率仪</t>
  </si>
  <si>
    <t>RM-2030</t>
  </si>
  <si>
    <t>2023.8.9</t>
  </si>
  <si>
    <t>转子流量计</t>
  </si>
  <si>
    <t>LZS-80</t>
  </si>
  <si>
    <t>2020.12.22</t>
  </si>
  <si>
    <t>已改为涡轮流量计，取消外校</t>
  </si>
  <si>
    <r>
      <rPr>
        <sz val="9"/>
        <rFont val="Times New Roman"/>
        <charset val="0"/>
      </rPr>
      <t>12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60 m3/h</t>
    </r>
  </si>
  <si>
    <t>2 m3/h</t>
  </si>
  <si>
    <t>LZS-60</t>
  </si>
  <si>
    <r>
      <rPr>
        <sz val="9"/>
        <rFont val="Times New Roman"/>
        <charset val="0"/>
      </rPr>
      <t>5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25 m3/h</t>
    </r>
  </si>
  <si>
    <t>1 m3/h</t>
  </si>
  <si>
    <t>C-PD-160</t>
  </si>
  <si>
    <t>LZS-30</t>
  </si>
  <si>
    <r>
      <rPr>
        <sz val="9"/>
        <rFont val="Times New Roman"/>
        <charset val="0"/>
      </rPr>
      <t>1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10 m3/h</t>
    </r>
  </si>
  <si>
    <t>0.5 m3/h</t>
  </si>
  <si>
    <t>C-PD-161</t>
  </si>
  <si>
    <t>C-PD-162</t>
  </si>
  <si>
    <t>LZS-100</t>
  </si>
  <si>
    <t>C-PD-163</t>
  </si>
  <si>
    <t>C-PD-164</t>
  </si>
  <si>
    <t>C-PD-300</t>
  </si>
  <si>
    <t>LZS-40</t>
  </si>
  <si>
    <t>C-PD-301</t>
  </si>
  <si>
    <t>C-PD-302</t>
  </si>
  <si>
    <t>C-PD-325</t>
  </si>
  <si>
    <t>C-PD-326</t>
  </si>
  <si>
    <t>C-PD-327</t>
  </si>
  <si>
    <t>C-PD-328</t>
  </si>
  <si>
    <t>井水进水总表</t>
  </si>
  <si>
    <t>C-PD-398</t>
  </si>
  <si>
    <t>MFL-200B10277GZLEV</t>
  </si>
  <si>
    <t>2022.12.15</t>
  </si>
  <si>
    <t>停用</t>
  </si>
  <si>
    <t>C-PD-298</t>
  </si>
  <si>
    <t>2024.10.28</t>
  </si>
  <si>
    <t>一线灌装加热</t>
  </si>
  <si>
    <t>Z2406C1832</t>
  </si>
  <si>
    <t>2024.7.29</t>
  </si>
  <si>
    <t>未用一期</t>
  </si>
  <si>
    <t>一线灌装上盖间</t>
  </si>
  <si>
    <t>Z2406C1834</t>
  </si>
  <si>
    <t>二线灌装加热</t>
  </si>
  <si>
    <t>Z2406H1470</t>
  </si>
  <si>
    <t>二线灌装上盖间</t>
  </si>
  <si>
    <t>Z2406H1471</t>
  </si>
  <si>
    <t>生产一线</t>
  </si>
  <si>
    <t>电能表</t>
  </si>
  <si>
    <t>C-PD-370</t>
  </si>
  <si>
    <t>DTS877 1级</t>
  </si>
  <si>
    <t>240625142495</t>
  </si>
  <si>
    <r>
      <rPr>
        <sz val="8"/>
        <color rgb="FF000000"/>
        <rFont val="Times New Roman"/>
        <charset val="0"/>
      </rPr>
      <t>0</t>
    </r>
    <r>
      <rPr>
        <sz val="8"/>
        <color indexed="8"/>
        <rFont val="宋体"/>
        <charset val="134"/>
      </rPr>
      <t>～</t>
    </r>
    <r>
      <rPr>
        <sz val="8"/>
        <color indexed="8"/>
        <rFont val="Times New Roman"/>
        <charset val="0"/>
      </rPr>
      <t>99999kw.h</t>
    </r>
  </si>
  <si>
    <t>2025.3.3</t>
  </si>
  <si>
    <t>生产二线</t>
  </si>
  <si>
    <t>C-PD-371</t>
  </si>
  <si>
    <t>240625142485</t>
  </si>
  <si>
    <r>
      <rPr>
        <sz val="8"/>
        <color rgb="FF000000"/>
        <rFont val="Times New Roman"/>
        <charset val="0"/>
      </rPr>
      <t>0</t>
    </r>
    <r>
      <rPr>
        <sz val="8"/>
        <rFont val="宋体"/>
        <charset val="134"/>
      </rPr>
      <t>～</t>
    </r>
    <r>
      <rPr>
        <sz val="8"/>
        <rFont val="Times New Roman"/>
        <charset val="0"/>
      </rPr>
      <t>99999kw.h</t>
    </r>
  </si>
  <si>
    <t>生产三线</t>
  </si>
  <si>
    <t>C-PD-372</t>
  </si>
  <si>
    <t>0003</t>
  </si>
  <si>
    <t>生产四线</t>
  </si>
  <si>
    <t>C-PD-373</t>
  </si>
  <si>
    <t>0004</t>
  </si>
  <si>
    <t>生产五线</t>
  </si>
  <si>
    <t>C-PD-374</t>
  </si>
  <si>
    <t>240923883766</t>
  </si>
  <si>
    <t>生产六线</t>
  </si>
  <si>
    <t>C-PD-375</t>
  </si>
  <si>
    <t>240923883771</t>
  </si>
  <si>
    <t>宿舍A栋</t>
  </si>
  <si>
    <t>C-PD-376</t>
  </si>
  <si>
    <t>DT862-4型</t>
  </si>
  <si>
    <t>P04-4042</t>
  </si>
  <si>
    <t>电房</t>
  </si>
  <si>
    <t>宿舍B栋</t>
  </si>
  <si>
    <t>C-PD-377</t>
  </si>
  <si>
    <t>P04-4041</t>
  </si>
  <si>
    <t>宿舍C栋</t>
  </si>
  <si>
    <t>C-PD-378</t>
  </si>
  <si>
    <t>P09-4095</t>
  </si>
  <si>
    <t>宿舍D栋</t>
  </si>
  <si>
    <t>C-PD-379</t>
  </si>
  <si>
    <t>P09-4096</t>
  </si>
  <si>
    <t>C-PD-380</t>
  </si>
  <si>
    <t>P10-4101</t>
  </si>
  <si>
    <t>公寓</t>
  </si>
  <si>
    <t>C-PD-381</t>
  </si>
  <si>
    <t xml:space="preserve">DT803型 </t>
  </si>
  <si>
    <t>P03-4035</t>
  </si>
  <si>
    <t>办公楼照明</t>
  </si>
  <si>
    <t>C-PD-382</t>
  </si>
  <si>
    <t>P09-4093</t>
  </si>
  <si>
    <t>办公楼空调</t>
  </si>
  <si>
    <t>C-PD-383</t>
  </si>
  <si>
    <t>P03-4034</t>
  </si>
  <si>
    <t>水处理一车间</t>
  </si>
  <si>
    <t>C-PD-384</t>
  </si>
  <si>
    <t>P02-4022</t>
  </si>
  <si>
    <t>水处理二车间</t>
  </si>
  <si>
    <t>C-PD-385</t>
  </si>
  <si>
    <t>P14-4142</t>
  </si>
  <si>
    <t>水处理三车间</t>
  </si>
  <si>
    <t>C-PD-386</t>
  </si>
  <si>
    <t>P15-4153</t>
  </si>
  <si>
    <t>污水处理</t>
  </si>
  <si>
    <t>C-PD-387</t>
  </si>
  <si>
    <t>P10-4102</t>
  </si>
  <si>
    <t>P04-4043</t>
  </si>
  <si>
    <t>DN200</t>
  </si>
  <si>
    <t>CC9911</t>
  </si>
  <si>
    <t>C-EE-011</t>
  </si>
  <si>
    <t>17-03042</t>
  </si>
  <si>
    <t>2017/8</t>
  </si>
  <si>
    <t>±0/1kg/h</t>
  </si>
  <si>
    <t>C-EE-012</t>
  </si>
  <si>
    <t>A0C1824C</t>
  </si>
  <si>
    <t>蒸汽流量计</t>
  </si>
  <si>
    <t>15-10033</t>
  </si>
  <si>
    <t>12-04226</t>
  </si>
  <si>
    <t>17-03044</t>
  </si>
  <si>
    <t>2017/08</t>
  </si>
  <si>
    <t>五线洗罐水</t>
  </si>
  <si>
    <t>2024/2</t>
  </si>
  <si>
    <t>六线洗罐水</t>
  </si>
  <si>
    <t>C-PD-503</t>
  </si>
  <si>
    <t>WYA-2S</t>
  </si>
  <si>
    <t>精天JT1001N</t>
  </si>
  <si>
    <t>备用仪器暂不检定</t>
  </si>
  <si>
    <t>DDSJ-308A</t>
  </si>
  <si>
    <t>电热鼓风干燥箱</t>
  </si>
  <si>
    <t>101A</t>
  </si>
  <si>
    <t>酸度计</t>
  </si>
  <si>
    <t>PHSJ-4A</t>
  </si>
  <si>
    <t>每年4月</t>
  </si>
  <si>
    <t>马沸炉（箱式电阻炉）</t>
  </si>
  <si>
    <t>锦屏SX2-2.5-10</t>
  </si>
  <si>
    <t>故障
已坏</t>
  </si>
  <si>
    <t>可见分光光度计</t>
  </si>
  <si>
    <t>7230G</t>
  </si>
  <si>
    <t>立式压力蒸汽灭菌锅</t>
  </si>
  <si>
    <t>YXQ-LS-50S II</t>
  </si>
  <si>
    <t>SP-821</t>
  </si>
  <si>
    <t>SP20130607003</t>
  </si>
  <si>
    <t>故障</t>
  </si>
  <si>
    <t>液体涡轮流量计</t>
  </si>
  <si>
    <t>LWS-50/C/10/W/E</t>
  </si>
  <si>
    <t>L5037009</t>
  </si>
  <si>
    <t>单标线吸量管</t>
  </si>
  <si>
    <r>
      <rPr>
        <sz val="9"/>
        <rFont val="Times New Roman"/>
        <charset val="0"/>
      </rPr>
      <t>15ml/50ml2</t>
    </r>
    <r>
      <rPr>
        <sz val="9"/>
        <rFont val="宋体"/>
        <charset val="134"/>
      </rPr>
      <t>个</t>
    </r>
  </si>
  <si>
    <t>温度计</t>
  </si>
  <si>
    <t>0-100℃</t>
  </si>
  <si>
    <t>PT100</t>
  </si>
  <si>
    <t>SP20130608001</t>
  </si>
  <si>
    <t>PT101</t>
  </si>
  <si>
    <t>SP20130608002</t>
  </si>
  <si>
    <t>PT102</t>
  </si>
  <si>
    <t>SP20130608003</t>
  </si>
  <si>
    <t>PT103</t>
  </si>
  <si>
    <t>SP20130608004</t>
  </si>
  <si>
    <t>PT104</t>
  </si>
  <si>
    <t>SP20130608005</t>
  </si>
  <si>
    <t>PT105</t>
  </si>
  <si>
    <t>SP20130608006</t>
  </si>
  <si>
    <t>PT106</t>
  </si>
  <si>
    <t>SP20130608007</t>
  </si>
  <si>
    <t>PT107</t>
  </si>
  <si>
    <t>SP20130608008</t>
  </si>
  <si>
    <t>PT108</t>
  </si>
  <si>
    <t>SP20130608009</t>
  </si>
  <si>
    <t>PT109</t>
  </si>
  <si>
    <t>SP20130608010</t>
  </si>
  <si>
    <t>SP20130608011</t>
  </si>
  <si>
    <t>13112296</t>
  </si>
  <si>
    <t>13112260</t>
  </si>
  <si>
    <t>83231</t>
  </si>
  <si>
    <t>3月和9月</t>
  </si>
  <si>
    <t>2025.8.27</t>
  </si>
  <si>
    <t>88653</t>
  </si>
  <si>
    <t>83226</t>
  </si>
  <si>
    <t>83250</t>
  </si>
  <si>
    <t>1663</t>
  </si>
  <si>
    <t>83261</t>
  </si>
  <si>
    <t>4994</t>
  </si>
  <si>
    <t>8473</t>
  </si>
  <si>
    <t>83223</t>
  </si>
  <si>
    <t>83242</t>
  </si>
  <si>
    <t>83260</t>
  </si>
  <si>
    <t>三楼烛式过滤器上</t>
  </si>
  <si>
    <t>83225</t>
  </si>
  <si>
    <t>13593</t>
  </si>
  <si>
    <t>无</t>
  </si>
  <si>
    <t>1160</t>
  </si>
  <si>
    <t>11337513A</t>
  </si>
  <si>
    <t>SP20130607001</t>
  </si>
  <si>
    <t>非强检仪器，取消每年一检</t>
  </si>
  <si>
    <t>SP20130607002</t>
  </si>
  <si>
    <t>SP20130607004</t>
  </si>
  <si>
    <t>SP20130607005</t>
  </si>
  <si>
    <t>SP20130607006</t>
  </si>
  <si>
    <t>SP20130607007</t>
  </si>
  <si>
    <t>SP20130607008</t>
  </si>
  <si>
    <t>SP20130607009</t>
  </si>
  <si>
    <t>SP20130607010</t>
  </si>
  <si>
    <t>SP20130607011</t>
  </si>
  <si>
    <t>SP20130607012</t>
  </si>
  <si>
    <t>智能式变送器</t>
  </si>
  <si>
    <t>EJA220A</t>
  </si>
  <si>
    <t>S4N517623332</t>
  </si>
  <si>
    <t>S4N517618322</t>
  </si>
  <si>
    <t>84N517624332</t>
  </si>
  <si>
    <t>S4N517622322</t>
  </si>
  <si>
    <t>S4N517619322</t>
  </si>
  <si>
    <t>2012-103-4407</t>
  </si>
  <si>
    <t>回收</t>
  </si>
  <si>
    <t>不用检定</t>
  </si>
  <si>
    <t>溶糖</t>
  </si>
  <si>
    <t>20-10-03A</t>
  </si>
  <si>
    <t>C-EE-103</t>
  </si>
  <si>
    <t>11-01034</t>
  </si>
  <si>
    <t>C-EE-102</t>
  </si>
  <si>
    <t>19-05024</t>
  </si>
  <si>
    <t>C-EE-104</t>
  </si>
  <si>
    <t>14-01961</t>
  </si>
  <si>
    <t>INKO-1881</t>
  </si>
  <si>
    <t>19042854</t>
  </si>
  <si>
    <t>2019/04</t>
  </si>
  <si>
    <t>19042853</t>
  </si>
  <si>
    <t>19042852</t>
  </si>
  <si>
    <t>C-PD-181</t>
  </si>
  <si>
    <t>2005383</t>
  </si>
  <si>
    <t>2014/10</t>
  </si>
  <si>
    <t>C-PD-165</t>
  </si>
  <si>
    <r>
      <rPr>
        <sz val="9"/>
        <rFont val="Times New Roman"/>
        <charset val="0"/>
      </rPr>
      <t>8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40 m3/h</t>
    </r>
  </si>
  <si>
    <t>佛山江门</t>
  </si>
  <si>
    <t>C-PD-166</t>
  </si>
  <si>
    <t>C-PD-167</t>
  </si>
  <si>
    <t>C-PD-305</t>
  </si>
  <si>
    <t>C-PD-329</t>
  </si>
  <si>
    <t>AB组冲洗回收</t>
  </si>
  <si>
    <t>DN80</t>
  </si>
  <si>
    <t>10-10-4716</t>
  </si>
  <si>
    <t>表在制水车间</t>
  </si>
  <si>
    <t>A组产水率</t>
  </si>
  <si>
    <t>2011-0272</t>
  </si>
  <si>
    <t>C-PD-394</t>
  </si>
  <si>
    <t>2024.10.9</t>
  </si>
  <si>
    <t>2025.5.11</t>
  </si>
  <si>
    <t>C-PD-243</t>
  </si>
  <si>
    <t>B143371699</t>
  </si>
  <si>
    <t>每年10月</t>
  </si>
  <si>
    <t>C-PD-389</t>
  </si>
  <si>
    <t>DN100</t>
  </si>
  <si>
    <r>
      <rPr>
        <sz val="9"/>
        <color indexed="8"/>
        <rFont val="Times New Roman"/>
        <charset val="0"/>
      </rPr>
      <t>0</t>
    </r>
    <r>
      <rPr>
        <sz val="9"/>
        <color indexed="8"/>
        <rFont val="宋体"/>
        <charset val="134"/>
      </rPr>
      <t>～</t>
    </r>
    <r>
      <rPr>
        <sz val="9"/>
        <color indexed="8"/>
        <rFont val="Times New Roman"/>
        <charset val="0"/>
      </rPr>
      <t>120m</t>
    </r>
    <r>
      <rPr>
        <vertAlign val="superscript"/>
        <sz val="9"/>
        <color indexed="8"/>
        <rFont val="宋体"/>
        <charset val="134"/>
      </rPr>
      <t>3</t>
    </r>
    <r>
      <rPr>
        <sz val="9"/>
        <color indexed="8"/>
        <rFont val="宋体"/>
        <charset val="134"/>
      </rPr>
      <t>/h</t>
    </r>
  </si>
  <si>
    <t>C-PD-388</t>
  </si>
  <si>
    <t>202401000752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</si>
  <si>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120m</t>
    </r>
    <r>
      <rPr>
        <vertAlign val="superscript"/>
        <sz val="9"/>
        <color indexed="8"/>
        <rFont val="宋体"/>
        <charset val="134"/>
      </rPr>
      <t>3/h</t>
    </r>
  </si>
  <si>
    <t>C-PD-390</t>
  </si>
  <si>
    <t>2022-02-2823</t>
  </si>
  <si>
    <t>AB组原水进水总表</t>
  </si>
  <si>
    <t>LXLY-100E</t>
  </si>
  <si>
    <t>H001193</t>
  </si>
  <si>
    <t>C组原水进水总表</t>
  </si>
  <si>
    <t>H001209</t>
  </si>
  <si>
    <t>D组原水进水总表</t>
  </si>
  <si>
    <t>LXLY-100</t>
  </si>
  <si>
    <t>校准时间</t>
  </si>
  <si>
    <t>热线风速仪</t>
  </si>
  <si>
    <t>testo425</t>
  </si>
  <si>
    <t>2024.1.10</t>
  </si>
  <si>
    <t>新增</t>
  </si>
  <si>
    <t>2025备用</t>
  </si>
  <si>
    <t>手持式粒子计数器</t>
  </si>
  <si>
    <t>Model3888</t>
  </si>
  <si>
    <t>2024.1.11</t>
  </si>
  <si>
    <t>C-QA-036</t>
  </si>
  <si>
    <t>500-196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</si>
  <si>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150mm</t>
    </r>
  </si>
  <si>
    <t>2023.10.17</t>
  </si>
  <si>
    <t>2024年新增备用</t>
  </si>
  <si>
    <t>C-QA-141</t>
  </si>
  <si>
    <t>C-QA-095</t>
  </si>
  <si>
    <t>147-202</t>
  </si>
  <si>
    <r>
      <rPr>
        <sz val="9"/>
        <rFont val="宋体"/>
        <charset val="134"/>
      </rPr>
      <t>每年</t>
    </r>
    <r>
      <rPr>
        <sz val="9"/>
        <rFont val="Times New Roman"/>
        <charset val="0"/>
      </rPr>
      <t>1</t>
    </r>
    <r>
      <rPr>
        <sz val="9"/>
        <rFont val="宋体"/>
        <charset val="134"/>
      </rPr>
      <t>月</t>
    </r>
  </si>
  <si>
    <t>2023.12.13</t>
  </si>
  <si>
    <t>C-QA-040</t>
  </si>
  <si>
    <t>每年1月</t>
  </si>
  <si>
    <t>埋头度测定仪</t>
  </si>
  <si>
    <t>C-QA-123</t>
  </si>
  <si>
    <t>每年9月</t>
  </si>
  <si>
    <t>2023.9.22</t>
  </si>
  <si>
    <t>液相色谱仪-荧光检测器</t>
  </si>
  <si>
    <t>DEABO02279</t>
  </si>
  <si>
    <t>2024.5.15</t>
  </si>
  <si>
    <t>2024新增备用</t>
  </si>
  <si>
    <t>C-QA-086</t>
  </si>
  <si>
    <t>2023.12.14</t>
  </si>
  <si>
    <t>C-QA-088</t>
  </si>
  <si>
    <t>PTT20100802</t>
  </si>
  <si>
    <t>EMS214825030315WBY</t>
  </si>
  <si>
    <t>2024.3.18</t>
  </si>
  <si>
    <t>C-QA-122</t>
  </si>
  <si>
    <t>DER-3/4</t>
  </si>
  <si>
    <t>DER20120201HZY</t>
  </si>
  <si>
    <t>每年8月</t>
  </si>
  <si>
    <t>2023.9.21</t>
  </si>
  <si>
    <t>C-QA-124</t>
  </si>
  <si>
    <t>C-QA-126</t>
  </si>
  <si>
    <t>C-QA-132</t>
  </si>
  <si>
    <t>PTT201207012ZK</t>
  </si>
  <si>
    <t>C-QA-021</t>
  </si>
  <si>
    <t>C-QA-125</t>
  </si>
  <si>
    <t>543-401B</t>
  </si>
  <si>
    <t>11258406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</si>
  <si>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100mm</t>
    </r>
  </si>
  <si>
    <t>2023.6.2</t>
  </si>
  <si>
    <t>C-QA-142</t>
  </si>
  <si>
    <t>2023.4.19</t>
  </si>
  <si>
    <t>只有水处理检测时用到，改为备用，使用前送检4.30</t>
  </si>
  <si>
    <t>2023.5.6</t>
  </si>
  <si>
    <t>C-QA-121</t>
  </si>
  <si>
    <t>DER20120701ZFX</t>
  </si>
  <si>
    <t>0～500mA</t>
  </si>
  <si>
    <t>备用，暂不检定</t>
  </si>
  <si>
    <t>C-QA-010</t>
  </si>
  <si>
    <t>DER201006029V</t>
  </si>
  <si>
    <t>拉环启破力测定仪</t>
  </si>
  <si>
    <t>C-QA-007</t>
  </si>
  <si>
    <t>NK50</t>
  </si>
  <si>
    <t>0～50N</t>
  </si>
  <si>
    <t>0.25N</t>
  </si>
  <si>
    <t>2023.8.10</t>
  </si>
  <si>
    <t>C-QA-127</t>
  </si>
  <si>
    <t>NK20120603ZFX</t>
  </si>
  <si>
    <t>2023.09.22</t>
  </si>
  <si>
    <t>C-QA-029</t>
  </si>
  <si>
    <t>A49332</t>
  </si>
  <si>
    <t>每年5月</t>
  </si>
  <si>
    <t>2021.5.25</t>
  </si>
  <si>
    <t>C-QA-031</t>
  </si>
  <si>
    <t>PR-201</t>
  </si>
  <si>
    <t>A45222</t>
  </si>
  <si>
    <t>0～60%</t>
  </si>
  <si>
    <t>2021.7.15</t>
  </si>
  <si>
    <t>C-QA-032</t>
  </si>
  <si>
    <t>A45220</t>
  </si>
  <si>
    <t>2022.4.27</t>
  </si>
  <si>
    <t>C-PD-257</t>
  </si>
  <si>
    <t>PAL-1</t>
  </si>
  <si>
    <t>B030776</t>
  </si>
  <si>
    <t>0～53%</t>
  </si>
  <si>
    <t>C-QA-090</t>
  </si>
  <si>
    <t>A57436</t>
  </si>
  <si>
    <t>C-PD-278</t>
  </si>
  <si>
    <t>B329657</t>
  </si>
  <si>
    <t>2022.1.20</t>
  </si>
  <si>
    <t>C-QA-089</t>
  </si>
  <si>
    <t>A58261</t>
  </si>
  <si>
    <t>2023.5.16</t>
  </si>
  <si>
    <t>找一下</t>
  </si>
  <si>
    <t>C-QA-049</t>
  </si>
  <si>
    <t>-2.000～20.000</t>
  </si>
  <si>
    <t>2022.1.11</t>
  </si>
  <si>
    <t>C101855194</t>
  </si>
  <si>
    <t>每年7月</t>
  </si>
  <si>
    <t>2021.7.28</t>
  </si>
  <si>
    <t>七线备用</t>
  </si>
  <si>
    <t>C-QA-096</t>
  </si>
  <si>
    <t>0～25mm</t>
  </si>
  <si>
    <t>备用办公室</t>
  </si>
  <si>
    <t>C-QA-087</t>
  </si>
  <si>
    <t>0～100mm</t>
  </si>
  <si>
    <t>C-QA-174</t>
  </si>
  <si>
    <t>B442149266</t>
  </si>
  <si>
    <t>2021.4.30</t>
  </si>
  <si>
    <t>备用，暂时不外检</t>
  </si>
  <si>
    <t>C-QA-033</t>
  </si>
  <si>
    <t>33922180/805</t>
  </si>
  <si>
    <t>每年3月</t>
  </si>
  <si>
    <t>2021.3.17</t>
  </si>
  <si>
    <t>C-QA-034</t>
  </si>
  <si>
    <t>33922154/805</t>
  </si>
  <si>
    <t>C-QA-093</t>
  </si>
  <si>
    <t>33922153/805</t>
  </si>
  <si>
    <t>2021.5.6</t>
  </si>
  <si>
    <t>C-QA-137</t>
  </si>
  <si>
    <t>33939858/104</t>
  </si>
  <si>
    <t>2022.7.26</t>
  </si>
  <si>
    <t>D13405</t>
  </si>
  <si>
    <t>C-QA-019</t>
  </si>
  <si>
    <t>0～1.2mm</t>
  </si>
  <si>
    <t>2022.12.05</t>
  </si>
  <si>
    <t>C-QA-082</t>
  </si>
  <si>
    <t>DER20110908ZFX</t>
  </si>
  <si>
    <t>2024.8.27</t>
  </si>
  <si>
    <t>2025年新增备用</t>
  </si>
  <si>
    <t>C-QA-012</t>
  </si>
  <si>
    <r>
      <rPr>
        <sz val="9"/>
        <rFont val="宋体"/>
        <charset val="134"/>
      </rPr>
      <t>每年</t>
    </r>
    <r>
      <rPr>
        <sz val="9"/>
        <rFont val="Times New Roman"/>
        <charset val="0"/>
      </rPr>
      <t>10</t>
    </r>
    <r>
      <rPr>
        <sz val="9"/>
        <rFont val="宋体"/>
        <charset val="134"/>
      </rPr>
      <t>月</t>
    </r>
  </si>
  <si>
    <t>2020.10.23</t>
  </si>
  <si>
    <t>卷边长度测定仪</t>
  </si>
  <si>
    <t>C-QA-013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</si>
  <si>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7mm</t>
    </r>
  </si>
  <si>
    <t>2021.10.14</t>
  </si>
  <si>
    <t>C-QA-014</t>
  </si>
  <si>
    <t>C-QA-015</t>
  </si>
  <si>
    <t>数显测厚仪</t>
  </si>
  <si>
    <t>C-QA-025</t>
  </si>
  <si>
    <r>
      <rPr>
        <sz val="9"/>
        <rFont val="宋体"/>
        <charset val="134"/>
      </rPr>
      <t>（</t>
    </r>
    <r>
      <rPr>
        <sz val="9"/>
        <rFont val="Times New Roman"/>
        <charset val="0"/>
      </rPr>
      <t>0~4</t>
    </r>
    <r>
      <rPr>
        <sz val="9"/>
        <rFont val="宋体"/>
        <charset val="134"/>
      </rPr>
      <t>）</t>
    </r>
    <r>
      <rPr>
        <sz val="9"/>
        <rFont val="Times New Roman"/>
        <charset val="0"/>
      </rPr>
      <t>mm</t>
    </r>
  </si>
  <si>
    <t>1003215PT</t>
  </si>
  <si>
    <t>0.02mm</t>
  </si>
  <si>
    <t>C-QA-139</t>
  </si>
  <si>
    <t>NK20120602ZFX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</si>
  <si>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50N</t>
    </r>
  </si>
  <si>
    <t>2020.9.1</t>
  </si>
  <si>
    <t>C-QA-078</t>
  </si>
  <si>
    <t>2020.1.15</t>
  </si>
  <si>
    <t>C-QA-011</t>
  </si>
  <si>
    <t>浊度计</t>
  </si>
  <si>
    <t>C-QA-068</t>
  </si>
  <si>
    <t>WGZ</t>
  </si>
  <si>
    <t>T1N.1103018</t>
  </si>
  <si>
    <r>
      <rPr>
        <sz val="9"/>
        <rFont val="Times New Roman"/>
        <charset val="0"/>
      </rPr>
      <t>0</t>
    </r>
    <r>
      <rPr>
        <sz val="9"/>
        <rFont val="宋体"/>
        <charset val="134"/>
      </rPr>
      <t>～</t>
    </r>
    <r>
      <rPr>
        <sz val="9"/>
        <rFont val="Times New Roman"/>
        <charset val="0"/>
      </rPr>
      <t>200</t>
    </r>
  </si>
  <si>
    <t>2021.9.15</t>
  </si>
  <si>
    <t>YE5A572892</t>
  </si>
  <si>
    <t>2021.3.18</t>
  </si>
  <si>
    <t>C-QA-035</t>
  </si>
  <si>
    <t>每年12月</t>
  </si>
  <si>
    <t>电源有问题备用，暂存办公室</t>
  </si>
  <si>
    <t>C-QA-083</t>
  </si>
  <si>
    <t>CSG-d</t>
  </si>
  <si>
    <t>2023.2.20</t>
  </si>
  <si>
    <t>集中测顶盖可改备用暂不送检</t>
  </si>
  <si>
    <t>C-QA-118</t>
  </si>
  <si>
    <t>1Z2067</t>
  </si>
  <si>
    <t>2023.10.8</t>
  </si>
  <si>
    <t>C-QA-143</t>
  </si>
  <si>
    <t>1Y1983</t>
  </si>
  <si>
    <t>C-QA-009</t>
  </si>
  <si>
    <t>DER20100801</t>
  </si>
  <si>
    <t>坏，在一期柜子</t>
  </si>
  <si>
    <t>C-QA-150</t>
  </si>
  <si>
    <t>2023.09.26</t>
  </si>
  <si>
    <t>超差</t>
  </si>
  <si>
    <t>C-QA-154</t>
  </si>
  <si>
    <t>12007112</t>
  </si>
  <si>
    <t>(0.1-5)μL</t>
  </si>
  <si>
    <t>2023.12.11</t>
  </si>
  <si>
    <t>不准，不送检</t>
  </si>
  <si>
    <t>H005</t>
  </si>
  <si>
    <t>10M pa</t>
  </si>
  <si>
    <t>2025.1送检</t>
  </si>
  <si>
    <t>C-PD-184</t>
  </si>
  <si>
    <t>003</t>
  </si>
  <si>
    <r>
      <rPr>
        <sz val="9"/>
        <rFont val="Times New Roman"/>
        <charset val="0"/>
      </rPr>
      <t>（</t>
    </r>
    <r>
      <rPr>
        <sz val="9"/>
        <rFont val="Times New Roman"/>
        <charset val="0"/>
      </rPr>
      <t>0-0.6</t>
    </r>
    <r>
      <rPr>
        <sz val="9"/>
        <rFont val="宋体"/>
        <charset val="134"/>
      </rPr>
      <t>）</t>
    </r>
    <r>
      <rPr>
        <sz val="9"/>
        <rFont val="Times New Roman"/>
        <charset val="0"/>
      </rPr>
      <t>KPa</t>
    </r>
  </si>
  <si>
    <t>DER1008051701WBY</t>
  </si>
  <si>
    <t>24年新增备用</t>
  </si>
  <si>
    <t>N0.9011</t>
  </si>
  <si>
    <t>2019.3</t>
  </si>
  <si>
    <t>2023.2.23</t>
  </si>
  <si>
    <t>存料间2已坏</t>
  </si>
  <si>
    <t>C-PD-364</t>
  </si>
  <si>
    <t>15</t>
  </si>
  <si>
    <t>2023.3.21</t>
  </si>
  <si>
    <t>玻璃罩已坏，现放办公室</t>
  </si>
  <si>
    <t>2024.5.23</t>
  </si>
  <si>
    <t>C-QA-071</t>
  </si>
  <si>
    <t>C-QA-063</t>
  </si>
  <si>
    <t>031004</t>
  </si>
  <si>
    <t>C-PD-246</t>
  </si>
  <si>
    <t>每年5月和11月</t>
  </si>
  <si>
    <t>2024.5.13</t>
  </si>
  <si>
    <t>2024.11.12</t>
  </si>
  <si>
    <t>不准</t>
  </si>
  <si>
    <t>C-PD-256</t>
  </si>
  <si>
    <t>2023.11.02</t>
  </si>
  <si>
    <t>2022.5.20</t>
  </si>
  <si>
    <t>2024.05.01</t>
  </si>
  <si>
    <t>C-QA-099</t>
  </si>
  <si>
    <t>一期仓库香精房</t>
  </si>
  <si>
    <t>C-PD-189</t>
  </si>
  <si>
    <t>B0387966GM</t>
  </si>
  <si>
    <t>暂时不用,移至一期仓库香精房</t>
  </si>
  <si>
    <t>XK3190-A12+E</t>
  </si>
  <si>
    <t>C052784091</t>
  </si>
  <si>
    <t>C-PD-363</t>
  </si>
  <si>
    <t>坏，未内校</t>
  </si>
  <si>
    <t>B0387986GM</t>
  </si>
  <si>
    <t>2023.5.11</t>
  </si>
  <si>
    <t>SE-3001F</t>
  </si>
  <si>
    <t>10167235</t>
  </si>
  <si>
    <t>B619450640</t>
  </si>
  <si>
    <t>C-PD-354</t>
  </si>
  <si>
    <t>2021.10.9</t>
  </si>
  <si>
    <t>误差大，未内校</t>
  </si>
  <si>
    <t>已送维修，未能维修好</t>
  </si>
  <si>
    <t>一车间仓库库房</t>
  </si>
  <si>
    <t>B143380628</t>
  </si>
  <si>
    <t>原一车间热缩</t>
  </si>
  <si>
    <t>YJ18070905</t>
  </si>
  <si>
    <t>移至一期香精房待报废</t>
  </si>
  <si>
    <t>C-PD-274</t>
  </si>
  <si>
    <t>B143371698</t>
  </si>
  <si>
    <t>二车间称料库房内</t>
  </si>
  <si>
    <t>B221956778</t>
  </si>
  <si>
    <t>C-PD-272</t>
  </si>
  <si>
    <t>1232290121</t>
  </si>
  <si>
    <t>秤盘弹起故障</t>
  </si>
  <si>
    <t>二车间劳保房</t>
  </si>
  <si>
    <t>1232290 125</t>
  </si>
  <si>
    <t>劳保放着很久远了</t>
  </si>
  <si>
    <t>1232296127</t>
  </si>
  <si>
    <t>100g</t>
  </si>
  <si>
    <t>004</t>
  </si>
  <si>
    <t>2021.9.7</t>
  </si>
  <si>
    <t>不送检</t>
  </si>
  <si>
    <t>54173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</si>
</sst>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55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imes New Roman"/>
      <charset val="0"/>
    </font>
    <font>
      <sz val="8"/>
      <name val="Times New Roman"/>
      <charset val="0"/>
    </font>
    <font>
      <sz val="9"/>
      <name val="宋体"/>
      <charset val="134"/>
      <scheme val="major"/>
    </font>
    <font>
      <sz val="9"/>
      <color theme="1"/>
      <name val="宋体"/>
      <charset val="134"/>
    </font>
    <font>
      <sz val="9"/>
      <color theme="1"/>
      <name val="Times New Roman"/>
      <charset val="0"/>
    </font>
    <font>
      <sz val="11"/>
      <color indexed="8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6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  <scheme val="minor"/>
    </font>
    <font>
      <sz val="9"/>
      <color rgb="FFFF0000"/>
      <name val="宋体"/>
      <charset val="134"/>
    </font>
    <font>
      <sz val="11"/>
      <color rgb="FFFF0000"/>
      <name val="宋体"/>
      <charset val="134"/>
    </font>
    <font>
      <sz val="8"/>
      <color rgb="FF000000"/>
      <name val="Times New Roman"/>
      <charset val="0"/>
    </font>
    <font>
      <b/>
      <sz val="18"/>
      <color indexed="8"/>
      <name val="宋体"/>
      <charset val="134"/>
    </font>
    <font>
      <sz val="8"/>
      <color indexed="8"/>
      <name val="宋体"/>
      <charset val="134"/>
    </font>
    <font>
      <sz val="9"/>
      <color indexed="8"/>
      <name val="Times New Roman"/>
      <charset val="0"/>
    </font>
    <font>
      <sz val="10"/>
      <color indexed="8"/>
      <name val="宋体"/>
      <charset val="134"/>
    </font>
    <font>
      <b/>
      <sz val="9"/>
      <color indexed="8"/>
      <name val="宋体"/>
      <charset val="134"/>
    </font>
    <font>
      <sz val="6"/>
      <color indexed="8"/>
      <name val="宋体"/>
      <charset val="134"/>
    </font>
    <font>
      <sz val="11"/>
      <color theme="1"/>
      <name val="宋体"/>
      <charset val="134"/>
    </font>
    <font>
      <sz val="9"/>
      <name val="宋体"/>
      <charset val="0"/>
    </font>
    <font>
      <sz val="10"/>
      <color theme="1"/>
      <name val="宋体"/>
      <charset val="134"/>
    </font>
    <font>
      <sz val="6"/>
      <color theme="1"/>
      <name val="宋体"/>
      <charset val="134"/>
    </font>
    <font>
      <sz val="9"/>
      <color rgb="FF000000"/>
      <name val="宋体"/>
      <charset val="134"/>
    </font>
    <font>
      <sz val="16"/>
      <color indexed="8"/>
      <name val="宋体"/>
      <charset val="134"/>
    </font>
    <font>
      <sz val="9"/>
      <color rgb="FFFF0000"/>
      <name val="Times New Roman"/>
      <charset val="0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vertAlign val="superscript"/>
      <sz val="9"/>
      <color indexed="8"/>
      <name val="宋体"/>
      <charset val="134"/>
    </font>
    <font>
      <sz val="8"/>
      <color indexed="8"/>
      <name val="Times New Roman"/>
      <charset val="0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22" applyNumberFormat="0" applyAlignment="0" applyProtection="0">
      <alignment vertical="center"/>
    </xf>
    <xf numFmtId="0" fontId="40" fillId="12" borderId="23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2" fillId="13" borderId="24" applyNumberFormat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0" fillId="0" borderId="0"/>
    <xf numFmtId="0" fontId="50" fillId="0" borderId="0"/>
  </cellStyleXfs>
  <cellXfs count="3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3" fillId="3" borderId="1" xfId="52" applyNumberFormat="1" applyFont="1" applyFill="1" applyBorder="1" applyAlignment="1">
      <alignment horizontal="center" vertical="center" wrapText="1"/>
    </xf>
    <xf numFmtId="0" fontId="3" fillId="3" borderId="1" xfId="52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/>
    </xf>
    <xf numFmtId="10" fontId="3" fillId="4" borderId="1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10" fontId="3" fillId="3" borderId="1" xfId="52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NumberFormat="1" applyFont="1" applyFill="1" applyBorder="1" applyAlignment="1">
      <alignment horizontal="center" vertical="center" wrapText="1"/>
    </xf>
    <xf numFmtId="0" fontId="3" fillId="5" borderId="1" xfId="53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49" fontId="2" fillId="5" borderId="6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/>
    </xf>
    <xf numFmtId="0" fontId="2" fillId="5" borderId="1" xfId="53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/>
    </xf>
    <xf numFmtId="0" fontId="3" fillId="3" borderId="1" xfId="53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2" fillId="3" borderId="1" xfId="53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2" fillId="3" borderId="3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horizontal="center" vertical="center" wrapText="1"/>
    </xf>
    <xf numFmtId="49" fontId="3" fillId="3" borderId="1" xfId="51" applyNumberFormat="1" applyFont="1" applyFill="1" applyBorder="1" applyAlignment="1">
      <alignment horizontal="center" vertical="center" wrapText="1"/>
    </xf>
    <xf numFmtId="0" fontId="2" fillId="3" borderId="3" xfId="52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6" borderId="1" xfId="52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6" borderId="1" xfId="52" applyNumberFormat="1" applyFont="1" applyFill="1" applyBorder="1" applyAlignment="1">
      <alignment horizontal="center" vertical="center" wrapText="1"/>
    </xf>
    <xf numFmtId="0" fontId="2" fillId="6" borderId="3" xfId="51" applyFont="1" applyFill="1" applyBorder="1" applyAlignment="1">
      <alignment horizontal="center" vertical="center" wrapText="1"/>
    </xf>
    <xf numFmtId="49" fontId="3" fillId="6" borderId="1" xfId="51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" xfId="5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10" fontId="19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/>
    </xf>
    <xf numFmtId="10" fontId="19" fillId="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49" fontId="3" fillId="3" borderId="1" xfId="49" applyNumberFormat="1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10" fontId="3" fillId="3" borderId="1" xfId="49" applyNumberFormat="1" applyFont="1" applyFill="1" applyBorder="1" applyAlignment="1">
      <alignment horizontal="center" vertical="center" wrapText="1"/>
    </xf>
    <xf numFmtId="49" fontId="2" fillId="3" borderId="1" xfId="49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vertical="center" wrapText="1"/>
    </xf>
    <xf numFmtId="0" fontId="10" fillId="0" borderId="13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49" fontId="3" fillId="0" borderId="1" xfId="52" applyNumberFormat="1" applyFont="1" applyFill="1" applyBorder="1" applyAlignment="1">
      <alignment horizontal="center" vertical="center" wrapText="1"/>
    </xf>
    <xf numFmtId="0" fontId="3" fillId="0" borderId="1" xfId="52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10" fontId="3" fillId="4" borderId="6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top" wrapText="1"/>
    </xf>
    <xf numFmtId="10" fontId="3" fillId="0" borderId="1" xfId="52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6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49" fontId="7" fillId="7" borderId="6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12" fillId="9" borderId="1" xfId="50" applyFont="1" applyFill="1" applyBorder="1" applyAlignment="1">
      <alignment horizontal="center" vertical="center" wrapText="1"/>
    </xf>
    <xf numFmtId="0" fontId="3" fillId="9" borderId="1" xfId="49" applyFont="1" applyFill="1" applyBorder="1" applyAlignment="1">
      <alignment horizontal="center" vertical="center" wrapText="1"/>
    </xf>
    <xf numFmtId="0" fontId="19" fillId="9" borderId="1" xfId="50" applyFont="1" applyFill="1" applyBorder="1" applyAlignment="1">
      <alignment horizontal="center" vertical="center" wrapText="1"/>
    </xf>
    <xf numFmtId="49" fontId="19" fillId="9" borderId="1" xfId="50" applyNumberFormat="1" applyFont="1" applyFill="1" applyBorder="1" applyAlignment="1">
      <alignment horizontal="center" vertical="center" wrapText="1"/>
    </xf>
    <xf numFmtId="49" fontId="3" fillId="9" borderId="1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10" fontId="19" fillId="9" borderId="1" xfId="5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0" fontId="3" fillId="0" borderId="1" xfId="49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8" fillId="7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0" fontId="12" fillId="0" borderId="7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vertical="center"/>
    </xf>
    <xf numFmtId="0" fontId="2" fillId="9" borderId="1" xfId="5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5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 wrapText="1"/>
    </xf>
    <xf numFmtId="176" fontId="25" fillId="0" borderId="1" xfId="0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vertical="center"/>
    </xf>
    <xf numFmtId="0" fontId="12" fillId="7" borderId="0" xfId="0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2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2" fillId="3" borderId="0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2" fillId="4" borderId="2" xfId="0" applyFont="1" applyFill="1" applyBorder="1" applyAlignment="1">
      <alignment horizontal="center" vertical="center"/>
    </xf>
    <xf numFmtId="0" fontId="2" fillId="4" borderId="3" xfId="52" applyFont="1" applyFill="1" applyBorder="1" applyAlignment="1">
      <alignment horizontal="center" vertical="center" wrapText="1"/>
    </xf>
    <xf numFmtId="0" fontId="2" fillId="4" borderId="1" xfId="52" applyFont="1" applyFill="1" applyBorder="1" applyAlignment="1">
      <alignment horizontal="center" vertical="center" wrapText="1"/>
    </xf>
    <xf numFmtId="49" fontId="3" fillId="4" borderId="1" xfId="52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0" borderId="1" xfId="0" applyNumberFormat="1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2" fillId="0" borderId="8" xfId="51" applyFont="1" applyFill="1" applyBorder="1" applyAlignment="1">
      <alignment horizontal="center" vertical="center" wrapText="1"/>
    </xf>
    <xf numFmtId="0" fontId="3" fillId="0" borderId="7" xfId="51" applyFont="1" applyFill="1" applyBorder="1" applyAlignment="1">
      <alignment horizontal="center" vertical="center" wrapText="1"/>
    </xf>
    <xf numFmtId="49" fontId="3" fillId="0" borderId="7" xfId="51" applyNumberFormat="1" applyFont="1" applyFill="1" applyBorder="1" applyAlignment="1">
      <alignment horizontal="center" vertical="center" wrapText="1"/>
    </xf>
    <xf numFmtId="0" fontId="2" fillId="0" borderId="3" xfId="51" applyFont="1" applyFill="1" applyBorder="1" applyAlignment="1">
      <alignment horizontal="center" vertical="center" wrapText="1"/>
    </xf>
    <xf numFmtId="49" fontId="3" fillId="0" borderId="1" xfId="51" applyNumberFormat="1" applyFont="1" applyFill="1" applyBorder="1" applyAlignment="1">
      <alignment horizontal="center" vertical="center" wrapText="1"/>
    </xf>
    <xf numFmtId="0" fontId="2" fillId="0" borderId="3" xfId="52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/>
    </xf>
    <xf numFmtId="0" fontId="0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176" fontId="12" fillId="7" borderId="1" xfId="0" applyNumberFormat="1" applyFont="1" applyFill="1" applyBorder="1" applyAlignment="1">
      <alignment horizontal="center" vertical="center"/>
    </xf>
    <xf numFmtId="58" fontId="8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0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 quotePrefix="1">
      <alignment horizontal="center" vertical="center" wrapText="1"/>
    </xf>
    <xf numFmtId="0" fontId="12" fillId="0" borderId="1" xfId="0" applyFont="1" applyFill="1" applyBorder="1" applyAlignment="1" quotePrefix="1">
      <alignment horizontal="center" vertical="center"/>
    </xf>
    <xf numFmtId="0" fontId="3" fillId="0" borderId="1" xfId="0" applyNumberFormat="1" applyFont="1" applyFill="1" applyBorder="1" applyAlignment="1" quotePrefix="1">
      <alignment horizontal="center" vertical="center" wrapText="1"/>
    </xf>
    <xf numFmtId="0" fontId="25" fillId="0" borderId="1" xfId="0" applyFont="1" applyFill="1" applyBorder="1" applyAlignment="1" quotePrefix="1">
      <alignment horizontal="center" vertical="center" wrapText="1"/>
    </xf>
    <xf numFmtId="0" fontId="26" fillId="0" borderId="1" xfId="0" applyFont="1" applyFill="1" applyBorder="1" applyAlignment="1" quotePrefix="1">
      <alignment horizontal="center" vertical="center" wrapText="1"/>
    </xf>
    <xf numFmtId="0" fontId="8" fillId="0" borderId="0" xfId="0" applyFont="1" applyFill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2" xfId="49"/>
    <cellStyle name="常规 2 2 2" xfId="50"/>
    <cellStyle name="Normal" xfId="51"/>
    <cellStyle name="常规 5" xfId="52"/>
    <cellStyle name="常规 3" xfId="53"/>
    <cellStyle name="常规 4" xfId="54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6"/>
  <sheetViews>
    <sheetView zoomScale="85" zoomScaleNormal="85" topLeftCell="H1" workbookViewId="0">
      <selection activeCell="P23" sqref="P23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M1" t="s">
        <v>3</v>
      </c>
      <c r="N1" t="s">
        <v>1</v>
      </c>
      <c r="O1" t="s">
        <v>2</v>
      </c>
    </row>
    <row r="2" spans="3:18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O2" t="s">
        <v>4</v>
      </c>
      <c r="P2" t="s">
        <v>9</v>
      </c>
      <c r="Q2" t="s">
        <v>10</v>
      </c>
      <c r="R2" t="s">
        <v>11</v>
      </c>
    </row>
    <row r="3" spans="2:18">
      <c r="B3" t="s">
        <v>12</v>
      </c>
      <c r="C3">
        <v>1</v>
      </c>
      <c r="J3">
        <f t="shared" ref="J3:J9" si="0">SUM(C3:I3)</f>
        <v>1</v>
      </c>
      <c r="N3" t="s">
        <v>13</v>
      </c>
      <c r="O3">
        <v>5</v>
      </c>
      <c r="P3">
        <v>8</v>
      </c>
      <c r="Q3">
        <v>8</v>
      </c>
      <c r="R3">
        <f t="shared" ref="R3:R8" si="1">SUM(K3:Q3)</f>
        <v>21</v>
      </c>
    </row>
    <row r="4" spans="2:18">
      <c r="B4" t="s">
        <v>13</v>
      </c>
      <c r="C4">
        <v>52</v>
      </c>
      <c r="D4">
        <v>48</v>
      </c>
      <c r="F4">
        <v>1</v>
      </c>
      <c r="H4">
        <v>4</v>
      </c>
      <c r="I4">
        <v>8</v>
      </c>
      <c r="J4">
        <f t="shared" si="0"/>
        <v>113</v>
      </c>
      <c r="N4" t="s">
        <v>14</v>
      </c>
      <c r="O4">
        <v>5</v>
      </c>
      <c r="P4">
        <v>7</v>
      </c>
      <c r="Q4">
        <v>8</v>
      </c>
      <c r="R4">
        <f t="shared" si="1"/>
        <v>20</v>
      </c>
    </row>
    <row r="5" spans="2:18">
      <c r="B5" t="s">
        <v>14</v>
      </c>
      <c r="C5">
        <v>52</v>
      </c>
      <c r="D5">
        <v>47</v>
      </c>
      <c r="G5">
        <v>1</v>
      </c>
      <c r="H5">
        <v>5</v>
      </c>
      <c r="I5">
        <v>7</v>
      </c>
      <c r="J5">
        <f t="shared" si="0"/>
        <v>112</v>
      </c>
      <c r="N5" t="s">
        <v>15</v>
      </c>
      <c r="O5">
        <v>9</v>
      </c>
      <c r="P5">
        <v>16</v>
      </c>
      <c r="Q5">
        <v>10</v>
      </c>
      <c r="R5">
        <f t="shared" si="1"/>
        <v>35</v>
      </c>
    </row>
    <row r="6" spans="2:18">
      <c r="B6" t="s">
        <v>15</v>
      </c>
      <c r="C6">
        <v>49</v>
      </c>
      <c r="D6">
        <v>40</v>
      </c>
      <c r="F6">
        <v>14</v>
      </c>
      <c r="G6">
        <v>15</v>
      </c>
      <c r="H6">
        <v>24</v>
      </c>
      <c r="I6">
        <v>14</v>
      </c>
      <c r="J6">
        <f t="shared" si="0"/>
        <v>156</v>
      </c>
      <c r="N6" t="s">
        <v>16</v>
      </c>
      <c r="O6">
        <v>85</v>
      </c>
      <c r="P6">
        <v>2</v>
      </c>
      <c r="Q6">
        <v>3</v>
      </c>
      <c r="R6">
        <f t="shared" si="1"/>
        <v>90</v>
      </c>
    </row>
    <row r="7" spans="2:18">
      <c r="B7" t="s">
        <v>17</v>
      </c>
      <c r="C7">
        <v>5</v>
      </c>
      <c r="J7">
        <f t="shared" si="0"/>
        <v>5</v>
      </c>
      <c r="N7" t="s">
        <v>18</v>
      </c>
      <c r="P7">
        <v>1</v>
      </c>
      <c r="R7">
        <f t="shared" si="1"/>
        <v>1</v>
      </c>
    </row>
    <row r="8" spans="2:18">
      <c r="B8" t="s">
        <v>16</v>
      </c>
      <c r="C8">
        <v>27</v>
      </c>
      <c r="J8">
        <f t="shared" si="0"/>
        <v>27</v>
      </c>
      <c r="N8" t="s">
        <v>6</v>
      </c>
      <c r="Q8">
        <v>1</v>
      </c>
      <c r="R8">
        <f t="shared" si="1"/>
        <v>1</v>
      </c>
    </row>
    <row r="9" spans="2:18">
      <c r="B9" t="s">
        <v>6</v>
      </c>
      <c r="D9">
        <v>1</v>
      </c>
      <c r="E9">
        <v>35</v>
      </c>
      <c r="G9">
        <v>1</v>
      </c>
      <c r="H9">
        <v>4</v>
      </c>
      <c r="I9">
        <v>2</v>
      </c>
      <c r="J9">
        <f t="shared" si="0"/>
        <v>43</v>
      </c>
      <c r="R9" s="373">
        <f>SUM(R3:R8)</f>
        <v>168</v>
      </c>
    </row>
    <row r="10" spans="10:10">
      <c r="J10" s="373">
        <f>SUM(J3:J9)</f>
        <v>457</v>
      </c>
    </row>
    <row r="20" spans="11:12">
      <c r="K20" t="s">
        <v>15</v>
      </c>
      <c r="L20">
        <f>J6+R5</f>
        <v>191</v>
      </c>
    </row>
    <row r="21" spans="11:12">
      <c r="K21" t="s">
        <v>13</v>
      </c>
      <c r="L21">
        <f>J4+R3</f>
        <v>134</v>
      </c>
    </row>
    <row r="22" spans="11:12">
      <c r="K22" t="s">
        <v>14</v>
      </c>
      <c r="L22">
        <f>J5+R4</f>
        <v>132</v>
      </c>
    </row>
    <row r="23" ht="40.5" spans="11:12">
      <c r="K23" s="374" t="s">
        <v>19</v>
      </c>
      <c r="L23">
        <f>J3+J7+R7</f>
        <v>7</v>
      </c>
    </row>
    <row r="24" spans="11:12">
      <c r="K24" t="s">
        <v>6</v>
      </c>
      <c r="L24">
        <f>J9+R8</f>
        <v>44</v>
      </c>
    </row>
    <row r="25" spans="11:12">
      <c r="K25" t="s">
        <v>16</v>
      </c>
      <c r="L25">
        <f>J8+R6</f>
        <v>117</v>
      </c>
    </row>
    <row r="26" spans="12:12">
      <c r="L26">
        <f>SUM(L20:L25)</f>
        <v>625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171"/>
  <sheetViews>
    <sheetView tabSelected="1" zoomScale="85" zoomScaleNormal="85" workbookViewId="0">
      <pane ySplit="1" topLeftCell="A2" activePane="bottomLeft" state="frozen"/>
      <selection/>
      <selection pane="bottomLeft" activeCell="G21" sqref="G21"/>
    </sheetView>
  </sheetViews>
  <sheetFormatPr defaultColWidth="8.88333333333333" defaultRowHeight="13.5"/>
  <cols>
    <col min="1" max="1" width="4.55833333333333" style="27" customWidth="1"/>
    <col min="2" max="3" width="13.125" style="30" customWidth="1"/>
    <col min="4" max="4" width="14.775" style="30" customWidth="1"/>
    <col min="5" max="5" width="9.79166666666667" style="30" customWidth="1"/>
    <col min="6" max="6" width="8.88333333333333" style="30" customWidth="1"/>
    <col min="7" max="7" width="12.075" style="30" customWidth="1"/>
    <col min="8" max="8" width="12.6333333333333" style="30" customWidth="1"/>
    <col min="9" max="9" width="8.88333333333333" style="30" customWidth="1"/>
    <col min="10" max="10" width="10.775" style="30" customWidth="1"/>
    <col min="11" max="12" width="8.88333333333333" style="30" customWidth="1"/>
    <col min="13" max="13" width="13.25" style="30" customWidth="1"/>
    <col min="14" max="14" width="9.66666666666667" style="30" customWidth="1"/>
    <col min="15" max="15" width="9.66666666666667" style="266" customWidth="1"/>
    <col min="16" max="17" width="8.88333333333333" style="30" customWidth="1"/>
    <col min="18" max="18" width="12.275" style="30" customWidth="1"/>
    <col min="19" max="19" width="23.625" style="30" customWidth="1"/>
    <col min="20" max="16384" width="8.88333333333333" style="30"/>
  </cols>
  <sheetData>
    <row r="1" s="30" customFormat="1" ht="26" customHeight="1" spans="1:19">
      <c r="A1" s="27"/>
      <c r="B1" s="53" t="s">
        <v>1</v>
      </c>
      <c r="C1" s="53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s="30" customFormat="1" ht="26" customHeight="1" spans="1:19">
      <c r="A2" s="27">
        <v>1</v>
      </c>
      <c r="B2" s="186" t="s">
        <v>16</v>
      </c>
      <c r="C2" s="344" t="s">
        <v>37</v>
      </c>
      <c r="D2" s="82" t="s">
        <v>38</v>
      </c>
      <c r="E2" s="161" t="s">
        <v>39</v>
      </c>
      <c r="F2" s="144"/>
      <c r="G2" s="144" t="s">
        <v>40</v>
      </c>
      <c r="H2" s="144" t="s">
        <v>41</v>
      </c>
      <c r="I2" s="348">
        <v>44409</v>
      </c>
      <c r="J2" s="31" t="s">
        <v>42</v>
      </c>
      <c r="K2" s="31" t="s">
        <v>42</v>
      </c>
      <c r="L2" s="119" t="s">
        <v>43</v>
      </c>
      <c r="M2" s="149" t="s">
        <v>44</v>
      </c>
      <c r="N2" s="286">
        <v>45558</v>
      </c>
      <c r="O2" s="286">
        <v>45922</v>
      </c>
      <c r="P2" s="349">
        <v>1200</v>
      </c>
      <c r="Q2" s="82" t="s">
        <v>45</v>
      </c>
      <c r="R2" s="82"/>
      <c r="S2" s="82"/>
    </row>
    <row r="3" s="30" customFormat="1" ht="26" customHeight="1" spans="1:19">
      <c r="A3" s="27">
        <v>2</v>
      </c>
      <c r="B3" s="186" t="s">
        <v>16</v>
      </c>
      <c r="C3" s="344" t="s">
        <v>37</v>
      </c>
      <c r="D3" s="82" t="s">
        <v>38</v>
      </c>
      <c r="E3" s="29" t="s">
        <v>46</v>
      </c>
      <c r="F3" s="31" t="s">
        <v>47</v>
      </c>
      <c r="G3" s="119" t="s">
        <v>48</v>
      </c>
      <c r="H3" s="31" t="s">
        <v>47</v>
      </c>
      <c r="I3" s="119" t="s">
        <v>49</v>
      </c>
      <c r="J3" s="31" t="s">
        <v>42</v>
      </c>
      <c r="K3" s="31" t="s">
        <v>42</v>
      </c>
      <c r="L3" s="119" t="s">
        <v>43</v>
      </c>
      <c r="M3" s="149" t="s">
        <v>44</v>
      </c>
      <c r="N3" s="94">
        <v>45560</v>
      </c>
      <c r="O3" s="94">
        <v>45924</v>
      </c>
      <c r="P3" s="148">
        <v>500</v>
      </c>
      <c r="Q3" s="82"/>
      <c r="R3" s="82"/>
      <c r="S3" s="82"/>
    </row>
    <row r="4" s="30" customFormat="1" ht="26" customHeight="1" spans="1:19">
      <c r="A4" s="27">
        <v>3</v>
      </c>
      <c r="B4" s="186" t="s">
        <v>16</v>
      </c>
      <c r="C4" s="344" t="s">
        <v>37</v>
      </c>
      <c r="D4" s="82" t="s">
        <v>38</v>
      </c>
      <c r="E4" s="29" t="s">
        <v>50</v>
      </c>
      <c r="F4" s="31" t="s">
        <v>51</v>
      </c>
      <c r="G4" s="119" t="s">
        <v>52</v>
      </c>
      <c r="H4" s="31" t="s">
        <v>53</v>
      </c>
      <c r="I4" s="119" t="s">
        <v>49</v>
      </c>
      <c r="J4" s="31" t="s">
        <v>42</v>
      </c>
      <c r="K4" s="31" t="s">
        <v>42</v>
      </c>
      <c r="L4" s="119" t="s">
        <v>43</v>
      </c>
      <c r="M4" s="149" t="s">
        <v>44</v>
      </c>
      <c r="N4" s="94">
        <v>45928</v>
      </c>
      <c r="O4" s="94">
        <v>46292</v>
      </c>
      <c r="P4" s="148">
        <v>500</v>
      </c>
      <c r="Q4" s="82"/>
      <c r="R4" s="82"/>
      <c r="S4" s="82"/>
    </row>
    <row r="5" s="30" customFormat="1" ht="26" customHeight="1" spans="1:19">
      <c r="A5" s="27">
        <v>4</v>
      </c>
      <c r="B5" s="186" t="s">
        <v>15</v>
      </c>
      <c r="C5" s="344" t="s">
        <v>54</v>
      </c>
      <c r="D5" s="82" t="s">
        <v>55</v>
      </c>
      <c r="E5" s="29" t="s">
        <v>56</v>
      </c>
      <c r="F5" s="31" t="s">
        <v>57</v>
      </c>
      <c r="G5" s="119" t="s">
        <v>58</v>
      </c>
      <c r="H5" s="119" t="s">
        <v>59</v>
      </c>
      <c r="I5" s="119" t="s">
        <v>49</v>
      </c>
      <c r="J5" s="31" t="s">
        <v>42</v>
      </c>
      <c r="K5" s="31" t="s">
        <v>42</v>
      </c>
      <c r="L5" s="119" t="s">
        <v>43</v>
      </c>
      <c r="M5" s="350" t="s">
        <v>44</v>
      </c>
      <c r="N5" s="180">
        <v>45939</v>
      </c>
      <c r="O5" s="180">
        <v>46303</v>
      </c>
      <c r="P5" s="148">
        <v>1050</v>
      </c>
      <c r="Q5" s="354"/>
      <c r="R5" s="82"/>
      <c r="S5" s="82"/>
    </row>
    <row r="6" s="30" customFormat="1" ht="26" customHeight="1" spans="1:19">
      <c r="A6" s="27">
        <v>5</v>
      </c>
      <c r="B6" s="186" t="s">
        <v>15</v>
      </c>
      <c r="C6" s="344" t="s">
        <v>54</v>
      </c>
      <c r="D6" s="82" t="s">
        <v>60</v>
      </c>
      <c r="E6" s="29" t="s">
        <v>56</v>
      </c>
      <c r="F6" s="31" t="s">
        <v>61</v>
      </c>
      <c r="G6" s="119" t="s">
        <v>58</v>
      </c>
      <c r="H6" s="119" t="s">
        <v>62</v>
      </c>
      <c r="I6" s="119" t="s">
        <v>49</v>
      </c>
      <c r="J6" s="31" t="s">
        <v>42</v>
      </c>
      <c r="K6" s="31" t="s">
        <v>42</v>
      </c>
      <c r="L6" s="119" t="s">
        <v>43</v>
      </c>
      <c r="M6" s="149" t="s">
        <v>44</v>
      </c>
      <c r="N6" s="180">
        <v>45939</v>
      </c>
      <c r="O6" s="180">
        <v>46303</v>
      </c>
      <c r="P6" s="148">
        <v>1050</v>
      </c>
      <c r="Q6" s="354"/>
      <c r="R6" s="82"/>
      <c r="S6" s="82"/>
    </row>
    <row r="7" s="30" customFormat="1" ht="26" customHeight="1" spans="1:19">
      <c r="A7" s="27">
        <v>6</v>
      </c>
      <c r="B7" s="186" t="s">
        <v>14</v>
      </c>
      <c r="C7" s="344" t="s">
        <v>54</v>
      </c>
      <c r="D7" s="82" t="s">
        <v>63</v>
      </c>
      <c r="E7" s="29" t="s">
        <v>56</v>
      </c>
      <c r="F7" s="31" t="s">
        <v>64</v>
      </c>
      <c r="G7" s="119" t="s">
        <v>65</v>
      </c>
      <c r="H7" s="31">
        <v>89404241</v>
      </c>
      <c r="I7" s="119" t="s">
        <v>66</v>
      </c>
      <c r="J7" s="31" t="s">
        <v>42</v>
      </c>
      <c r="K7" s="31" t="s">
        <v>42</v>
      </c>
      <c r="L7" s="119" t="s">
        <v>43</v>
      </c>
      <c r="M7" s="149" t="s">
        <v>44</v>
      </c>
      <c r="N7" s="180">
        <v>45939</v>
      </c>
      <c r="O7" s="180">
        <v>46303</v>
      </c>
      <c r="P7" s="148">
        <v>1050</v>
      </c>
      <c r="Q7" s="354"/>
      <c r="R7" s="82"/>
      <c r="S7" s="82"/>
    </row>
    <row r="8" s="30" customFormat="1" ht="26" customHeight="1" spans="1:19">
      <c r="A8" s="27">
        <v>7</v>
      </c>
      <c r="B8" s="186" t="s">
        <v>14</v>
      </c>
      <c r="C8" s="344" t="s">
        <v>54</v>
      </c>
      <c r="D8" s="82" t="s">
        <v>67</v>
      </c>
      <c r="E8" s="29" t="s">
        <v>56</v>
      </c>
      <c r="F8" s="31" t="s">
        <v>68</v>
      </c>
      <c r="G8" s="119" t="s">
        <v>65</v>
      </c>
      <c r="H8" s="31">
        <v>89404242</v>
      </c>
      <c r="I8" s="119" t="s">
        <v>66</v>
      </c>
      <c r="J8" s="31" t="s">
        <v>42</v>
      </c>
      <c r="K8" s="31" t="s">
        <v>42</v>
      </c>
      <c r="L8" s="119" t="s">
        <v>43</v>
      </c>
      <c r="M8" s="149" t="s">
        <v>44</v>
      </c>
      <c r="N8" s="180">
        <v>45939</v>
      </c>
      <c r="O8" s="180">
        <v>46303</v>
      </c>
      <c r="P8" s="148">
        <v>1050</v>
      </c>
      <c r="Q8" s="354"/>
      <c r="R8" s="82"/>
      <c r="S8" s="82"/>
    </row>
    <row r="9" s="30" customFormat="1" ht="26" customHeight="1" spans="1:19">
      <c r="A9" s="27">
        <v>8</v>
      </c>
      <c r="B9" s="186" t="s">
        <v>16</v>
      </c>
      <c r="C9" s="344" t="s">
        <v>37</v>
      </c>
      <c r="D9" s="82" t="s">
        <v>69</v>
      </c>
      <c r="E9" s="29" t="s">
        <v>70</v>
      </c>
      <c r="F9" s="31" t="s">
        <v>71</v>
      </c>
      <c r="G9" s="31" t="s">
        <v>72</v>
      </c>
      <c r="H9" s="119">
        <v>1231125579</v>
      </c>
      <c r="I9" s="32">
        <v>2010.1</v>
      </c>
      <c r="J9" s="31" t="s">
        <v>73</v>
      </c>
      <c r="K9" s="51" t="s">
        <v>74</v>
      </c>
      <c r="L9" s="119" t="s">
        <v>43</v>
      </c>
      <c r="M9" s="149" t="s">
        <v>44</v>
      </c>
      <c r="N9" s="94">
        <v>45928</v>
      </c>
      <c r="O9" s="94">
        <v>46292</v>
      </c>
      <c r="P9" s="148">
        <v>240</v>
      </c>
      <c r="Q9" s="29"/>
      <c r="R9" s="355"/>
      <c r="S9" s="82"/>
    </row>
    <row r="10" s="30" customFormat="1" spans="1:19">
      <c r="A10" s="27">
        <v>9</v>
      </c>
      <c r="B10" s="186" t="s">
        <v>16</v>
      </c>
      <c r="C10" s="344" t="s">
        <v>37</v>
      </c>
      <c r="D10" s="118" t="s">
        <v>75</v>
      </c>
      <c r="E10" s="29" t="s">
        <v>70</v>
      </c>
      <c r="F10" s="29" t="s">
        <v>76</v>
      </c>
      <c r="G10" s="29" t="s">
        <v>77</v>
      </c>
      <c r="H10" s="29" t="s">
        <v>78</v>
      </c>
      <c r="I10" s="201">
        <v>42705</v>
      </c>
      <c r="J10" s="29" t="s">
        <v>42</v>
      </c>
      <c r="K10" s="29" t="s">
        <v>42</v>
      </c>
      <c r="L10" s="119" t="s">
        <v>43</v>
      </c>
      <c r="M10" s="82" t="s">
        <v>79</v>
      </c>
      <c r="N10" s="94">
        <v>45762</v>
      </c>
      <c r="O10" s="94">
        <v>45944</v>
      </c>
      <c r="P10" s="148">
        <v>300</v>
      </c>
      <c r="Q10" s="82"/>
      <c r="R10" s="82"/>
      <c r="S10" s="82"/>
    </row>
    <row r="11" s="30" customFormat="1" spans="1:19">
      <c r="A11" s="27">
        <v>10</v>
      </c>
      <c r="B11" s="186" t="s">
        <v>16</v>
      </c>
      <c r="C11" s="344" t="s">
        <v>37</v>
      </c>
      <c r="D11" s="118" t="s">
        <v>80</v>
      </c>
      <c r="E11" s="29" t="s">
        <v>70</v>
      </c>
      <c r="F11" s="29" t="s">
        <v>81</v>
      </c>
      <c r="G11" s="29" t="s">
        <v>77</v>
      </c>
      <c r="H11" s="29" t="s">
        <v>82</v>
      </c>
      <c r="I11" s="201">
        <v>42705</v>
      </c>
      <c r="J11" s="29" t="s">
        <v>42</v>
      </c>
      <c r="K11" s="29" t="s">
        <v>42</v>
      </c>
      <c r="L11" s="119" t="s">
        <v>43</v>
      </c>
      <c r="M11" s="82" t="s">
        <v>79</v>
      </c>
      <c r="N11" s="94">
        <v>45762</v>
      </c>
      <c r="O11" s="94">
        <v>45944</v>
      </c>
      <c r="P11" s="148">
        <v>300</v>
      </c>
      <c r="Q11" s="82"/>
      <c r="R11" s="82"/>
      <c r="S11" s="82"/>
    </row>
    <row r="12" s="30" customFormat="1" spans="1:19">
      <c r="A12" s="27">
        <v>11</v>
      </c>
      <c r="B12" s="186" t="s">
        <v>16</v>
      </c>
      <c r="C12" s="344" t="s">
        <v>37</v>
      </c>
      <c r="D12" s="118" t="s">
        <v>83</v>
      </c>
      <c r="E12" s="29" t="s">
        <v>70</v>
      </c>
      <c r="F12" s="29" t="s">
        <v>84</v>
      </c>
      <c r="G12" s="29" t="s">
        <v>77</v>
      </c>
      <c r="H12" s="29" t="s">
        <v>85</v>
      </c>
      <c r="I12" s="201">
        <v>42705</v>
      </c>
      <c r="J12" s="29" t="s">
        <v>42</v>
      </c>
      <c r="K12" s="29" t="s">
        <v>42</v>
      </c>
      <c r="L12" s="119" t="s">
        <v>43</v>
      </c>
      <c r="M12" s="82" t="s">
        <v>79</v>
      </c>
      <c r="N12" s="94">
        <v>45762</v>
      </c>
      <c r="O12" s="94">
        <v>45944</v>
      </c>
      <c r="P12" s="148">
        <v>300</v>
      </c>
      <c r="Q12" s="82"/>
      <c r="R12" s="82"/>
      <c r="S12" s="82"/>
    </row>
    <row r="13" s="30" customFormat="1" spans="1:19">
      <c r="A13" s="27">
        <v>12</v>
      </c>
      <c r="B13" s="186" t="s">
        <v>16</v>
      </c>
      <c r="C13" s="344" t="s">
        <v>37</v>
      </c>
      <c r="D13" s="118" t="s">
        <v>86</v>
      </c>
      <c r="E13" s="29" t="s">
        <v>70</v>
      </c>
      <c r="F13" s="29" t="s">
        <v>87</v>
      </c>
      <c r="G13" s="29" t="s">
        <v>77</v>
      </c>
      <c r="H13" s="29" t="s">
        <v>88</v>
      </c>
      <c r="I13" s="201">
        <v>42705</v>
      </c>
      <c r="J13" s="29" t="s">
        <v>42</v>
      </c>
      <c r="K13" s="29" t="s">
        <v>42</v>
      </c>
      <c r="L13" s="119" t="s">
        <v>43</v>
      </c>
      <c r="M13" s="351" t="s">
        <v>79</v>
      </c>
      <c r="N13" s="94">
        <v>45762</v>
      </c>
      <c r="O13" s="94">
        <v>45944</v>
      </c>
      <c r="P13" s="352">
        <v>300</v>
      </c>
      <c r="Q13" s="82"/>
      <c r="R13" s="82"/>
      <c r="S13" s="82"/>
    </row>
    <row r="14" s="30" customFormat="1" spans="1:19">
      <c r="A14" s="27">
        <v>13</v>
      </c>
      <c r="B14" s="186" t="s">
        <v>15</v>
      </c>
      <c r="C14" s="344" t="s">
        <v>37</v>
      </c>
      <c r="D14" s="345" t="s">
        <v>55</v>
      </c>
      <c r="E14" s="118" t="s">
        <v>89</v>
      </c>
      <c r="F14" s="31" t="s">
        <v>90</v>
      </c>
      <c r="G14" s="119" t="s">
        <v>42</v>
      </c>
      <c r="H14" s="31" t="s">
        <v>91</v>
      </c>
      <c r="I14" s="119" t="s">
        <v>49</v>
      </c>
      <c r="J14" s="119" t="s">
        <v>92</v>
      </c>
      <c r="K14" s="119" t="s">
        <v>93</v>
      </c>
      <c r="L14" s="353" t="s">
        <v>94</v>
      </c>
      <c r="M14" s="82" t="s">
        <v>79</v>
      </c>
      <c r="N14" s="94">
        <v>45762</v>
      </c>
      <c r="O14" s="94">
        <v>45944</v>
      </c>
      <c r="P14" s="148">
        <v>100</v>
      </c>
      <c r="Q14" s="82"/>
      <c r="R14" s="82"/>
      <c r="S14" s="82"/>
    </row>
    <row r="15" s="30" customFormat="1" spans="1:19">
      <c r="A15" s="27">
        <v>14</v>
      </c>
      <c r="B15" s="186" t="s">
        <v>15</v>
      </c>
      <c r="C15" s="344" t="s">
        <v>37</v>
      </c>
      <c r="D15" s="345" t="s">
        <v>55</v>
      </c>
      <c r="E15" s="118" t="s">
        <v>89</v>
      </c>
      <c r="F15" s="31" t="s">
        <v>95</v>
      </c>
      <c r="G15" s="119" t="s">
        <v>42</v>
      </c>
      <c r="H15" s="31" t="s">
        <v>96</v>
      </c>
      <c r="I15" s="119" t="s">
        <v>49</v>
      </c>
      <c r="J15" s="119" t="s">
        <v>92</v>
      </c>
      <c r="K15" s="119" t="s">
        <v>93</v>
      </c>
      <c r="L15" s="353" t="s">
        <v>94</v>
      </c>
      <c r="M15" s="82" t="s">
        <v>79</v>
      </c>
      <c r="N15" s="94">
        <v>45762</v>
      </c>
      <c r="O15" s="94">
        <v>45944</v>
      </c>
      <c r="P15" s="148">
        <v>100</v>
      </c>
      <c r="Q15" s="82"/>
      <c r="R15" s="82"/>
      <c r="S15" s="82"/>
    </row>
    <row r="16" s="30" customFormat="1" spans="1:19">
      <c r="A16" s="27">
        <v>15</v>
      </c>
      <c r="B16" s="186" t="s">
        <v>15</v>
      </c>
      <c r="C16" s="344" t="s">
        <v>37</v>
      </c>
      <c r="D16" s="345" t="s">
        <v>60</v>
      </c>
      <c r="E16" s="118" t="s">
        <v>89</v>
      </c>
      <c r="F16" s="31" t="s">
        <v>97</v>
      </c>
      <c r="G16" s="119" t="s">
        <v>42</v>
      </c>
      <c r="H16" s="121" t="s">
        <v>98</v>
      </c>
      <c r="I16" s="119" t="s">
        <v>49</v>
      </c>
      <c r="J16" s="119" t="s">
        <v>92</v>
      </c>
      <c r="K16" s="119" t="s">
        <v>93</v>
      </c>
      <c r="L16" s="353" t="s">
        <v>94</v>
      </c>
      <c r="M16" s="82" t="s">
        <v>79</v>
      </c>
      <c r="N16" s="94">
        <v>45762</v>
      </c>
      <c r="O16" s="94">
        <v>45944</v>
      </c>
      <c r="P16" s="148">
        <v>100</v>
      </c>
      <c r="Q16" s="82"/>
      <c r="R16" s="82"/>
      <c r="S16" s="82"/>
    </row>
    <row r="17" s="30" customFormat="1" spans="1:19">
      <c r="A17" s="27">
        <v>16</v>
      </c>
      <c r="B17" s="186" t="s">
        <v>15</v>
      </c>
      <c r="C17" s="344" t="s">
        <v>37</v>
      </c>
      <c r="D17" s="345" t="s">
        <v>60</v>
      </c>
      <c r="E17" s="118" t="s">
        <v>89</v>
      </c>
      <c r="F17" s="31" t="s">
        <v>99</v>
      </c>
      <c r="G17" s="119" t="s">
        <v>42</v>
      </c>
      <c r="H17" s="121" t="s">
        <v>100</v>
      </c>
      <c r="I17" s="119" t="s">
        <v>49</v>
      </c>
      <c r="J17" s="119" t="s">
        <v>92</v>
      </c>
      <c r="K17" s="119" t="s">
        <v>93</v>
      </c>
      <c r="L17" s="353" t="s">
        <v>94</v>
      </c>
      <c r="M17" s="82" t="s">
        <v>79</v>
      </c>
      <c r="N17" s="94">
        <v>45762</v>
      </c>
      <c r="O17" s="94">
        <v>45944</v>
      </c>
      <c r="P17" s="148">
        <v>100</v>
      </c>
      <c r="Q17" s="354"/>
      <c r="R17" s="82"/>
      <c r="S17" s="82"/>
    </row>
    <row r="18" s="30" customFormat="1" spans="1:19">
      <c r="A18" s="27">
        <v>17</v>
      </c>
      <c r="B18" s="186" t="s">
        <v>13</v>
      </c>
      <c r="C18" s="344" t="s">
        <v>37</v>
      </c>
      <c r="D18" s="345" t="s">
        <v>101</v>
      </c>
      <c r="E18" s="118" t="s">
        <v>89</v>
      </c>
      <c r="F18" s="29" t="s">
        <v>102</v>
      </c>
      <c r="G18" s="29" t="s">
        <v>42</v>
      </c>
      <c r="H18" s="29" t="s">
        <v>103</v>
      </c>
      <c r="I18" s="201">
        <v>40452</v>
      </c>
      <c r="J18" s="29" t="s">
        <v>104</v>
      </c>
      <c r="K18" s="29" t="s">
        <v>93</v>
      </c>
      <c r="L18" s="353" t="s">
        <v>94</v>
      </c>
      <c r="M18" s="82" t="s">
        <v>79</v>
      </c>
      <c r="N18" s="94">
        <v>45762</v>
      </c>
      <c r="O18" s="94">
        <v>45944</v>
      </c>
      <c r="P18" s="148">
        <v>100</v>
      </c>
      <c r="Q18" s="82"/>
      <c r="R18" s="82"/>
      <c r="S18" s="82"/>
    </row>
    <row r="19" s="30" customFormat="1" spans="1:19">
      <c r="A19" s="27">
        <v>18</v>
      </c>
      <c r="B19" s="186" t="s">
        <v>13</v>
      </c>
      <c r="C19" s="344" t="s">
        <v>37</v>
      </c>
      <c r="D19" s="345" t="s">
        <v>101</v>
      </c>
      <c r="E19" s="118" t="s">
        <v>89</v>
      </c>
      <c r="F19" s="29" t="s">
        <v>105</v>
      </c>
      <c r="G19" s="29" t="s">
        <v>42</v>
      </c>
      <c r="H19" s="29" t="s">
        <v>106</v>
      </c>
      <c r="I19" s="201">
        <v>40452</v>
      </c>
      <c r="J19" s="29" t="s">
        <v>104</v>
      </c>
      <c r="K19" s="29" t="s">
        <v>93</v>
      </c>
      <c r="L19" s="353" t="s">
        <v>94</v>
      </c>
      <c r="M19" s="82" t="s">
        <v>79</v>
      </c>
      <c r="N19" s="94">
        <v>45762</v>
      </c>
      <c r="O19" s="94">
        <v>45944</v>
      </c>
      <c r="P19" s="148">
        <v>100</v>
      </c>
      <c r="Q19" s="82"/>
      <c r="R19" s="82"/>
      <c r="S19" s="82"/>
    </row>
    <row r="20" s="30" customFormat="1" spans="1:19">
      <c r="A20" s="27">
        <v>19</v>
      </c>
      <c r="B20" s="186" t="s">
        <v>13</v>
      </c>
      <c r="C20" s="344" t="s">
        <v>37</v>
      </c>
      <c r="D20" s="345" t="s">
        <v>107</v>
      </c>
      <c r="E20" s="118" t="s">
        <v>89</v>
      </c>
      <c r="F20" s="29" t="s">
        <v>108</v>
      </c>
      <c r="G20" s="29" t="s">
        <v>42</v>
      </c>
      <c r="H20" s="29" t="s">
        <v>109</v>
      </c>
      <c r="I20" s="201">
        <v>40909</v>
      </c>
      <c r="J20" s="29" t="s">
        <v>104</v>
      </c>
      <c r="K20" s="29" t="s">
        <v>93</v>
      </c>
      <c r="L20" s="353" t="s">
        <v>94</v>
      </c>
      <c r="M20" s="82" t="s">
        <v>79</v>
      </c>
      <c r="N20" s="94">
        <v>45762</v>
      </c>
      <c r="O20" s="94">
        <v>45944</v>
      </c>
      <c r="P20" s="148">
        <v>100</v>
      </c>
      <c r="Q20" s="82"/>
      <c r="R20" s="82"/>
      <c r="S20" s="82"/>
    </row>
    <row r="21" s="30" customFormat="1" spans="1:19">
      <c r="A21" s="27">
        <v>20</v>
      </c>
      <c r="B21" s="186" t="s">
        <v>13</v>
      </c>
      <c r="C21" s="344" t="s">
        <v>37</v>
      </c>
      <c r="D21" s="345" t="s">
        <v>107</v>
      </c>
      <c r="E21" s="118" t="s">
        <v>89</v>
      </c>
      <c r="F21" s="29" t="s">
        <v>110</v>
      </c>
      <c r="G21" s="29" t="s">
        <v>42</v>
      </c>
      <c r="H21" s="29" t="s">
        <v>111</v>
      </c>
      <c r="I21" s="201">
        <v>40909</v>
      </c>
      <c r="J21" s="29" t="s">
        <v>104</v>
      </c>
      <c r="K21" s="29" t="s">
        <v>93</v>
      </c>
      <c r="L21" s="353" t="s">
        <v>94</v>
      </c>
      <c r="M21" s="82" t="s">
        <v>79</v>
      </c>
      <c r="N21" s="94">
        <v>45762</v>
      </c>
      <c r="O21" s="94">
        <v>45944</v>
      </c>
      <c r="P21" s="148">
        <v>100</v>
      </c>
      <c r="Q21" s="82"/>
      <c r="R21" s="82"/>
      <c r="S21" s="82"/>
    </row>
    <row r="22" s="30" customFormat="1" spans="1:19">
      <c r="A22" s="27">
        <v>21</v>
      </c>
      <c r="B22" s="186" t="s">
        <v>14</v>
      </c>
      <c r="C22" s="344" t="s">
        <v>37</v>
      </c>
      <c r="D22" s="345" t="s">
        <v>63</v>
      </c>
      <c r="E22" s="118" t="s">
        <v>89</v>
      </c>
      <c r="F22" s="29" t="s">
        <v>112</v>
      </c>
      <c r="G22" s="29" t="s">
        <v>42</v>
      </c>
      <c r="H22" s="29" t="s">
        <v>113</v>
      </c>
      <c r="I22" s="201">
        <v>41122</v>
      </c>
      <c r="J22" s="29" t="s">
        <v>104</v>
      </c>
      <c r="K22" s="29" t="s">
        <v>93</v>
      </c>
      <c r="L22" s="353" t="s">
        <v>94</v>
      </c>
      <c r="M22" s="82" t="s">
        <v>79</v>
      </c>
      <c r="N22" s="94">
        <v>45762</v>
      </c>
      <c r="O22" s="94">
        <v>45944</v>
      </c>
      <c r="P22" s="148">
        <v>100</v>
      </c>
      <c r="Q22" s="82"/>
      <c r="R22" s="82"/>
      <c r="S22" s="82"/>
    </row>
    <row r="23" s="30" customFormat="1" spans="1:19">
      <c r="A23" s="27">
        <v>22</v>
      </c>
      <c r="B23" s="186" t="s">
        <v>14</v>
      </c>
      <c r="C23" s="344" t="s">
        <v>37</v>
      </c>
      <c r="D23" s="345" t="s">
        <v>63</v>
      </c>
      <c r="E23" s="118" t="s">
        <v>89</v>
      </c>
      <c r="F23" s="29" t="s">
        <v>114</v>
      </c>
      <c r="G23" s="29" t="s">
        <v>42</v>
      </c>
      <c r="H23" s="29" t="s">
        <v>115</v>
      </c>
      <c r="I23" s="201">
        <v>41122</v>
      </c>
      <c r="J23" s="29" t="s">
        <v>104</v>
      </c>
      <c r="K23" s="29" t="s">
        <v>93</v>
      </c>
      <c r="L23" s="353" t="s">
        <v>94</v>
      </c>
      <c r="M23" s="82" t="s">
        <v>79</v>
      </c>
      <c r="N23" s="94">
        <v>45762</v>
      </c>
      <c r="O23" s="94">
        <v>45944</v>
      </c>
      <c r="P23" s="148">
        <v>100</v>
      </c>
      <c r="Q23" s="82"/>
      <c r="R23" s="82"/>
      <c r="S23" s="82"/>
    </row>
    <row r="24" s="30" customFormat="1" spans="1:19">
      <c r="A24" s="27">
        <v>23</v>
      </c>
      <c r="B24" s="186" t="s">
        <v>14</v>
      </c>
      <c r="C24" s="344" t="s">
        <v>37</v>
      </c>
      <c r="D24" s="345" t="s">
        <v>67</v>
      </c>
      <c r="E24" s="118" t="s">
        <v>89</v>
      </c>
      <c r="F24" s="29" t="s">
        <v>116</v>
      </c>
      <c r="G24" s="29" t="s">
        <v>42</v>
      </c>
      <c r="H24" s="29" t="s">
        <v>117</v>
      </c>
      <c r="I24" s="201">
        <v>41122</v>
      </c>
      <c r="J24" s="29" t="s">
        <v>104</v>
      </c>
      <c r="K24" s="29" t="s">
        <v>93</v>
      </c>
      <c r="L24" s="353" t="s">
        <v>94</v>
      </c>
      <c r="M24" s="82" t="s">
        <v>79</v>
      </c>
      <c r="N24" s="94">
        <v>45762</v>
      </c>
      <c r="O24" s="94">
        <v>45944</v>
      </c>
      <c r="P24" s="148">
        <v>100</v>
      </c>
      <c r="Q24" s="82"/>
      <c r="R24" s="82"/>
      <c r="S24" s="82"/>
    </row>
    <row r="25" s="30" customFormat="1" spans="1:19">
      <c r="A25" s="27">
        <v>24</v>
      </c>
      <c r="B25" s="186" t="s">
        <v>14</v>
      </c>
      <c r="C25" s="344" t="s">
        <v>37</v>
      </c>
      <c r="D25" s="345" t="s">
        <v>67</v>
      </c>
      <c r="E25" s="118" t="s">
        <v>89</v>
      </c>
      <c r="F25" s="29" t="s">
        <v>118</v>
      </c>
      <c r="G25" s="29" t="s">
        <v>42</v>
      </c>
      <c r="H25" s="29" t="s">
        <v>119</v>
      </c>
      <c r="I25" s="201">
        <v>41122</v>
      </c>
      <c r="J25" s="29" t="s">
        <v>104</v>
      </c>
      <c r="K25" s="29" t="s">
        <v>93</v>
      </c>
      <c r="L25" s="353" t="s">
        <v>94</v>
      </c>
      <c r="M25" s="82" t="s">
        <v>79</v>
      </c>
      <c r="N25" s="94">
        <v>45762</v>
      </c>
      <c r="O25" s="94">
        <v>45944</v>
      </c>
      <c r="P25" s="148">
        <v>100</v>
      </c>
      <c r="Q25" s="82"/>
      <c r="R25" s="82"/>
      <c r="S25" s="82"/>
    </row>
    <row r="26" s="30" customFormat="1" ht="22.5" spans="1:19">
      <c r="A26" s="27">
        <v>25</v>
      </c>
      <c r="B26" s="186" t="s">
        <v>16</v>
      </c>
      <c r="C26" s="344" t="s">
        <v>37</v>
      </c>
      <c r="D26" s="345" t="s">
        <v>83</v>
      </c>
      <c r="E26" s="118" t="s">
        <v>120</v>
      </c>
      <c r="F26" s="29" t="s">
        <v>121</v>
      </c>
      <c r="G26" s="29" t="s">
        <v>122</v>
      </c>
      <c r="H26" s="375" t="s">
        <v>123</v>
      </c>
      <c r="I26" s="94">
        <v>44713</v>
      </c>
      <c r="J26" s="29" t="s">
        <v>42</v>
      </c>
      <c r="K26" s="29" t="s">
        <v>42</v>
      </c>
      <c r="L26" s="119" t="s">
        <v>43</v>
      </c>
      <c r="M26" s="82" t="s">
        <v>79</v>
      </c>
      <c r="N26" s="94">
        <v>45590</v>
      </c>
      <c r="O26" s="94">
        <v>45954</v>
      </c>
      <c r="P26" s="148">
        <v>300</v>
      </c>
      <c r="Q26" s="82"/>
      <c r="R26" s="82"/>
      <c r="S26" s="82"/>
    </row>
    <row r="27" s="30" customFormat="1" ht="22.5" spans="1:19">
      <c r="A27" s="27">
        <v>26</v>
      </c>
      <c r="B27" s="186" t="s">
        <v>16</v>
      </c>
      <c r="C27" s="344" t="s">
        <v>37</v>
      </c>
      <c r="D27" s="345" t="s">
        <v>83</v>
      </c>
      <c r="E27" s="118" t="s">
        <v>124</v>
      </c>
      <c r="F27" s="29" t="s">
        <v>125</v>
      </c>
      <c r="G27" s="29" t="s">
        <v>122</v>
      </c>
      <c r="H27" s="29" t="s">
        <v>126</v>
      </c>
      <c r="I27" s="94">
        <v>40909</v>
      </c>
      <c r="J27" s="29" t="s">
        <v>42</v>
      </c>
      <c r="K27" s="29" t="s">
        <v>42</v>
      </c>
      <c r="L27" s="119" t="s">
        <v>43</v>
      </c>
      <c r="M27" s="82" t="s">
        <v>79</v>
      </c>
      <c r="N27" s="94">
        <v>45590</v>
      </c>
      <c r="O27" s="94">
        <v>45954</v>
      </c>
      <c r="P27" s="148">
        <v>300</v>
      </c>
      <c r="Q27" s="82"/>
      <c r="R27" s="82"/>
      <c r="S27" s="82"/>
    </row>
    <row r="28" s="30" customFormat="1" ht="22.5" spans="1:19">
      <c r="A28" s="27">
        <v>27</v>
      </c>
      <c r="B28" s="186" t="s">
        <v>16</v>
      </c>
      <c r="C28" s="344" t="s">
        <v>37</v>
      </c>
      <c r="D28" s="345" t="s">
        <v>83</v>
      </c>
      <c r="E28" s="118" t="s">
        <v>127</v>
      </c>
      <c r="F28" s="29" t="s">
        <v>128</v>
      </c>
      <c r="G28" s="29" t="s">
        <v>122</v>
      </c>
      <c r="H28" s="29" t="s">
        <v>129</v>
      </c>
      <c r="I28" s="94">
        <v>40909</v>
      </c>
      <c r="J28" s="29" t="s">
        <v>42</v>
      </c>
      <c r="K28" s="29" t="s">
        <v>42</v>
      </c>
      <c r="L28" s="119" t="s">
        <v>43</v>
      </c>
      <c r="M28" s="82" t="s">
        <v>79</v>
      </c>
      <c r="N28" s="94">
        <v>45590</v>
      </c>
      <c r="O28" s="94">
        <v>45954</v>
      </c>
      <c r="P28" s="148">
        <v>300</v>
      </c>
      <c r="Q28" s="82"/>
      <c r="R28" s="82"/>
      <c r="S28" s="82"/>
    </row>
    <row r="29" s="30" customFormat="1" ht="22.5" spans="1:19">
      <c r="A29" s="27">
        <v>28</v>
      </c>
      <c r="B29" s="186" t="s">
        <v>16</v>
      </c>
      <c r="C29" s="344" t="s">
        <v>37</v>
      </c>
      <c r="D29" s="345" t="s">
        <v>86</v>
      </c>
      <c r="E29" s="118" t="s">
        <v>130</v>
      </c>
      <c r="F29" s="29" t="s">
        <v>131</v>
      </c>
      <c r="G29" s="29" t="s">
        <v>122</v>
      </c>
      <c r="H29" s="375" t="s">
        <v>132</v>
      </c>
      <c r="I29" s="94">
        <v>44713</v>
      </c>
      <c r="J29" s="29" t="s">
        <v>42</v>
      </c>
      <c r="K29" s="29" t="s">
        <v>42</v>
      </c>
      <c r="L29" s="119" t="s">
        <v>43</v>
      </c>
      <c r="M29" s="82" t="s">
        <v>79</v>
      </c>
      <c r="N29" s="94">
        <v>45590</v>
      </c>
      <c r="O29" s="94">
        <v>45954</v>
      </c>
      <c r="P29" s="148">
        <v>300</v>
      </c>
      <c r="Q29" s="82"/>
      <c r="R29" s="82"/>
      <c r="S29" s="82"/>
    </row>
    <row r="30" s="30" customFormat="1" ht="22.5" spans="1:19">
      <c r="A30" s="27">
        <v>29</v>
      </c>
      <c r="B30" s="186" t="s">
        <v>16</v>
      </c>
      <c r="C30" s="344" t="s">
        <v>37</v>
      </c>
      <c r="D30" s="345" t="s">
        <v>86</v>
      </c>
      <c r="E30" s="118" t="s">
        <v>133</v>
      </c>
      <c r="F30" s="29" t="s">
        <v>134</v>
      </c>
      <c r="G30" s="29" t="s">
        <v>122</v>
      </c>
      <c r="H30" s="29" t="s">
        <v>135</v>
      </c>
      <c r="I30" s="94">
        <v>43770</v>
      </c>
      <c r="J30" s="29" t="s">
        <v>42</v>
      </c>
      <c r="K30" s="29" t="s">
        <v>42</v>
      </c>
      <c r="L30" s="119" t="s">
        <v>43</v>
      </c>
      <c r="M30" s="82" t="s">
        <v>79</v>
      </c>
      <c r="N30" s="94">
        <v>45590</v>
      </c>
      <c r="O30" s="94">
        <v>45954</v>
      </c>
      <c r="P30" s="148">
        <v>300</v>
      </c>
      <c r="Q30" s="82"/>
      <c r="R30" s="82"/>
      <c r="S30" s="82"/>
    </row>
    <row r="31" s="30" customFormat="1" ht="22.5" spans="1:19">
      <c r="A31" s="27">
        <v>30</v>
      </c>
      <c r="B31" s="186" t="s">
        <v>16</v>
      </c>
      <c r="C31" s="344" t="s">
        <v>37</v>
      </c>
      <c r="D31" s="345" t="s">
        <v>86</v>
      </c>
      <c r="E31" s="118" t="s">
        <v>136</v>
      </c>
      <c r="F31" s="29" t="s">
        <v>137</v>
      </c>
      <c r="G31" s="29" t="s">
        <v>122</v>
      </c>
      <c r="H31" s="29" t="s">
        <v>138</v>
      </c>
      <c r="I31" s="94">
        <v>41122</v>
      </c>
      <c r="J31" s="29" t="s">
        <v>42</v>
      </c>
      <c r="K31" s="29" t="s">
        <v>42</v>
      </c>
      <c r="L31" s="119" t="s">
        <v>43</v>
      </c>
      <c r="M31" s="82" t="s">
        <v>79</v>
      </c>
      <c r="N31" s="94">
        <v>45590</v>
      </c>
      <c r="O31" s="94">
        <v>45954</v>
      </c>
      <c r="P31" s="148">
        <v>300</v>
      </c>
      <c r="Q31" s="82"/>
      <c r="R31" s="82"/>
      <c r="S31" s="82"/>
    </row>
    <row r="32" s="30" customFormat="1" spans="1:19">
      <c r="A32" s="27">
        <v>31</v>
      </c>
      <c r="B32" s="186" t="s">
        <v>15</v>
      </c>
      <c r="C32" s="344" t="s">
        <v>54</v>
      </c>
      <c r="D32" s="346" t="s">
        <v>55</v>
      </c>
      <c r="E32" s="118" t="s">
        <v>139</v>
      </c>
      <c r="F32" s="31" t="s">
        <v>140</v>
      </c>
      <c r="G32" s="119" t="s">
        <v>141</v>
      </c>
      <c r="H32" s="31" t="s">
        <v>140</v>
      </c>
      <c r="I32" s="119" t="s">
        <v>49</v>
      </c>
      <c r="J32" s="119" t="s">
        <v>142</v>
      </c>
      <c r="K32" s="119" t="s">
        <v>143</v>
      </c>
      <c r="L32" s="353" t="s">
        <v>94</v>
      </c>
      <c r="M32" s="29" t="s">
        <v>44</v>
      </c>
      <c r="N32" s="94">
        <v>45774</v>
      </c>
      <c r="O32" s="94">
        <v>45956</v>
      </c>
      <c r="P32" s="148">
        <v>100</v>
      </c>
      <c r="Q32" s="29"/>
      <c r="R32" s="85" t="s">
        <v>144</v>
      </c>
      <c r="S32" s="198" t="s">
        <v>145</v>
      </c>
    </row>
    <row r="33" s="30" customFormat="1" spans="1:19">
      <c r="A33" s="27">
        <v>32</v>
      </c>
      <c r="B33" s="186" t="s">
        <v>15</v>
      </c>
      <c r="C33" s="344" t="s">
        <v>54</v>
      </c>
      <c r="D33" s="346" t="s">
        <v>55</v>
      </c>
      <c r="E33" s="118" t="s">
        <v>139</v>
      </c>
      <c r="F33" s="31" t="s">
        <v>146</v>
      </c>
      <c r="G33" s="119" t="s">
        <v>141</v>
      </c>
      <c r="H33" s="31" t="s">
        <v>146</v>
      </c>
      <c r="I33" s="119" t="s">
        <v>49</v>
      </c>
      <c r="J33" s="119" t="s">
        <v>142</v>
      </c>
      <c r="K33" s="119" t="s">
        <v>147</v>
      </c>
      <c r="L33" s="353" t="s">
        <v>94</v>
      </c>
      <c r="M33" s="29" t="s">
        <v>44</v>
      </c>
      <c r="N33" s="94">
        <v>45774</v>
      </c>
      <c r="O33" s="94">
        <v>45956</v>
      </c>
      <c r="P33" s="148">
        <v>100</v>
      </c>
      <c r="Q33" s="29"/>
      <c r="R33" s="85" t="s">
        <v>144</v>
      </c>
      <c r="S33" s="198" t="s">
        <v>145</v>
      </c>
    </row>
    <row r="34" s="30" customFormat="1" ht="22" customHeight="1" spans="1:19">
      <c r="A34" s="27">
        <v>33</v>
      </c>
      <c r="B34" s="186" t="s">
        <v>15</v>
      </c>
      <c r="C34" s="344" t="s">
        <v>54</v>
      </c>
      <c r="D34" s="346" t="s">
        <v>55</v>
      </c>
      <c r="E34" s="118" t="s">
        <v>139</v>
      </c>
      <c r="F34" s="31" t="s">
        <v>148</v>
      </c>
      <c r="G34" s="119" t="s">
        <v>141</v>
      </c>
      <c r="H34" s="31" t="s">
        <v>148</v>
      </c>
      <c r="I34" s="119" t="s">
        <v>49</v>
      </c>
      <c r="J34" s="119" t="s">
        <v>149</v>
      </c>
      <c r="K34" s="119" t="s">
        <v>147</v>
      </c>
      <c r="L34" s="353" t="s">
        <v>94</v>
      </c>
      <c r="M34" s="29" t="s">
        <v>44</v>
      </c>
      <c r="N34" s="94">
        <v>45774</v>
      </c>
      <c r="O34" s="94">
        <v>45956</v>
      </c>
      <c r="P34" s="148">
        <v>100</v>
      </c>
      <c r="Q34" s="29"/>
      <c r="R34" s="85" t="s">
        <v>144</v>
      </c>
      <c r="S34" s="198" t="s">
        <v>150</v>
      </c>
    </row>
    <row r="35" s="30" customFormat="1" spans="1:19">
      <c r="A35" s="27">
        <v>34</v>
      </c>
      <c r="B35" s="186" t="s">
        <v>15</v>
      </c>
      <c r="C35" s="344" t="s">
        <v>54</v>
      </c>
      <c r="D35" s="346" t="s">
        <v>55</v>
      </c>
      <c r="E35" s="118" t="s">
        <v>139</v>
      </c>
      <c r="F35" s="31" t="s">
        <v>151</v>
      </c>
      <c r="G35" s="119" t="s">
        <v>141</v>
      </c>
      <c r="H35" s="31" t="s">
        <v>151</v>
      </c>
      <c r="I35" s="119" t="s">
        <v>49</v>
      </c>
      <c r="J35" s="119" t="s">
        <v>149</v>
      </c>
      <c r="K35" s="119" t="s">
        <v>147</v>
      </c>
      <c r="L35" s="353" t="s">
        <v>94</v>
      </c>
      <c r="M35" s="29" t="s">
        <v>44</v>
      </c>
      <c r="N35" s="94">
        <v>45774</v>
      </c>
      <c r="O35" s="94">
        <v>45956</v>
      </c>
      <c r="P35" s="148">
        <v>100</v>
      </c>
      <c r="Q35" s="29"/>
      <c r="R35" s="82" t="s">
        <v>152</v>
      </c>
      <c r="S35" s="198" t="s">
        <v>145</v>
      </c>
    </row>
    <row r="36" s="30" customFormat="1" spans="1:19">
      <c r="A36" s="27">
        <v>35</v>
      </c>
      <c r="B36" s="186" t="s">
        <v>15</v>
      </c>
      <c r="C36" s="344" t="s">
        <v>54</v>
      </c>
      <c r="D36" s="346" t="s">
        <v>60</v>
      </c>
      <c r="E36" s="118" t="s">
        <v>139</v>
      </c>
      <c r="F36" s="31" t="s">
        <v>153</v>
      </c>
      <c r="G36" s="119" t="s">
        <v>141</v>
      </c>
      <c r="H36" s="31" t="s">
        <v>153</v>
      </c>
      <c r="I36" s="119" t="s">
        <v>49</v>
      </c>
      <c r="J36" s="119" t="s">
        <v>142</v>
      </c>
      <c r="K36" s="119" t="s">
        <v>143</v>
      </c>
      <c r="L36" s="353" t="s">
        <v>94</v>
      </c>
      <c r="M36" s="29" t="s">
        <v>44</v>
      </c>
      <c r="N36" s="94">
        <v>45774</v>
      </c>
      <c r="O36" s="94">
        <v>45956</v>
      </c>
      <c r="P36" s="148">
        <v>100</v>
      </c>
      <c r="Q36" s="29"/>
      <c r="R36" s="85" t="s">
        <v>144</v>
      </c>
      <c r="S36" s="198" t="s">
        <v>145</v>
      </c>
    </row>
    <row r="37" s="30" customFormat="1" ht="17" customHeight="1" spans="1:19">
      <c r="A37" s="27">
        <v>36</v>
      </c>
      <c r="B37" s="186" t="s">
        <v>15</v>
      </c>
      <c r="C37" s="344" t="s">
        <v>54</v>
      </c>
      <c r="D37" s="346" t="s">
        <v>60</v>
      </c>
      <c r="E37" s="118" t="s">
        <v>139</v>
      </c>
      <c r="F37" s="31" t="s">
        <v>154</v>
      </c>
      <c r="G37" s="119" t="s">
        <v>141</v>
      </c>
      <c r="H37" s="31" t="s">
        <v>154</v>
      </c>
      <c r="I37" s="119" t="s">
        <v>49</v>
      </c>
      <c r="J37" s="119" t="s">
        <v>149</v>
      </c>
      <c r="K37" s="119" t="s">
        <v>143</v>
      </c>
      <c r="L37" s="353" t="s">
        <v>94</v>
      </c>
      <c r="M37" s="29" t="s">
        <v>44</v>
      </c>
      <c r="N37" s="94">
        <v>45774</v>
      </c>
      <c r="O37" s="94">
        <v>45956</v>
      </c>
      <c r="P37" s="148">
        <v>100</v>
      </c>
      <c r="Q37" s="82"/>
      <c r="R37" s="82" t="s">
        <v>152</v>
      </c>
      <c r="S37" s="198" t="s">
        <v>145</v>
      </c>
    </row>
    <row r="38" s="30" customFormat="1" spans="1:19">
      <c r="A38" s="27">
        <v>37</v>
      </c>
      <c r="B38" s="186" t="s">
        <v>15</v>
      </c>
      <c r="C38" s="344" t="s">
        <v>54</v>
      </c>
      <c r="D38" s="346" t="s">
        <v>60</v>
      </c>
      <c r="E38" s="118" t="s">
        <v>139</v>
      </c>
      <c r="F38" s="31" t="s">
        <v>155</v>
      </c>
      <c r="G38" s="119" t="s">
        <v>141</v>
      </c>
      <c r="H38" s="31" t="s">
        <v>155</v>
      </c>
      <c r="I38" s="119" t="s">
        <v>49</v>
      </c>
      <c r="J38" s="119" t="s">
        <v>149</v>
      </c>
      <c r="K38" s="119" t="s">
        <v>143</v>
      </c>
      <c r="L38" s="353" t="s">
        <v>94</v>
      </c>
      <c r="M38" s="29" t="s">
        <v>44</v>
      </c>
      <c r="N38" s="94">
        <v>45774</v>
      </c>
      <c r="O38" s="94">
        <v>45956</v>
      </c>
      <c r="P38" s="148">
        <v>100</v>
      </c>
      <c r="Q38" s="82"/>
      <c r="R38" s="85" t="s">
        <v>156</v>
      </c>
      <c r="S38" s="198" t="s">
        <v>145</v>
      </c>
    </row>
    <row r="39" s="30" customFormat="1" spans="1:19">
      <c r="A39" s="27">
        <v>38</v>
      </c>
      <c r="B39" s="186" t="s">
        <v>15</v>
      </c>
      <c r="C39" s="344" t="s">
        <v>54</v>
      </c>
      <c r="D39" s="346" t="s">
        <v>60</v>
      </c>
      <c r="E39" s="118" t="s">
        <v>139</v>
      </c>
      <c r="F39" s="31" t="s">
        <v>157</v>
      </c>
      <c r="G39" s="119" t="s">
        <v>141</v>
      </c>
      <c r="H39" s="31" t="s">
        <v>157</v>
      </c>
      <c r="I39" s="119" t="s">
        <v>49</v>
      </c>
      <c r="J39" s="119" t="s">
        <v>158</v>
      </c>
      <c r="K39" s="119" t="s">
        <v>159</v>
      </c>
      <c r="L39" s="353" t="s">
        <v>94</v>
      </c>
      <c r="M39" s="29" t="s">
        <v>44</v>
      </c>
      <c r="N39" s="94">
        <v>45774</v>
      </c>
      <c r="O39" s="94">
        <v>45956</v>
      </c>
      <c r="P39" s="148">
        <v>100</v>
      </c>
      <c r="Q39" s="82"/>
      <c r="R39" s="82" t="s">
        <v>160</v>
      </c>
      <c r="S39" s="198" t="s">
        <v>145</v>
      </c>
    </row>
    <row r="40" s="30" customFormat="1" ht="22.5" spans="1:19">
      <c r="A40" s="27">
        <v>39</v>
      </c>
      <c r="B40" s="186" t="s">
        <v>15</v>
      </c>
      <c r="C40" s="344" t="s">
        <v>54</v>
      </c>
      <c r="D40" s="345" t="s">
        <v>161</v>
      </c>
      <c r="E40" s="118" t="s">
        <v>139</v>
      </c>
      <c r="F40" s="121" t="s">
        <v>162</v>
      </c>
      <c r="G40" s="119" t="s">
        <v>163</v>
      </c>
      <c r="H40" s="121" t="s">
        <v>162</v>
      </c>
      <c r="I40" s="119" t="s">
        <v>164</v>
      </c>
      <c r="J40" s="119" t="s">
        <v>165</v>
      </c>
      <c r="K40" s="119" t="s">
        <v>166</v>
      </c>
      <c r="L40" s="353" t="s">
        <v>94</v>
      </c>
      <c r="M40" s="29" t="s">
        <v>44</v>
      </c>
      <c r="N40" s="94">
        <v>45774</v>
      </c>
      <c r="O40" s="94">
        <v>45956</v>
      </c>
      <c r="P40" s="148">
        <v>100</v>
      </c>
      <c r="Q40" s="82"/>
      <c r="R40" s="82"/>
      <c r="S40" s="198" t="s">
        <v>167</v>
      </c>
    </row>
    <row r="41" s="30" customFormat="1" ht="22.5" spans="1:19">
      <c r="A41" s="27">
        <v>40</v>
      </c>
      <c r="B41" s="186" t="s">
        <v>15</v>
      </c>
      <c r="C41" s="344" t="s">
        <v>54</v>
      </c>
      <c r="D41" s="345" t="s">
        <v>161</v>
      </c>
      <c r="E41" s="118" t="s">
        <v>139</v>
      </c>
      <c r="F41" s="121" t="s">
        <v>168</v>
      </c>
      <c r="G41" s="119" t="s">
        <v>141</v>
      </c>
      <c r="H41" s="121" t="s">
        <v>168</v>
      </c>
      <c r="I41" s="119" t="s">
        <v>164</v>
      </c>
      <c r="J41" s="119" t="s">
        <v>169</v>
      </c>
      <c r="K41" s="119" t="s">
        <v>170</v>
      </c>
      <c r="L41" s="353" t="s">
        <v>94</v>
      </c>
      <c r="M41" s="29" t="s">
        <v>44</v>
      </c>
      <c r="N41" s="94">
        <v>45774</v>
      </c>
      <c r="O41" s="94">
        <v>45956</v>
      </c>
      <c r="P41" s="148">
        <v>100</v>
      </c>
      <c r="Q41" s="82"/>
      <c r="R41" s="82"/>
      <c r="S41" s="198" t="s">
        <v>167</v>
      </c>
    </row>
    <row r="42" s="30" customFormat="1" spans="1:19">
      <c r="A42" s="27">
        <v>41</v>
      </c>
      <c r="B42" s="186" t="s">
        <v>15</v>
      </c>
      <c r="C42" s="344" t="s">
        <v>54</v>
      </c>
      <c r="D42" s="346" t="s">
        <v>171</v>
      </c>
      <c r="E42" s="118" t="s">
        <v>139</v>
      </c>
      <c r="F42" s="31" t="s">
        <v>172</v>
      </c>
      <c r="G42" s="31" t="s">
        <v>173</v>
      </c>
      <c r="H42" s="31" t="s">
        <v>172</v>
      </c>
      <c r="I42" s="119" t="s">
        <v>49</v>
      </c>
      <c r="J42" s="31" t="s">
        <v>165</v>
      </c>
      <c r="K42" s="51" t="s">
        <v>166</v>
      </c>
      <c r="L42" s="353" t="s">
        <v>94</v>
      </c>
      <c r="M42" s="29" t="s">
        <v>44</v>
      </c>
      <c r="N42" s="94">
        <v>45774</v>
      </c>
      <c r="O42" s="94">
        <v>45956</v>
      </c>
      <c r="P42" s="148">
        <v>100</v>
      </c>
      <c r="Q42" s="82"/>
      <c r="R42" s="29" t="s">
        <v>174</v>
      </c>
      <c r="S42" s="198" t="s">
        <v>175</v>
      </c>
    </row>
    <row r="43" s="30" customFormat="1" spans="1:19">
      <c r="A43" s="27">
        <v>42</v>
      </c>
      <c r="B43" s="186" t="s">
        <v>15</v>
      </c>
      <c r="C43" s="344" t="s">
        <v>54</v>
      </c>
      <c r="D43" s="346" t="s">
        <v>171</v>
      </c>
      <c r="E43" s="118" t="s">
        <v>139</v>
      </c>
      <c r="F43" s="31" t="s">
        <v>176</v>
      </c>
      <c r="G43" s="31" t="s">
        <v>173</v>
      </c>
      <c r="H43" s="31" t="s">
        <v>176</v>
      </c>
      <c r="I43" s="119" t="s">
        <v>49</v>
      </c>
      <c r="J43" s="31" t="s">
        <v>165</v>
      </c>
      <c r="K43" s="51" t="s">
        <v>166</v>
      </c>
      <c r="L43" s="353" t="s">
        <v>94</v>
      </c>
      <c r="M43" s="29" t="s">
        <v>44</v>
      </c>
      <c r="N43" s="94">
        <v>45774</v>
      </c>
      <c r="O43" s="94">
        <v>45956</v>
      </c>
      <c r="P43" s="148">
        <v>100</v>
      </c>
      <c r="Q43" s="82"/>
      <c r="R43" s="29" t="s">
        <v>174</v>
      </c>
      <c r="S43" s="198" t="s">
        <v>175</v>
      </c>
    </row>
    <row r="44" s="30" customFormat="1" spans="1:19">
      <c r="A44" s="27">
        <v>43</v>
      </c>
      <c r="B44" s="186" t="s">
        <v>15</v>
      </c>
      <c r="C44" s="344" t="s">
        <v>54</v>
      </c>
      <c r="D44" s="346" t="s">
        <v>171</v>
      </c>
      <c r="E44" s="118" t="s">
        <v>139</v>
      </c>
      <c r="F44" s="31" t="s">
        <v>177</v>
      </c>
      <c r="G44" s="31" t="s">
        <v>173</v>
      </c>
      <c r="H44" s="31" t="s">
        <v>177</v>
      </c>
      <c r="I44" s="119" t="s">
        <v>49</v>
      </c>
      <c r="J44" s="31" t="s">
        <v>165</v>
      </c>
      <c r="K44" s="51" t="s">
        <v>166</v>
      </c>
      <c r="L44" s="353" t="s">
        <v>94</v>
      </c>
      <c r="M44" s="29" t="s">
        <v>44</v>
      </c>
      <c r="N44" s="94">
        <v>45774</v>
      </c>
      <c r="O44" s="94">
        <v>45956</v>
      </c>
      <c r="P44" s="148">
        <v>100</v>
      </c>
      <c r="Q44" s="82"/>
      <c r="R44" s="29" t="s">
        <v>174</v>
      </c>
      <c r="S44" s="198" t="s">
        <v>175</v>
      </c>
    </row>
    <row r="45" s="30" customFormat="1" spans="1:19">
      <c r="A45" s="27">
        <v>44</v>
      </c>
      <c r="B45" s="186" t="s">
        <v>15</v>
      </c>
      <c r="C45" s="344" t="s">
        <v>54</v>
      </c>
      <c r="D45" s="347" t="s">
        <v>171</v>
      </c>
      <c r="E45" s="118" t="s">
        <v>139</v>
      </c>
      <c r="F45" s="31" t="s">
        <v>178</v>
      </c>
      <c r="G45" s="31" t="s">
        <v>141</v>
      </c>
      <c r="H45" s="31" t="s">
        <v>178</v>
      </c>
      <c r="I45" s="119" t="s">
        <v>49</v>
      </c>
      <c r="J45" s="31" t="s">
        <v>179</v>
      </c>
      <c r="K45" s="51" t="s">
        <v>166</v>
      </c>
      <c r="L45" s="353" t="s">
        <v>94</v>
      </c>
      <c r="M45" s="29" t="s">
        <v>44</v>
      </c>
      <c r="N45" s="94">
        <v>45774</v>
      </c>
      <c r="O45" s="94">
        <v>45956</v>
      </c>
      <c r="P45" s="148">
        <v>100</v>
      </c>
      <c r="Q45" s="82"/>
      <c r="R45" s="29" t="s">
        <v>174</v>
      </c>
      <c r="S45" s="198" t="s">
        <v>175</v>
      </c>
    </row>
    <row r="46" s="30" customFormat="1" spans="1:19">
      <c r="A46" s="27">
        <v>45</v>
      </c>
      <c r="B46" s="186" t="s">
        <v>15</v>
      </c>
      <c r="C46" s="344" t="s">
        <v>54</v>
      </c>
      <c r="D46" s="173" t="s">
        <v>171</v>
      </c>
      <c r="E46" s="118" t="s">
        <v>139</v>
      </c>
      <c r="F46" s="31" t="s">
        <v>180</v>
      </c>
      <c r="G46" s="31" t="s">
        <v>173</v>
      </c>
      <c r="H46" s="31" t="s">
        <v>180</v>
      </c>
      <c r="I46" s="119" t="s">
        <v>49</v>
      </c>
      <c r="J46" s="31" t="s">
        <v>179</v>
      </c>
      <c r="K46" s="51" t="s">
        <v>166</v>
      </c>
      <c r="L46" s="353" t="s">
        <v>94</v>
      </c>
      <c r="M46" s="29" t="s">
        <v>44</v>
      </c>
      <c r="N46" s="94">
        <v>45774</v>
      </c>
      <c r="O46" s="94">
        <v>45956</v>
      </c>
      <c r="P46" s="148">
        <v>100</v>
      </c>
      <c r="Q46" s="82"/>
      <c r="R46" s="29" t="s">
        <v>17</v>
      </c>
      <c r="S46" s="198" t="s">
        <v>181</v>
      </c>
    </row>
    <row r="47" s="30" customFormat="1" spans="1:19">
      <c r="A47" s="27">
        <v>46</v>
      </c>
      <c r="B47" s="186" t="s">
        <v>15</v>
      </c>
      <c r="C47" s="344" t="s">
        <v>54</v>
      </c>
      <c r="D47" s="173" t="s">
        <v>171</v>
      </c>
      <c r="E47" s="118" t="s">
        <v>139</v>
      </c>
      <c r="F47" s="31" t="s">
        <v>182</v>
      </c>
      <c r="G47" s="31" t="s">
        <v>173</v>
      </c>
      <c r="H47" s="31" t="s">
        <v>182</v>
      </c>
      <c r="I47" s="119" t="s">
        <v>49</v>
      </c>
      <c r="J47" s="31" t="s">
        <v>165</v>
      </c>
      <c r="K47" s="51" t="s">
        <v>166</v>
      </c>
      <c r="L47" s="353" t="s">
        <v>94</v>
      </c>
      <c r="M47" s="29" t="s">
        <v>44</v>
      </c>
      <c r="N47" s="94">
        <v>45774</v>
      </c>
      <c r="O47" s="94">
        <v>45956</v>
      </c>
      <c r="P47" s="148">
        <v>100</v>
      </c>
      <c r="Q47" s="82"/>
      <c r="R47" s="29" t="s">
        <v>183</v>
      </c>
      <c r="S47" s="198" t="s">
        <v>184</v>
      </c>
    </row>
    <row r="48" s="30" customFormat="1" spans="1:19">
      <c r="A48" s="27">
        <v>47</v>
      </c>
      <c r="B48" s="186" t="s">
        <v>15</v>
      </c>
      <c r="C48" s="344" t="s">
        <v>54</v>
      </c>
      <c r="D48" s="173" t="s">
        <v>185</v>
      </c>
      <c r="E48" s="118" t="s">
        <v>139</v>
      </c>
      <c r="F48" s="31" t="s">
        <v>186</v>
      </c>
      <c r="G48" s="31" t="s">
        <v>141</v>
      </c>
      <c r="H48" s="31" t="s">
        <v>186</v>
      </c>
      <c r="I48" s="119" t="s">
        <v>187</v>
      </c>
      <c r="J48" s="119" t="s">
        <v>188</v>
      </c>
      <c r="K48" s="119" t="s">
        <v>147</v>
      </c>
      <c r="L48" s="353" t="s">
        <v>94</v>
      </c>
      <c r="M48" s="29" t="s">
        <v>44</v>
      </c>
      <c r="N48" s="94">
        <v>45774</v>
      </c>
      <c r="O48" s="94">
        <v>45956</v>
      </c>
      <c r="P48" s="148">
        <v>100</v>
      </c>
      <c r="Q48" s="82"/>
      <c r="R48" s="82" t="s">
        <v>185</v>
      </c>
      <c r="S48" s="198" t="s">
        <v>145</v>
      </c>
    </row>
    <row r="49" s="30" customFormat="1" spans="1:19">
      <c r="A49" s="27">
        <v>48</v>
      </c>
      <c r="B49" s="186" t="s">
        <v>15</v>
      </c>
      <c r="C49" s="344" t="s">
        <v>54</v>
      </c>
      <c r="D49" s="173" t="s">
        <v>185</v>
      </c>
      <c r="E49" s="118" t="s">
        <v>139</v>
      </c>
      <c r="F49" s="31" t="s">
        <v>189</v>
      </c>
      <c r="G49" s="119" t="s">
        <v>141</v>
      </c>
      <c r="H49" s="31" t="s">
        <v>189</v>
      </c>
      <c r="I49" s="119" t="s">
        <v>49</v>
      </c>
      <c r="J49" s="119" t="s">
        <v>149</v>
      </c>
      <c r="K49" s="119" t="s">
        <v>143</v>
      </c>
      <c r="L49" s="353" t="s">
        <v>94</v>
      </c>
      <c r="M49" s="29" t="s">
        <v>44</v>
      </c>
      <c r="N49" s="94">
        <v>45774</v>
      </c>
      <c r="O49" s="94">
        <v>45956</v>
      </c>
      <c r="P49" s="148">
        <v>100</v>
      </c>
      <c r="Q49" s="82"/>
      <c r="R49" s="82" t="s">
        <v>185</v>
      </c>
      <c r="S49" s="198" t="s">
        <v>145</v>
      </c>
    </row>
    <row r="50" s="30" customFormat="1" spans="1:19">
      <c r="A50" s="27">
        <v>49</v>
      </c>
      <c r="B50" s="186" t="s">
        <v>15</v>
      </c>
      <c r="C50" s="344" t="s">
        <v>54</v>
      </c>
      <c r="D50" s="173" t="s">
        <v>185</v>
      </c>
      <c r="E50" s="118" t="s">
        <v>139</v>
      </c>
      <c r="F50" s="31" t="s">
        <v>190</v>
      </c>
      <c r="G50" s="119" t="s">
        <v>141</v>
      </c>
      <c r="H50" s="31" t="s">
        <v>190</v>
      </c>
      <c r="I50" s="119" t="s">
        <v>49</v>
      </c>
      <c r="J50" s="119" t="s">
        <v>149</v>
      </c>
      <c r="K50" s="119" t="s">
        <v>143</v>
      </c>
      <c r="L50" s="353" t="s">
        <v>94</v>
      </c>
      <c r="M50" s="29" t="s">
        <v>44</v>
      </c>
      <c r="N50" s="94">
        <v>45774</v>
      </c>
      <c r="O50" s="94">
        <v>45956</v>
      </c>
      <c r="P50" s="148">
        <v>100</v>
      </c>
      <c r="Q50" s="82"/>
      <c r="R50" s="82" t="s">
        <v>185</v>
      </c>
      <c r="S50" s="198" t="s">
        <v>145</v>
      </c>
    </row>
    <row r="51" s="30" customFormat="1" spans="1:19">
      <c r="A51" s="27">
        <v>50</v>
      </c>
      <c r="B51" s="186" t="s">
        <v>15</v>
      </c>
      <c r="C51" s="344" t="s">
        <v>54</v>
      </c>
      <c r="D51" s="133" t="s">
        <v>185</v>
      </c>
      <c r="E51" s="118" t="s">
        <v>139</v>
      </c>
      <c r="F51" s="31" t="s">
        <v>191</v>
      </c>
      <c r="G51" s="119" t="s">
        <v>141</v>
      </c>
      <c r="H51" s="31" t="s">
        <v>191</v>
      </c>
      <c r="I51" s="119" t="s">
        <v>49</v>
      </c>
      <c r="J51" s="119" t="s">
        <v>149</v>
      </c>
      <c r="K51" s="119" t="s">
        <v>143</v>
      </c>
      <c r="L51" s="353" t="s">
        <v>94</v>
      </c>
      <c r="M51" s="29" t="s">
        <v>44</v>
      </c>
      <c r="N51" s="94">
        <v>45774</v>
      </c>
      <c r="O51" s="94">
        <v>45956</v>
      </c>
      <c r="P51" s="148">
        <v>100</v>
      </c>
      <c r="Q51" s="82"/>
      <c r="R51" s="82" t="s">
        <v>185</v>
      </c>
      <c r="S51" s="198" t="s">
        <v>145</v>
      </c>
    </row>
    <row r="52" s="30" customFormat="1" spans="1:19">
      <c r="A52" s="27">
        <v>51</v>
      </c>
      <c r="B52" s="186" t="s">
        <v>13</v>
      </c>
      <c r="C52" s="344" t="s">
        <v>54</v>
      </c>
      <c r="D52" s="346" t="s">
        <v>101</v>
      </c>
      <c r="E52" s="118" t="s">
        <v>139</v>
      </c>
      <c r="F52" s="31" t="s">
        <v>192</v>
      </c>
      <c r="G52" s="119" t="s">
        <v>141</v>
      </c>
      <c r="H52" s="31" t="s">
        <v>192</v>
      </c>
      <c r="I52" s="119" t="s">
        <v>193</v>
      </c>
      <c r="J52" s="119" t="s">
        <v>142</v>
      </c>
      <c r="K52" s="119" t="s">
        <v>147</v>
      </c>
      <c r="L52" s="353" t="s">
        <v>94</v>
      </c>
      <c r="M52" s="29" t="s">
        <v>44</v>
      </c>
      <c r="N52" s="94">
        <v>45774</v>
      </c>
      <c r="O52" s="94">
        <v>45956</v>
      </c>
      <c r="P52" s="148">
        <v>100</v>
      </c>
      <c r="Q52" s="82"/>
      <c r="R52" s="82" t="s">
        <v>194</v>
      </c>
      <c r="S52" s="198" t="s">
        <v>145</v>
      </c>
    </row>
    <row r="53" s="30" customFormat="1" spans="1:19">
      <c r="A53" s="27">
        <v>52</v>
      </c>
      <c r="B53" s="186" t="s">
        <v>13</v>
      </c>
      <c r="C53" s="344" t="s">
        <v>54</v>
      </c>
      <c r="D53" s="133" t="s">
        <v>101</v>
      </c>
      <c r="E53" s="118" t="s">
        <v>139</v>
      </c>
      <c r="F53" s="31" t="s">
        <v>195</v>
      </c>
      <c r="G53" s="31" t="s">
        <v>141</v>
      </c>
      <c r="H53" s="31" t="s">
        <v>195</v>
      </c>
      <c r="I53" s="119" t="s">
        <v>193</v>
      </c>
      <c r="J53" s="119" t="s">
        <v>142</v>
      </c>
      <c r="K53" s="119" t="s">
        <v>147</v>
      </c>
      <c r="L53" s="353" t="s">
        <v>94</v>
      </c>
      <c r="M53" s="29" t="s">
        <v>44</v>
      </c>
      <c r="N53" s="94">
        <v>45774</v>
      </c>
      <c r="O53" s="94">
        <v>45956</v>
      </c>
      <c r="P53" s="148">
        <v>100</v>
      </c>
      <c r="Q53" s="82"/>
      <c r="R53" s="85" t="s">
        <v>144</v>
      </c>
      <c r="S53" s="198" t="s">
        <v>145</v>
      </c>
    </row>
    <row r="54" s="30" customFormat="1" spans="1:19">
      <c r="A54" s="27">
        <v>53</v>
      </c>
      <c r="B54" s="186" t="s">
        <v>13</v>
      </c>
      <c r="C54" s="344" t="s">
        <v>54</v>
      </c>
      <c r="D54" s="346" t="s">
        <v>101</v>
      </c>
      <c r="E54" s="118" t="s">
        <v>139</v>
      </c>
      <c r="F54" s="31" t="s">
        <v>196</v>
      </c>
      <c r="G54" s="119" t="s">
        <v>197</v>
      </c>
      <c r="H54" s="31" t="s">
        <v>196</v>
      </c>
      <c r="I54" s="119" t="s">
        <v>193</v>
      </c>
      <c r="J54" s="119" t="s">
        <v>165</v>
      </c>
      <c r="K54" s="119" t="s">
        <v>166</v>
      </c>
      <c r="L54" s="353" t="s">
        <v>94</v>
      </c>
      <c r="M54" s="29" t="s">
        <v>44</v>
      </c>
      <c r="N54" s="94">
        <v>45774</v>
      </c>
      <c r="O54" s="94">
        <v>45956</v>
      </c>
      <c r="P54" s="148">
        <v>100</v>
      </c>
      <c r="Q54" s="82"/>
      <c r="R54" s="82" t="s">
        <v>152</v>
      </c>
      <c r="S54" s="319" t="s">
        <v>198</v>
      </c>
    </row>
    <row r="55" s="30" customFormat="1" spans="1:19">
      <c r="A55" s="27">
        <v>54</v>
      </c>
      <c r="B55" s="186" t="s">
        <v>13</v>
      </c>
      <c r="C55" s="344" t="s">
        <v>54</v>
      </c>
      <c r="D55" s="346" t="s">
        <v>101</v>
      </c>
      <c r="E55" s="118" t="s">
        <v>139</v>
      </c>
      <c r="F55" s="31" t="s">
        <v>199</v>
      </c>
      <c r="G55" s="119" t="s">
        <v>141</v>
      </c>
      <c r="H55" s="31" t="s">
        <v>199</v>
      </c>
      <c r="I55" s="119" t="s">
        <v>193</v>
      </c>
      <c r="J55" s="119" t="s">
        <v>142</v>
      </c>
      <c r="K55" s="119" t="s">
        <v>147</v>
      </c>
      <c r="L55" s="353" t="s">
        <v>94</v>
      </c>
      <c r="M55" s="29" t="s">
        <v>44</v>
      </c>
      <c r="N55" s="94">
        <v>45774</v>
      </c>
      <c r="O55" s="94">
        <v>45956</v>
      </c>
      <c r="P55" s="148">
        <v>100</v>
      </c>
      <c r="Q55" s="82"/>
      <c r="R55" s="82" t="s">
        <v>200</v>
      </c>
      <c r="S55" s="198" t="s">
        <v>145</v>
      </c>
    </row>
    <row r="56" s="30" customFormat="1" spans="1:19">
      <c r="A56" s="27">
        <v>55</v>
      </c>
      <c r="B56" s="186" t="s">
        <v>13</v>
      </c>
      <c r="C56" s="344" t="s">
        <v>54</v>
      </c>
      <c r="D56" s="346" t="s">
        <v>107</v>
      </c>
      <c r="E56" s="118" t="s">
        <v>139</v>
      </c>
      <c r="F56" s="31" t="s">
        <v>201</v>
      </c>
      <c r="G56" s="119" t="s">
        <v>141</v>
      </c>
      <c r="H56" s="31" t="s">
        <v>201</v>
      </c>
      <c r="I56" s="119" t="s">
        <v>193</v>
      </c>
      <c r="J56" s="119" t="s">
        <v>142</v>
      </c>
      <c r="K56" s="119" t="s">
        <v>147</v>
      </c>
      <c r="L56" s="353" t="s">
        <v>94</v>
      </c>
      <c r="M56" s="29" t="s">
        <v>44</v>
      </c>
      <c r="N56" s="94">
        <v>45774</v>
      </c>
      <c r="O56" s="94">
        <v>45956</v>
      </c>
      <c r="P56" s="148">
        <v>100</v>
      </c>
      <c r="Q56" s="82"/>
      <c r="R56" s="82" t="s">
        <v>156</v>
      </c>
      <c r="S56" s="198" t="s">
        <v>145</v>
      </c>
    </row>
    <row r="57" s="30" customFormat="1" spans="1:19">
      <c r="A57" s="27">
        <v>56</v>
      </c>
      <c r="B57" s="186" t="s">
        <v>13</v>
      </c>
      <c r="C57" s="344" t="s">
        <v>54</v>
      </c>
      <c r="D57" s="346" t="s">
        <v>107</v>
      </c>
      <c r="E57" s="118" t="s">
        <v>139</v>
      </c>
      <c r="F57" s="31" t="s">
        <v>202</v>
      </c>
      <c r="G57" s="119" t="s">
        <v>141</v>
      </c>
      <c r="H57" s="31" t="s">
        <v>202</v>
      </c>
      <c r="I57" s="119" t="s">
        <v>193</v>
      </c>
      <c r="J57" s="119" t="s">
        <v>142</v>
      </c>
      <c r="K57" s="119" t="s">
        <v>147</v>
      </c>
      <c r="L57" s="353" t="s">
        <v>94</v>
      </c>
      <c r="M57" s="29" t="s">
        <v>44</v>
      </c>
      <c r="N57" s="94">
        <v>45774</v>
      </c>
      <c r="O57" s="94">
        <v>45956</v>
      </c>
      <c r="P57" s="148">
        <v>100</v>
      </c>
      <c r="Q57" s="82"/>
      <c r="R57" s="82" t="s">
        <v>203</v>
      </c>
      <c r="S57" s="198" t="s">
        <v>145</v>
      </c>
    </row>
    <row r="58" s="30" customFormat="1" spans="1:19">
      <c r="A58" s="27">
        <v>57</v>
      </c>
      <c r="B58" s="186" t="s">
        <v>13</v>
      </c>
      <c r="C58" s="344" t="s">
        <v>54</v>
      </c>
      <c r="D58" s="346" t="s">
        <v>107</v>
      </c>
      <c r="E58" s="118" t="s">
        <v>139</v>
      </c>
      <c r="F58" s="31" t="s">
        <v>204</v>
      </c>
      <c r="G58" s="119" t="s">
        <v>141</v>
      </c>
      <c r="H58" s="31" t="s">
        <v>204</v>
      </c>
      <c r="I58" s="119" t="s">
        <v>193</v>
      </c>
      <c r="J58" s="119" t="s">
        <v>142</v>
      </c>
      <c r="K58" s="119" t="s">
        <v>143</v>
      </c>
      <c r="L58" s="353" t="s">
        <v>94</v>
      </c>
      <c r="M58" s="29" t="s">
        <v>44</v>
      </c>
      <c r="N58" s="94">
        <v>45774</v>
      </c>
      <c r="O58" s="94">
        <v>45956</v>
      </c>
      <c r="P58" s="148">
        <v>100</v>
      </c>
      <c r="Q58" s="82"/>
      <c r="R58" s="82" t="s">
        <v>203</v>
      </c>
      <c r="S58" s="198" t="s">
        <v>145</v>
      </c>
    </row>
    <row r="59" s="30" customFormat="1" spans="1:19">
      <c r="A59" s="27">
        <v>58</v>
      </c>
      <c r="B59" s="186" t="s">
        <v>13</v>
      </c>
      <c r="C59" s="344" t="s">
        <v>54</v>
      </c>
      <c r="D59" s="346" t="s">
        <v>107</v>
      </c>
      <c r="E59" s="118" t="s">
        <v>139</v>
      </c>
      <c r="F59" s="31" t="s">
        <v>205</v>
      </c>
      <c r="G59" s="119" t="s">
        <v>141</v>
      </c>
      <c r="H59" s="31" t="s">
        <v>205</v>
      </c>
      <c r="I59" s="119" t="s">
        <v>193</v>
      </c>
      <c r="J59" s="119" t="s">
        <v>149</v>
      </c>
      <c r="K59" s="119" t="s">
        <v>143</v>
      </c>
      <c r="L59" s="353" t="s">
        <v>94</v>
      </c>
      <c r="M59" s="29" t="s">
        <v>44</v>
      </c>
      <c r="N59" s="94">
        <v>45774</v>
      </c>
      <c r="O59" s="94">
        <v>45956</v>
      </c>
      <c r="P59" s="148">
        <v>100</v>
      </c>
      <c r="Q59" s="82"/>
      <c r="R59" s="161" t="s">
        <v>152</v>
      </c>
      <c r="S59" s="319" t="s">
        <v>198</v>
      </c>
    </row>
    <row r="60" s="30" customFormat="1" spans="1:19">
      <c r="A60" s="27">
        <v>59</v>
      </c>
      <c r="B60" s="186" t="s">
        <v>13</v>
      </c>
      <c r="C60" s="344" t="s">
        <v>54</v>
      </c>
      <c r="D60" s="346" t="s">
        <v>206</v>
      </c>
      <c r="E60" s="118" t="s">
        <v>139</v>
      </c>
      <c r="F60" s="31" t="s">
        <v>207</v>
      </c>
      <c r="G60" s="119" t="s">
        <v>197</v>
      </c>
      <c r="H60" s="31" t="s">
        <v>207</v>
      </c>
      <c r="I60" s="119" t="s">
        <v>193</v>
      </c>
      <c r="J60" s="119" t="s">
        <v>165</v>
      </c>
      <c r="K60" s="119" t="s">
        <v>166</v>
      </c>
      <c r="L60" s="353" t="s">
        <v>94</v>
      </c>
      <c r="M60" s="29" t="s">
        <v>44</v>
      </c>
      <c r="N60" s="94">
        <v>45774</v>
      </c>
      <c r="O60" s="94">
        <v>45956</v>
      </c>
      <c r="P60" s="148">
        <v>100</v>
      </c>
      <c r="Q60" s="82"/>
      <c r="R60" s="82" t="s">
        <v>206</v>
      </c>
      <c r="S60" s="319" t="s">
        <v>208</v>
      </c>
    </row>
    <row r="61" s="30" customFormat="1" spans="1:19">
      <c r="A61" s="27">
        <v>60</v>
      </c>
      <c r="B61" s="186" t="s">
        <v>13</v>
      </c>
      <c r="C61" s="344" t="s">
        <v>54</v>
      </c>
      <c r="D61" s="346" t="s">
        <v>209</v>
      </c>
      <c r="E61" s="118" t="s">
        <v>139</v>
      </c>
      <c r="F61" s="31" t="s">
        <v>210</v>
      </c>
      <c r="G61" s="119" t="s">
        <v>211</v>
      </c>
      <c r="H61" s="31" t="s">
        <v>210</v>
      </c>
      <c r="I61" s="119"/>
      <c r="J61" s="119" t="s">
        <v>165</v>
      </c>
      <c r="K61" s="119" t="s">
        <v>166</v>
      </c>
      <c r="L61" s="353" t="s">
        <v>94</v>
      </c>
      <c r="M61" s="29" t="s">
        <v>44</v>
      </c>
      <c r="N61" s="94">
        <v>45774</v>
      </c>
      <c r="O61" s="94">
        <v>45956</v>
      </c>
      <c r="P61" s="148">
        <v>100</v>
      </c>
      <c r="Q61" s="82"/>
      <c r="R61" s="82" t="s">
        <v>212</v>
      </c>
      <c r="S61" s="161" t="s">
        <v>198</v>
      </c>
    </row>
    <row r="62" s="30" customFormat="1" spans="1:19">
      <c r="A62" s="27">
        <v>61</v>
      </c>
      <c r="B62" s="186" t="s">
        <v>13</v>
      </c>
      <c r="C62" s="344" t="s">
        <v>54</v>
      </c>
      <c r="D62" s="346" t="s">
        <v>213</v>
      </c>
      <c r="E62" s="118" t="s">
        <v>139</v>
      </c>
      <c r="F62" s="31" t="s">
        <v>214</v>
      </c>
      <c r="G62" s="119" t="s">
        <v>141</v>
      </c>
      <c r="H62" s="31" t="s">
        <v>214</v>
      </c>
      <c r="I62" s="119" t="s">
        <v>193</v>
      </c>
      <c r="J62" s="119" t="s">
        <v>149</v>
      </c>
      <c r="K62" s="119" t="s">
        <v>143</v>
      </c>
      <c r="L62" s="353" t="s">
        <v>94</v>
      </c>
      <c r="M62" s="29" t="s">
        <v>44</v>
      </c>
      <c r="N62" s="94">
        <v>45774</v>
      </c>
      <c r="O62" s="94">
        <v>45956</v>
      </c>
      <c r="P62" s="148">
        <v>100</v>
      </c>
      <c r="Q62" s="82"/>
      <c r="R62" s="82" t="s">
        <v>213</v>
      </c>
      <c r="S62" s="198" t="s">
        <v>145</v>
      </c>
    </row>
    <row r="63" s="30" customFormat="1" spans="1:19">
      <c r="A63" s="27">
        <v>62</v>
      </c>
      <c r="B63" s="186" t="s">
        <v>13</v>
      </c>
      <c r="C63" s="344" t="s">
        <v>54</v>
      </c>
      <c r="D63" s="347" t="s">
        <v>213</v>
      </c>
      <c r="E63" s="118" t="s">
        <v>139</v>
      </c>
      <c r="F63" s="171" t="s">
        <v>215</v>
      </c>
      <c r="G63" s="119" t="s">
        <v>197</v>
      </c>
      <c r="H63" s="171" t="s">
        <v>215</v>
      </c>
      <c r="I63" s="172" t="s">
        <v>193</v>
      </c>
      <c r="J63" s="119" t="s">
        <v>165</v>
      </c>
      <c r="K63" s="119" t="s">
        <v>166</v>
      </c>
      <c r="L63" s="353" t="s">
        <v>94</v>
      </c>
      <c r="M63" s="29" t="s">
        <v>44</v>
      </c>
      <c r="N63" s="94">
        <v>45774</v>
      </c>
      <c r="O63" s="94">
        <v>45956</v>
      </c>
      <c r="P63" s="148">
        <v>100</v>
      </c>
      <c r="Q63" s="82"/>
      <c r="R63" s="82" t="s">
        <v>213</v>
      </c>
      <c r="S63" s="198" t="s">
        <v>145</v>
      </c>
    </row>
    <row r="64" s="30" customFormat="1" spans="1:19">
      <c r="A64" s="27">
        <v>63</v>
      </c>
      <c r="B64" s="186" t="s">
        <v>13</v>
      </c>
      <c r="C64" s="344" t="s">
        <v>54</v>
      </c>
      <c r="D64" s="173" t="s">
        <v>213</v>
      </c>
      <c r="E64" s="118" t="s">
        <v>139</v>
      </c>
      <c r="F64" s="171" t="s">
        <v>216</v>
      </c>
      <c r="G64" s="119" t="s">
        <v>197</v>
      </c>
      <c r="H64" s="171" t="s">
        <v>216</v>
      </c>
      <c r="I64" s="172" t="s">
        <v>193</v>
      </c>
      <c r="J64" s="119" t="s">
        <v>165</v>
      </c>
      <c r="K64" s="119" t="s">
        <v>166</v>
      </c>
      <c r="L64" s="353" t="s">
        <v>94</v>
      </c>
      <c r="M64" s="29" t="s">
        <v>44</v>
      </c>
      <c r="N64" s="94">
        <v>45774</v>
      </c>
      <c r="O64" s="94">
        <v>45956</v>
      </c>
      <c r="P64" s="148">
        <v>100</v>
      </c>
      <c r="Q64" s="82"/>
      <c r="R64" s="82" t="s">
        <v>213</v>
      </c>
      <c r="S64" s="198" t="s">
        <v>145</v>
      </c>
    </row>
    <row r="65" s="30" customFormat="1" spans="1:19">
      <c r="A65" s="27">
        <v>64</v>
      </c>
      <c r="B65" s="186" t="s">
        <v>13</v>
      </c>
      <c r="C65" s="344" t="s">
        <v>54</v>
      </c>
      <c r="D65" s="173" t="s">
        <v>213</v>
      </c>
      <c r="E65" s="118" t="s">
        <v>139</v>
      </c>
      <c r="F65" s="171" t="s">
        <v>217</v>
      </c>
      <c r="G65" s="119" t="s">
        <v>197</v>
      </c>
      <c r="H65" s="171" t="s">
        <v>217</v>
      </c>
      <c r="I65" s="172" t="s">
        <v>66</v>
      </c>
      <c r="J65" s="119" t="s">
        <v>165</v>
      </c>
      <c r="K65" s="119" t="s">
        <v>166</v>
      </c>
      <c r="L65" s="353" t="s">
        <v>94</v>
      </c>
      <c r="M65" s="29" t="s">
        <v>44</v>
      </c>
      <c r="N65" s="94">
        <v>45774</v>
      </c>
      <c r="O65" s="94">
        <v>45956</v>
      </c>
      <c r="P65" s="148">
        <v>100</v>
      </c>
      <c r="Q65" s="82"/>
      <c r="R65" s="82" t="s">
        <v>213</v>
      </c>
      <c r="S65" s="198" t="s">
        <v>145</v>
      </c>
    </row>
    <row r="66" s="30" customFormat="1" spans="1:19">
      <c r="A66" s="27">
        <v>65</v>
      </c>
      <c r="B66" s="186" t="s">
        <v>13</v>
      </c>
      <c r="C66" s="344" t="s">
        <v>54</v>
      </c>
      <c r="D66" s="356" t="s">
        <v>218</v>
      </c>
      <c r="E66" s="118" t="s">
        <v>139</v>
      </c>
      <c r="F66" s="31" t="s">
        <v>219</v>
      </c>
      <c r="G66" s="119" t="s">
        <v>197</v>
      </c>
      <c r="H66" s="31" t="s">
        <v>219</v>
      </c>
      <c r="I66" s="119" t="s">
        <v>193</v>
      </c>
      <c r="J66" s="119" t="s">
        <v>165</v>
      </c>
      <c r="K66" s="119" t="s">
        <v>166</v>
      </c>
      <c r="L66" s="353" t="s">
        <v>94</v>
      </c>
      <c r="M66" s="29" t="s">
        <v>44</v>
      </c>
      <c r="N66" s="94">
        <v>45774</v>
      </c>
      <c r="O66" s="94">
        <v>45956</v>
      </c>
      <c r="P66" s="148">
        <v>100</v>
      </c>
      <c r="Q66" s="82">
        <v>3599311</v>
      </c>
      <c r="R66" s="82" t="s">
        <v>220</v>
      </c>
      <c r="S66" s="319" t="s">
        <v>198</v>
      </c>
    </row>
    <row r="67" s="30" customFormat="1" spans="1:19">
      <c r="A67" s="27">
        <v>66</v>
      </c>
      <c r="B67" s="186" t="s">
        <v>13</v>
      </c>
      <c r="C67" s="344" t="s">
        <v>54</v>
      </c>
      <c r="D67" s="346" t="s">
        <v>221</v>
      </c>
      <c r="E67" s="118" t="s">
        <v>139</v>
      </c>
      <c r="F67" s="31" t="s">
        <v>222</v>
      </c>
      <c r="G67" s="119" t="s">
        <v>197</v>
      </c>
      <c r="H67" s="31" t="s">
        <v>222</v>
      </c>
      <c r="I67" s="119" t="s">
        <v>193</v>
      </c>
      <c r="J67" s="119" t="s">
        <v>165</v>
      </c>
      <c r="K67" s="119" t="s">
        <v>166</v>
      </c>
      <c r="L67" s="353" t="s">
        <v>94</v>
      </c>
      <c r="M67" s="29" t="s">
        <v>44</v>
      </c>
      <c r="N67" s="94">
        <v>45774</v>
      </c>
      <c r="O67" s="94">
        <v>45956</v>
      </c>
      <c r="P67" s="148">
        <v>100</v>
      </c>
      <c r="Q67" s="82"/>
      <c r="R67" s="82" t="s">
        <v>223</v>
      </c>
      <c r="S67" s="319" t="s">
        <v>198</v>
      </c>
    </row>
    <row r="68" s="30" customFormat="1" spans="1:19">
      <c r="A68" s="27">
        <v>67</v>
      </c>
      <c r="B68" s="186" t="s">
        <v>13</v>
      </c>
      <c r="C68" s="344" t="s">
        <v>54</v>
      </c>
      <c r="D68" s="346" t="s">
        <v>221</v>
      </c>
      <c r="E68" s="118" t="s">
        <v>139</v>
      </c>
      <c r="F68" s="31" t="s">
        <v>224</v>
      </c>
      <c r="G68" s="119" t="s">
        <v>197</v>
      </c>
      <c r="H68" s="31" t="s">
        <v>224</v>
      </c>
      <c r="I68" s="119" t="s">
        <v>193</v>
      </c>
      <c r="J68" s="119" t="s">
        <v>165</v>
      </c>
      <c r="K68" s="119" t="s">
        <v>166</v>
      </c>
      <c r="L68" s="353" t="s">
        <v>94</v>
      </c>
      <c r="M68" s="29" t="s">
        <v>44</v>
      </c>
      <c r="N68" s="94">
        <v>45774</v>
      </c>
      <c r="O68" s="94">
        <v>45956</v>
      </c>
      <c r="P68" s="148">
        <v>100</v>
      </c>
      <c r="Q68" s="82"/>
      <c r="R68" s="82" t="s">
        <v>223</v>
      </c>
      <c r="S68" s="319" t="s">
        <v>198</v>
      </c>
    </row>
    <row r="69" s="30" customFormat="1" spans="1:19">
      <c r="A69" s="27">
        <v>68</v>
      </c>
      <c r="B69" s="186" t="s">
        <v>13</v>
      </c>
      <c r="C69" s="344" t="s">
        <v>54</v>
      </c>
      <c r="D69" s="346" t="s">
        <v>221</v>
      </c>
      <c r="E69" s="118" t="s">
        <v>139</v>
      </c>
      <c r="F69" s="31" t="s">
        <v>225</v>
      </c>
      <c r="G69" s="119" t="s">
        <v>197</v>
      </c>
      <c r="H69" s="31" t="s">
        <v>225</v>
      </c>
      <c r="I69" s="119" t="s">
        <v>193</v>
      </c>
      <c r="J69" s="119" t="s">
        <v>165</v>
      </c>
      <c r="K69" s="119" t="s">
        <v>166</v>
      </c>
      <c r="L69" s="353" t="s">
        <v>94</v>
      </c>
      <c r="M69" s="29" t="s">
        <v>44</v>
      </c>
      <c r="N69" s="94">
        <v>45774</v>
      </c>
      <c r="O69" s="94">
        <v>45956</v>
      </c>
      <c r="P69" s="148">
        <v>100</v>
      </c>
      <c r="Q69" s="82"/>
      <c r="R69" s="82" t="s">
        <v>223</v>
      </c>
      <c r="S69" s="319" t="s">
        <v>198</v>
      </c>
    </row>
    <row r="70" s="30" customFormat="1" spans="1:19">
      <c r="A70" s="27">
        <v>69</v>
      </c>
      <c r="B70" s="186" t="s">
        <v>13</v>
      </c>
      <c r="C70" s="344" t="s">
        <v>54</v>
      </c>
      <c r="D70" s="346" t="s">
        <v>221</v>
      </c>
      <c r="E70" s="118" t="s">
        <v>139</v>
      </c>
      <c r="F70" s="31" t="s">
        <v>226</v>
      </c>
      <c r="G70" s="119" t="s">
        <v>197</v>
      </c>
      <c r="H70" s="31" t="s">
        <v>226</v>
      </c>
      <c r="I70" s="119" t="s">
        <v>193</v>
      </c>
      <c r="J70" s="119" t="s">
        <v>165</v>
      </c>
      <c r="K70" s="119" t="s">
        <v>166</v>
      </c>
      <c r="L70" s="353" t="s">
        <v>94</v>
      </c>
      <c r="M70" s="29" t="s">
        <v>44</v>
      </c>
      <c r="N70" s="94">
        <v>45774</v>
      </c>
      <c r="O70" s="94">
        <v>45956</v>
      </c>
      <c r="P70" s="148">
        <v>100</v>
      </c>
      <c r="Q70" s="82"/>
      <c r="R70" s="82" t="s">
        <v>223</v>
      </c>
      <c r="S70" s="319" t="s">
        <v>198</v>
      </c>
    </row>
    <row r="71" s="30" customFormat="1" spans="1:19">
      <c r="A71" s="27">
        <v>70</v>
      </c>
      <c r="B71" s="186" t="s">
        <v>13</v>
      </c>
      <c r="C71" s="344" t="s">
        <v>54</v>
      </c>
      <c r="D71" s="346" t="s">
        <v>209</v>
      </c>
      <c r="E71" s="118" t="s">
        <v>139</v>
      </c>
      <c r="F71" s="31" t="s">
        <v>227</v>
      </c>
      <c r="G71" s="119" t="s">
        <v>197</v>
      </c>
      <c r="H71" s="31" t="s">
        <v>227</v>
      </c>
      <c r="I71" s="119" t="s">
        <v>193</v>
      </c>
      <c r="J71" s="119" t="s">
        <v>165</v>
      </c>
      <c r="K71" s="119" t="s">
        <v>166</v>
      </c>
      <c r="L71" s="353" t="s">
        <v>94</v>
      </c>
      <c r="M71" s="29" t="s">
        <v>44</v>
      </c>
      <c r="N71" s="94">
        <v>45774</v>
      </c>
      <c r="O71" s="94">
        <v>45956</v>
      </c>
      <c r="P71" s="148">
        <v>100</v>
      </c>
      <c r="Q71" s="82"/>
      <c r="R71" s="82" t="s">
        <v>17</v>
      </c>
      <c r="S71" s="319" t="s">
        <v>198</v>
      </c>
    </row>
    <row r="72" s="30" customFormat="1" spans="1:19">
      <c r="A72" s="27">
        <v>71</v>
      </c>
      <c r="B72" s="186" t="s">
        <v>14</v>
      </c>
      <c r="C72" s="344" t="s">
        <v>54</v>
      </c>
      <c r="D72" s="346" t="s">
        <v>63</v>
      </c>
      <c r="E72" s="118" t="s">
        <v>139</v>
      </c>
      <c r="F72" s="31" t="s">
        <v>228</v>
      </c>
      <c r="G72" s="119" t="s">
        <v>163</v>
      </c>
      <c r="H72" s="31" t="s">
        <v>228</v>
      </c>
      <c r="I72" s="119" t="s">
        <v>66</v>
      </c>
      <c r="J72" s="119" t="s">
        <v>142</v>
      </c>
      <c r="K72" s="119" t="s">
        <v>143</v>
      </c>
      <c r="L72" s="353" t="s">
        <v>94</v>
      </c>
      <c r="M72" s="29" t="s">
        <v>44</v>
      </c>
      <c r="N72" s="94">
        <v>45774</v>
      </c>
      <c r="O72" s="94">
        <v>45956</v>
      </c>
      <c r="P72" s="148">
        <v>100</v>
      </c>
      <c r="Q72" s="82"/>
      <c r="R72" s="82" t="s">
        <v>144</v>
      </c>
      <c r="S72" s="319" t="s">
        <v>145</v>
      </c>
    </row>
    <row r="73" s="30" customFormat="1" spans="1:19">
      <c r="A73" s="27">
        <v>72</v>
      </c>
      <c r="B73" s="186" t="s">
        <v>14</v>
      </c>
      <c r="C73" s="344" t="s">
        <v>54</v>
      </c>
      <c r="D73" s="173" t="s">
        <v>63</v>
      </c>
      <c r="E73" s="357" t="s">
        <v>139</v>
      </c>
      <c r="F73" s="31" t="s">
        <v>229</v>
      </c>
      <c r="G73" s="119" t="s">
        <v>141</v>
      </c>
      <c r="H73" s="31" t="s">
        <v>229</v>
      </c>
      <c r="I73" s="119" t="s">
        <v>66</v>
      </c>
      <c r="J73" s="119" t="s">
        <v>149</v>
      </c>
      <c r="K73" s="119" t="s">
        <v>143</v>
      </c>
      <c r="L73" s="353" t="s">
        <v>94</v>
      </c>
      <c r="M73" s="29" t="s">
        <v>44</v>
      </c>
      <c r="N73" s="94">
        <v>45774</v>
      </c>
      <c r="O73" s="94">
        <v>45956</v>
      </c>
      <c r="P73" s="148">
        <v>100</v>
      </c>
      <c r="Q73" s="82"/>
      <c r="R73" s="29" t="s">
        <v>230</v>
      </c>
      <c r="S73" s="198" t="s">
        <v>145</v>
      </c>
    </row>
    <row r="74" s="30" customFormat="1" spans="1:19">
      <c r="A74" s="27">
        <v>73</v>
      </c>
      <c r="B74" s="186" t="s">
        <v>14</v>
      </c>
      <c r="C74" s="344" t="s">
        <v>54</v>
      </c>
      <c r="D74" s="173" t="s">
        <v>63</v>
      </c>
      <c r="E74" s="29" t="s">
        <v>139</v>
      </c>
      <c r="F74" s="31" t="s">
        <v>231</v>
      </c>
      <c r="G74" s="119" t="s">
        <v>141</v>
      </c>
      <c r="H74" s="31" t="s">
        <v>231</v>
      </c>
      <c r="I74" s="119" t="s">
        <v>66</v>
      </c>
      <c r="J74" s="119" t="s">
        <v>142</v>
      </c>
      <c r="K74" s="119" t="s">
        <v>147</v>
      </c>
      <c r="L74" s="353" t="s">
        <v>94</v>
      </c>
      <c r="M74" s="29" t="s">
        <v>44</v>
      </c>
      <c r="N74" s="94">
        <v>45774</v>
      </c>
      <c r="O74" s="94">
        <v>45956</v>
      </c>
      <c r="P74" s="148">
        <v>100</v>
      </c>
      <c r="Q74" s="82"/>
      <c r="R74" s="29" t="s">
        <v>144</v>
      </c>
      <c r="S74" s="319" t="s">
        <v>145</v>
      </c>
    </row>
    <row r="75" s="30" customFormat="1" spans="1:19">
      <c r="A75" s="27">
        <v>74</v>
      </c>
      <c r="B75" s="186" t="s">
        <v>14</v>
      </c>
      <c r="C75" s="344" t="s">
        <v>54</v>
      </c>
      <c r="D75" s="173" t="s">
        <v>63</v>
      </c>
      <c r="E75" s="29" t="s">
        <v>139</v>
      </c>
      <c r="F75" s="31" t="s">
        <v>232</v>
      </c>
      <c r="G75" s="119" t="s">
        <v>141</v>
      </c>
      <c r="H75" s="31" t="s">
        <v>232</v>
      </c>
      <c r="I75" s="119" t="s">
        <v>66</v>
      </c>
      <c r="J75" s="119" t="s">
        <v>149</v>
      </c>
      <c r="K75" s="119" t="s">
        <v>143</v>
      </c>
      <c r="L75" s="353" t="s">
        <v>94</v>
      </c>
      <c r="M75" s="29" t="s">
        <v>44</v>
      </c>
      <c r="N75" s="94">
        <v>45774</v>
      </c>
      <c r="O75" s="94">
        <v>45956</v>
      </c>
      <c r="P75" s="148">
        <v>100</v>
      </c>
      <c r="Q75" s="82"/>
      <c r="R75" s="29" t="s">
        <v>152</v>
      </c>
      <c r="S75" s="319" t="s">
        <v>145</v>
      </c>
    </row>
    <row r="76" s="30" customFormat="1" spans="1:19">
      <c r="A76" s="27">
        <v>75</v>
      </c>
      <c r="B76" s="186" t="s">
        <v>14</v>
      </c>
      <c r="C76" s="344" t="s">
        <v>54</v>
      </c>
      <c r="D76" s="346" t="s">
        <v>67</v>
      </c>
      <c r="E76" s="118" t="s">
        <v>139</v>
      </c>
      <c r="F76" s="31" t="s">
        <v>233</v>
      </c>
      <c r="G76" s="119" t="s">
        <v>141</v>
      </c>
      <c r="H76" s="31" t="s">
        <v>233</v>
      </c>
      <c r="I76" s="119" t="s">
        <v>66</v>
      </c>
      <c r="J76" s="119" t="s">
        <v>234</v>
      </c>
      <c r="K76" s="119" t="s">
        <v>235</v>
      </c>
      <c r="L76" s="353" t="s">
        <v>94</v>
      </c>
      <c r="M76" s="29" t="s">
        <v>44</v>
      </c>
      <c r="N76" s="94">
        <v>45774</v>
      </c>
      <c r="O76" s="94">
        <v>45956</v>
      </c>
      <c r="P76" s="148">
        <v>100</v>
      </c>
      <c r="Q76" s="82"/>
      <c r="R76" s="29" t="s">
        <v>203</v>
      </c>
      <c r="S76" s="198" t="s">
        <v>145</v>
      </c>
    </row>
    <row r="77" s="30" customFormat="1" spans="1:19">
      <c r="A77" s="27">
        <v>76</v>
      </c>
      <c r="B77" s="186" t="s">
        <v>14</v>
      </c>
      <c r="C77" s="344" t="s">
        <v>54</v>
      </c>
      <c r="D77" s="346" t="s">
        <v>67</v>
      </c>
      <c r="E77" s="118" t="s">
        <v>139</v>
      </c>
      <c r="F77" s="31" t="s">
        <v>236</v>
      </c>
      <c r="G77" s="119" t="s">
        <v>141</v>
      </c>
      <c r="H77" s="31" t="s">
        <v>236</v>
      </c>
      <c r="I77" s="119" t="s">
        <v>66</v>
      </c>
      <c r="J77" s="119" t="s">
        <v>149</v>
      </c>
      <c r="K77" s="119" t="s">
        <v>143</v>
      </c>
      <c r="L77" s="353" t="s">
        <v>94</v>
      </c>
      <c r="M77" s="29" t="s">
        <v>44</v>
      </c>
      <c r="N77" s="94">
        <v>45774</v>
      </c>
      <c r="O77" s="94">
        <v>45956</v>
      </c>
      <c r="P77" s="148">
        <v>100</v>
      </c>
      <c r="Q77" s="82"/>
      <c r="R77" s="82" t="s">
        <v>144</v>
      </c>
      <c r="S77" s="198" t="s">
        <v>237</v>
      </c>
    </row>
    <row r="78" s="30" customFormat="1" spans="1:19">
      <c r="A78" s="27">
        <v>77</v>
      </c>
      <c r="B78" s="186" t="s">
        <v>14</v>
      </c>
      <c r="C78" s="344" t="s">
        <v>54</v>
      </c>
      <c r="D78" s="346" t="s">
        <v>67</v>
      </c>
      <c r="E78" s="118" t="s">
        <v>139</v>
      </c>
      <c r="F78" s="31" t="s">
        <v>238</v>
      </c>
      <c r="G78" s="119" t="s">
        <v>141</v>
      </c>
      <c r="H78" s="31" t="s">
        <v>238</v>
      </c>
      <c r="I78" s="119" t="s">
        <v>66</v>
      </c>
      <c r="J78" s="119" t="s">
        <v>149</v>
      </c>
      <c r="K78" s="119" t="s">
        <v>143</v>
      </c>
      <c r="L78" s="353" t="s">
        <v>94</v>
      </c>
      <c r="M78" s="29" t="s">
        <v>44</v>
      </c>
      <c r="N78" s="94">
        <v>45774</v>
      </c>
      <c r="O78" s="94">
        <v>45956</v>
      </c>
      <c r="P78" s="148">
        <v>100</v>
      </c>
      <c r="Q78" s="82"/>
      <c r="R78" s="82" t="s">
        <v>203</v>
      </c>
      <c r="S78" s="319" t="s">
        <v>145</v>
      </c>
    </row>
    <row r="79" s="30" customFormat="1" spans="1:19">
      <c r="A79" s="27">
        <v>78</v>
      </c>
      <c r="B79" s="186" t="s">
        <v>14</v>
      </c>
      <c r="C79" s="344" t="s">
        <v>54</v>
      </c>
      <c r="D79" s="346" t="s">
        <v>67</v>
      </c>
      <c r="E79" s="118" t="s">
        <v>139</v>
      </c>
      <c r="F79" s="31" t="s">
        <v>239</v>
      </c>
      <c r="G79" s="119" t="s">
        <v>173</v>
      </c>
      <c r="H79" s="31" t="s">
        <v>239</v>
      </c>
      <c r="I79" s="119" t="s">
        <v>66</v>
      </c>
      <c r="J79" s="119" t="s">
        <v>142</v>
      </c>
      <c r="K79" s="119" t="s">
        <v>235</v>
      </c>
      <c r="L79" s="353" t="s">
        <v>94</v>
      </c>
      <c r="M79" s="29" t="s">
        <v>44</v>
      </c>
      <c r="N79" s="94">
        <v>45774</v>
      </c>
      <c r="O79" s="94">
        <v>45956</v>
      </c>
      <c r="P79" s="148">
        <v>100</v>
      </c>
      <c r="Q79" s="82"/>
      <c r="R79" s="82" t="s">
        <v>152</v>
      </c>
      <c r="S79" s="198" t="s">
        <v>237</v>
      </c>
    </row>
    <row r="80" s="30" customFormat="1" spans="1:19">
      <c r="A80" s="27">
        <v>79</v>
      </c>
      <c r="B80" s="186" t="s">
        <v>14</v>
      </c>
      <c r="C80" s="344" t="s">
        <v>54</v>
      </c>
      <c r="D80" s="346" t="s">
        <v>240</v>
      </c>
      <c r="E80" s="118" t="s">
        <v>139</v>
      </c>
      <c r="F80" s="119" t="s">
        <v>141</v>
      </c>
      <c r="G80" s="119" t="s">
        <v>141</v>
      </c>
      <c r="H80" s="31" t="s">
        <v>241</v>
      </c>
      <c r="I80" s="119"/>
      <c r="J80" s="119" t="s">
        <v>165</v>
      </c>
      <c r="K80" s="119" t="s">
        <v>166</v>
      </c>
      <c r="L80" s="353" t="s">
        <v>94</v>
      </c>
      <c r="M80" s="29" t="s">
        <v>44</v>
      </c>
      <c r="N80" s="94">
        <v>45774</v>
      </c>
      <c r="O80" s="94">
        <v>45956</v>
      </c>
      <c r="P80" s="148">
        <v>100</v>
      </c>
      <c r="Q80" s="82"/>
      <c r="R80" s="82"/>
      <c r="S80" s="198" t="s">
        <v>237</v>
      </c>
    </row>
    <row r="81" s="30" customFormat="1" spans="1:19">
      <c r="A81" s="27">
        <v>80</v>
      </c>
      <c r="B81" s="186" t="s">
        <v>14</v>
      </c>
      <c r="C81" s="344" t="s">
        <v>54</v>
      </c>
      <c r="D81" s="346" t="s">
        <v>242</v>
      </c>
      <c r="E81" s="118" t="s">
        <v>139</v>
      </c>
      <c r="F81" s="119" t="s">
        <v>141</v>
      </c>
      <c r="G81" s="119" t="s">
        <v>141</v>
      </c>
      <c r="H81" s="31" t="s">
        <v>243</v>
      </c>
      <c r="I81" s="119"/>
      <c r="J81" s="119" t="s">
        <v>179</v>
      </c>
      <c r="K81" s="119" t="s">
        <v>166</v>
      </c>
      <c r="L81" s="353" t="s">
        <v>94</v>
      </c>
      <c r="M81" s="29" t="s">
        <v>44</v>
      </c>
      <c r="N81" s="94">
        <v>45774</v>
      </c>
      <c r="O81" s="94">
        <v>45956</v>
      </c>
      <c r="P81" s="148">
        <v>100</v>
      </c>
      <c r="Q81" s="82"/>
      <c r="R81" s="82"/>
      <c r="S81" s="198" t="s">
        <v>244</v>
      </c>
    </row>
    <row r="82" s="30" customFormat="1" spans="1:19">
      <c r="A82" s="27">
        <v>81</v>
      </c>
      <c r="B82" s="186" t="s">
        <v>14</v>
      </c>
      <c r="C82" s="344" t="s">
        <v>54</v>
      </c>
      <c r="D82" s="346" t="s">
        <v>245</v>
      </c>
      <c r="E82" s="118" t="s">
        <v>139</v>
      </c>
      <c r="F82" s="31" t="s">
        <v>246</v>
      </c>
      <c r="G82" s="31" t="s">
        <v>141</v>
      </c>
      <c r="H82" s="31" t="s">
        <v>246</v>
      </c>
      <c r="I82" s="119" t="s">
        <v>66</v>
      </c>
      <c r="J82" s="31" t="s">
        <v>165</v>
      </c>
      <c r="K82" s="51" t="s">
        <v>143</v>
      </c>
      <c r="L82" s="353" t="s">
        <v>94</v>
      </c>
      <c r="M82" s="29" t="s">
        <v>44</v>
      </c>
      <c r="N82" s="94">
        <v>45774</v>
      </c>
      <c r="O82" s="94">
        <v>45956</v>
      </c>
      <c r="P82" s="148">
        <v>100</v>
      </c>
      <c r="Q82" s="82"/>
      <c r="R82" s="28" t="s">
        <v>17</v>
      </c>
      <c r="S82" s="198" t="s">
        <v>175</v>
      </c>
    </row>
    <row r="83" s="30" customFormat="1" spans="1:19">
      <c r="A83" s="27">
        <v>82</v>
      </c>
      <c r="B83" s="186" t="s">
        <v>14</v>
      </c>
      <c r="C83" s="344" t="s">
        <v>54</v>
      </c>
      <c r="D83" s="346" t="s">
        <v>245</v>
      </c>
      <c r="E83" s="118" t="s">
        <v>139</v>
      </c>
      <c r="F83" s="31" t="s">
        <v>247</v>
      </c>
      <c r="G83" s="31" t="s">
        <v>141</v>
      </c>
      <c r="H83" s="31" t="s">
        <v>247</v>
      </c>
      <c r="I83" s="119" t="s">
        <v>66</v>
      </c>
      <c r="J83" s="31" t="s">
        <v>165</v>
      </c>
      <c r="K83" s="51" t="s">
        <v>143</v>
      </c>
      <c r="L83" s="353" t="s">
        <v>94</v>
      </c>
      <c r="M83" s="29" t="s">
        <v>44</v>
      </c>
      <c r="N83" s="94">
        <v>45774</v>
      </c>
      <c r="O83" s="94">
        <v>45956</v>
      </c>
      <c r="P83" s="148">
        <v>100</v>
      </c>
      <c r="Q83" s="82"/>
      <c r="R83" s="28" t="s">
        <v>17</v>
      </c>
      <c r="S83" s="198" t="s">
        <v>175</v>
      </c>
    </row>
    <row r="84" s="30" customFormat="1" spans="1:19">
      <c r="A84" s="27">
        <v>83</v>
      </c>
      <c r="B84" s="186" t="s">
        <v>14</v>
      </c>
      <c r="C84" s="344" t="s">
        <v>54</v>
      </c>
      <c r="D84" s="346" t="s">
        <v>245</v>
      </c>
      <c r="E84" s="118" t="s">
        <v>139</v>
      </c>
      <c r="F84" s="31" t="s">
        <v>248</v>
      </c>
      <c r="G84" s="31" t="s">
        <v>141</v>
      </c>
      <c r="H84" s="31" t="s">
        <v>248</v>
      </c>
      <c r="I84" s="119" t="s">
        <v>66</v>
      </c>
      <c r="J84" s="31" t="s">
        <v>165</v>
      </c>
      <c r="K84" s="51" t="s">
        <v>143</v>
      </c>
      <c r="L84" s="353" t="s">
        <v>94</v>
      </c>
      <c r="M84" s="29" t="s">
        <v>44</v>
      </c>
      <c r="N84" s="94">
        <v>45774</v>
      </c>
      <c r="O84" s="94">
        <v>45956</v>
      </c>
      <c r="P84" s="148">
        <v>100</v>
      </c>
      <c r="Q84" s="82"/>
      <c r="R84" s="28" t="s">
        <v>17</v>
      </c>
      <c r="S84" s="198" t="s">
        <v>175</v>
      </c>
    </row>
    <row r="85" s="30" customFormat="1" spans="1:19">
      <c r="A85" s="27">
        <v>84</v>
      </c>
      <c r="B85" s="186" t="s">
        <v>14</v>
      </c>
      <c r="C85" s="344" t="s">
        <v>54</v>
      </c>
      <c r="D85" s="346" t="s">
        <v>245</v>
      </c>
      <c r="E85" s="118" t="s">
        <v>139</v>
      </c>
      <c r="F85" s="31" t="s">
        <v>249</v>
      </c>
      <c r="G85" s="31" t="s">
        <v>141</v>
      </c>
      <c r="H85" s="31" t="s">
        <v>249</v>
      </c>
      <c r="I85" s="119" t="s">
        <v>66</v>
      </c>
      <c r="J85" s="31" t="s">
        <v>165</v>
      </c>
      <c r="K85" s="51" t="s">
        <v>143</v>
      </c>
      <c r="L85" s="353" t="s">
        <v>94</v>
      </c>
      <c r="M85" s="29" t="s">
        <v>44</v>
      </c>
      <c r="N85" s="94">
        <v>45774</v>
      </c>
      <c r="O85" s="94">
        <v>45956</v>
      </c>
      <c r="P85" s="148">
        <v>100</v>
      </c>
      <c r="Q85" s="82"/>
      <c r="R85" s="28" t="s">
        <v>17</v>
      </c>
      <c r="S85" s="198" t="s">
        <v>175</v>
      </c>
    </row>
    <row r="86" s="30" customFormat="1" spans="1:19">
      <c r="A86" s="27">
        <v>85</v>
      </c>
      <c r="B86" s="186" t="s">
        <v>14</v>
      </c>
      <c r="C86" s="344" t="s">
        <v>54</v>
      </c>
      <c r="D86" s="346" t="s">
        <v>245</v>
      </c>
      <c r="E86" s="118" t="s">
        <v>139</v>
      </c>
      <c r="F86" s="31" t="s">
        <v>250</v>
      </c>
      <c r="G86" s="31" t="s">
        <v>141</v>
      </c>
      <c r="H86" s="31" t="s">
        <v>250</v>
      </c>
      <c r="I86" s="119" t="s">
        <v>66</v>
      </c>
      <c r="J86" s="31" t="s">
        <v>165</v>
      </c>
      <c r="K86" s="51" t="s">
        <v>143</v>
      </c>
      <c r="L86" s="353" t="s">
        <v>94</v>
      </c>
      <c r="M86" s="29" t="s">
        <v>44</v>
      </c>
      <c r="N86" s="94">
        <v>45774</v>
      </c>
      <c r="O86" s="94">
        <v>45956</v>
      </c>
      <c r="P86" s="148">
        <v>100</v>
      </c>
      <c r="Q86" s="82"/>
      <c r="R86" s="28" t="s">
        <v>17</v>
      </c>
      <c r="S86" s="319" t="s">
        <v>184</v>
      </c>
    </row>
    <row r="87" s="30" customFormat="1" spans="1:19">
      <c r="A87" s="27">
        <v>86</v>
      </c>
      <c r="B87" s="186" t="s">
        <v>14</v>
      </c>
      <c r="C87" s="344" t="s">
        <v>54</v>
      </c>
      <c r="D87" s="346" t="s">
        <v>245</v>
      </c>
      <c r="E87" s="118" t="s">
        <v>139</v>
      </c>
      <c r="F87" s="31" t="s">
        <v>251</v>
      </c>
      <c r="G87" s="31" t="s">
        <v>141</v>
      </c>
      <c r="H87" s="31" t="s">
        <v>251</v>
      </c>
      <c r="I87" s="119"/>
      <c r="J87" s="31" t="s">
        <v>149</v>
      </c>
      <c r="K87" s="51" t="s">
        <v>143</v>
      </c>
      <c r="L87" s="353" t="s">
        <v>94</v>
      </c>
      <c r="M87" s="29" t="s">
        <v>44</v>
      </c>
      <c r="N87" s="94">
        <v>45774</v>
      </c>
      <c r="O87" s="94">
        <v>45956</v>
      </c>
      <c r="P87" s="148">
        <v>100</v>
      </c>
      <c r="Q87" s="82"/>
      <c r="R87" s="28" t="s">
        <v>252</v>
      </c>
      <c r="S87" s="319" t="s">
        <v>184</v>
      </c>
    </row>
    <row r="88" s="30" customFormat="1" spans="1:19">
      <c r="A88" s="27">
        <v>87</v>
      </c>
      <c r="B88" s="186" t="s">
        <v>14</v>
      </c>
      <c r="C88" s="344" t="s">
        <v>54</v>
      </c>
      <c r="D88" s="346" t="s">
        <v>245</v>
      </c>
      <c r="E88" s="118" t="s">
        <v>139</v>
      </c>
      <c r="F88" s="31" t="s">
        <v>253</v>
      </c>
      <c r="G88" s="31" t="s">
        <v>141</v>
      </c>
      <c r="H88" s="31" t="s">
        <v>253</v>
      </c>
      <c r="I88" s="119"/>
      <c r="J88" s="31" t="s">
        <v>149</v>
      </c>
      <c r="K88" s="51" t="s">
        <v>143</v>
      </c>
      <c r="L88" s="353" t="s">
        <v>94</v>
      </c>
      <c r="M88" s="29" t="s">
        <v>44</v>
      </c>
      <c r="N88" s="94">
        <v>45774</v>
      </c>
      <c r="O88" s="94">
        <v>45956</v>
      </c>
      <c r="P88" s="148">
        <v>100</v>
      </c>
      <c r="Q88" s="82"/>
      <c r="R88" s="28" t="s">
        <v>252</v>
      </c>
      <c r="S88" s="319" t="s">
        <v>184</v>
      </c>
    </row>
    <row r="89" s="30" customFormat="1" spans="1:19">
      <c r="A89" s="27">
        <v>88</v>
      </c>
      <c r="B89" s="186" t="s">
        <v>14</v>
      </c>
      <c r="C89" s="344" t="s">
        <v>54</v>
      </c>
      <c r="D89" s="346" t="s">
        <v>245</v>
      </c>
      <c r="E89" s="118" t="s">
        <v>139</v>
      </c>
      <c r="F89" s="31" t="s">
        <v>254</v>
      </c>
      <c r="G89" s="31" t="s">
        <v>141</v>
      </c>
      <c r="H89" s="31" t="s">
        <v>254</v>
      </c>
      <c r="I89" s="119"/>
      <c r="J89" s="31" t="s">
        <v>149</v>
      </c>
      <c r="K89" s="51" t="s">
        <v>143</v>
      </c>
      <c r="L89" s="353" t="s">
        <v>94</v>
      </c>
      <c r="M89" s="29" t="s">
        <v>44</v>
      </c>
      <c r="N89" s="94">
        <v>45774</v>
      </c>
      <c r="O89" s="94">
        <v>45956</v>
      </c>
      <c r="P89" s="148">
        <v>100</v>
      </c>
      <c r="Q89" s="82"/>
      <c r="R89" s="28" t="s">
        <v>252</v>
      </c>
      <c r="S89" s="319" t="s">
        <v>184</v>
      </c>
    </row>
    <row r="90" s="165" customFormat="1" spans="1:19">
      <c r="A90" s="27">
        <v>89</v>
      </c>
      <c r="B90" s="186" t="s">
        <v>14</v>
      </c>
      <c r="C90" s="344" t="s">
        <v>54</v>
      </c>
      <c r="D90" s="346" t="s">
        <v>245</v>
      </c>
      <c r="E90" s="118" t="s">
        <v>139</v>
      </c>
      <c r="F90" s="31" t="s">
        <v>255</v>
      </c>
      <c r="G90" s="31" t="s">
        <v>141</v>
      </c>
      <c r="H90" s="31" t="s">
        <v>255</v>
      </c>
      <c r="I90" s="119" t="s">
        <v>66</v>
      </c>
      <c r="J90" s="31" t="s">
        <v>149</v>
      </c>
      <c r="K90" s="51" t="s">
        <v>143</v>
      </c>
      <c r="L90" s="353" t="s">
        <v>94</v>
      </c>
      <c r="M90" s="29" t="s">
        <v>44</v>
      </c>
      <c r="N90" s="94">
        <v>45774</v>
      </c>
      <c r="O90" s="94">
        <v>45956</v>
      </c>
      <c r="P90" s="148">
        <v>100</v>
      </c>
      <c r="Q90" s="82"/>
      <c r="R90" s="28" t="s">
        <v>252</v>
      </c>
      <c r="S90" s="198" t="s">
        <v>175</v>
      </c>
    </row>
    <row r="91" s="165" customFormat="1" spans="1:19">
      <c r="A91" s="27">
        <v>90</v>
      </c>
      <c r="B91" s="186" t="s">
        <v>14</v>
      </c>
      <c r="C91" s="344" t="s">
        <v>54</v>
      </c>
      <c r="D91" s="356" t="s">
        <v>256</v>
      </c>
      <c r="E91" s="118" t="s">
        <v>139</v>
      </c>
      <c r="F91" s="31" t="s">
        <v>257</v>
      </c>
      <c r="G91" s="31" t="s">
        <v>141</v>
      </c>
      <c r="H91" s="31" t="s">
        <v>257</v>
      </c>
      <c r="I91" s="119" t="s">
        <v>66</v>
      </c>
      <c r="J91" s="31" t="s">
        <v>149</v>
      </c>
      <c r="K91" s="51" t="s">
        <v>143</v>
      </c>
      <c r="L91" s="353" t="s">
        <v>94</v>
      </c>
      <c r="M91" s="29" t="s">
        <v>44</v>
      </c>
      <c r="N91" s="94">
        <v>45774</v>
      </c>
      <c r="O91" s="94">
        <v>45956</v>
      </c>
      <c r="P91" s="148">
        <v>100</v>
      </c>
      <c r="Q91" s="82"/>
      <c r="R91" s="28" t="s">
        <v>258</v>
      </c>
      <c r="S91" s="198" t="s">
        <v>145</v>
      </c>
    </row>
    <row r="92" s="165" customFormat="1" spans="1:19">
      <c r="A92" s="27">
        <v>91</v>
      </c>
      <c r="B92" s="186" t="s">
        <v>14</v>
      </c>
      <c r="C92" s="344" t="s">
        <v>54</v>
      </c>
      <c r="D92" s="356" t="s">
        <v>259</v>
      </c>
      <c r="E92" s="118" t="s">
        <v>139</v>
      </c>
      <c r="F92" s="31" t="s">
        <v>260</v>
      </c>
      <c r="G92" s="119" t="s">
        <v>141</v>
      </c>
      <c r="H92" s="31" t="s">
        <v>260</v>
      </c>
      <c r="I92" s="119" t="s">
        <v>193</v>
      </c>
      <c r="J92" s="119" t="s">
        <v>149</v>
      </c>
      <c r="K92" s="119" t="s">
        <v>143</v>
      </c>
      <c r="L92" s="353" t="s">
        <v>94</v>
      </c>
      <c r="M92" s="29" t="s">
        <v>44</v>
      </c>
      <c r="N92" s="94">
        <v>45774</v>
      </c>
      <c r="O92" s="94">
        <v>45956</v>
      </c>
      <c r="P92" s="148">
        <v>100</v>
      </c>
      <c r="Q92" s="28"/>
      <c r="R92" s="82"/>
      <c r="S92" s="198" t="s">
        <v>145</v>
      </c>
    </row>
    <row r="93" s="165" customFormat="1" spans="1:19">
      <c r="A93" s="27">
        <v>92</v>
      </c>
      <c r="B93" s="186" t="s">
        <v>14</v>
      </c>
      <c r="C93" s="344" t="s">
        <v>54</v>
      </c>
      <c r="D93" s="356" t="s">
        <v>259</v>
      </c>
      <c r="E93" s="118" t="s">
        <v>139</v>
      </c>
      <c r="F93" s="31" t="s">
        <v>261</v>
      </c>
      <c r="G93" s="119" t="s">
        <v>141</v>
      </c>
      <c r="H93" s="31" t="s">
        <v>261</v>
      </c>
      <c r="I93" s="119" t="s">
        <v>193</v>
      </c>
      <c r="J93" s="119" t="s">
        <v>149</v>
      </c>
      <c r="K93" s="119" t="s">
        <v>143</v>
      </c>
      <c r="L93" s="353" t="s">
        <v>94</v>
      </c>
      <c r="M93" s="29" t="s">
        <v>44</v>
      </c>
      <c r="N93" s="94">
        <v>45774</v>
      </c>
      <c r="O93" s="94">
        <v>45956</v>
      </c>
      <c r="P93" s="148">
        <v>100</v>
      </c>
      <c r="Q93" s="28"/>
      <c r="R93" s="82"/>
      <c r="S93" s="198" t="s">
        <v>145</v>
      </c>
    </row>
    <row r="94" s="165" customFormat="1" spans="1:19">
      <c r="A94" s="27">
        <v>93</v>
      </c>
      <c r="B94" s="186" t="s">
        <v>14</v>
      </c>
      <c r="C94" s="344" t="s">
        <v>54</v>
      </c>
      <c r="D94" s="356" t="s">
        <v>262</v>
      </c>
      <c r="E94" s="118" t="s">
        <v>139</v>
      </c>
      <c r="F94" s="31" t="s">
        <v>42</v>
      </c>
      <c r="G94" s="31" t="s">
        <v>163</v>
      </c>
      <c r="H94" s="119" t="s">
        <v>263</v>
      </c>
      <c r="I94" s="119" t="s">
        <v>42</v>
      </c>
      <c r="J94" s="31" t="s">
        <v>264</v>
      </c>
      <c r="K94" s="31" t="s">
        <v>265</v>
      </c>
      <c r="L94" s="353" t="s">
        <v>94</v>
      </c>
      <c r="M94" s="29" t="s">
        <v>44</v>
      </c>
      <c r="N94" s="94">
        <v>45774</v>
      </c>
      <c r="O94" s="94">
        <v>45956</v>
      </c>
      <c r="P94" s="148">
        <v>100</v>
      </c>
      <c r="Q94" s="204"/>
      <c r="R94" s="82"/>
      <c r="S94" s="319" t="s">
        <v>145</v>
      </c>
    </row>
    <row r="95" s="30" customFormat="1" spans="1:19">
      <c r="A95" s="27">
        <v>94</v>
      </c>
      <c r="B95" s="186" t="s">
        <v>14</v>
      </c>
      <c r="C95" s="344" t="s">
        <v>54</v>
      </c>
      <c r="D95" s="346" t="s">
        <v>262</v>
      </c>
      <c r="E95" s="118" t="s">
        <v>139</v>
      </c>
      <c r="F95" s="31" t="s">
        <v>42</v>
      </c>
      <c r="G95" s="31" t="s">
        <v>163</v>
      </c>
      <c r="H95" s="119" t="s">
        <v>266</v>
      </c>
      <c r="I95" s="119" t="s">
        <v>42</v>
      </c>
      <c r="J95" s="31" t="s">
        <v>267</v>
      </c>
      <c r="K95" s="31" t="s">
        <v>265</v>
      </c>
      <c r="L95" s="353" t="s">
        <v>94</v>
      </c>
      <c r="M95" s="29" t="s">
        <v>44</v>
      </c>
      <c r="N95" s="94">
        <v>45774</v>
      </c>
      <c r="O95" s="94">
        <v>45956</v>
      </c>
      <c r="P95" s="148">
        <v>100</v>
      </c>
      <c r="Q95" s="82"/>
      <c r="R95" s="82"/>
      <c r="S95" s="319" t="s">
        <v>145</v>
      </c>
    </row>
    <row r="96" s="30" customFormat="1" spans="1:19">
      <c r="A96" s="27">
        <v>95</v>
      </c>
      <c r="B96" s="186" t="s">
        <v>15</v>
      </c>
      <c r="C96" s="344" t="s">
        <v>54</v>
      </c>
      <c r="D96" s="346" t="s">
        <v>171</v>
      </c>
      <c r="E96" s="118" t="s">
        <v>139</v>
      </c>
      <c r="F96" s="31" t="s">
        <v>268</v>
      </c>
      <c r="G96" s="31" t="s">
        <v>173</v>
      </c>
      <c r="H96" s="31" t="s">
        <v>268</v>
      </c>
      <c r="I96" s="119" t="s">
        <v>49</v>
      </c>
      <c r="J96" s="31" t="s">
        <v>165</v>
      </c>
      <c r="K96" s="51" t="s">
        <v>166</v>
      </c>
      <c r="L96" s="353" t="s">
        <v>94</v>
      </c>
      <c r="M96" s="29" t="s">
        <v>44</v>
      </c>
      <c r="N96" s="94">
        <v>45774</v>
      </c>
      <c r="O96" s="94">
        <v>45956</v>
      </c>
      <c r="P96" s="148">
        <v>100</v>
      </c>
      <c r="Q96" s="82"/>
      <c r="R96" s="29"/>
      <c r="S96" s="198"/>
    </row>
    <row r="97" s="30" customFormat="1" spans="1:19">
      <c r="A97" s="27">
        <v>96</v>
      </c>
      <c r="B97" s="186" t="s">
        <v>13</v>
      </c>
      <c r="C97" s="344" t="s">
        <v>37</v>
      </c>
      <c r="D97" s="173" t="s">
        <v>269</v>
      </c>
      <c r="E97" s="161" t="s">
        <v>270</v>
      </c>
      <c r="F97" s="358"/>
      <c r="G97" s="144" t="s">
        <v>271</v>
      </c>
      <c r="H97" s="358" t="s">
        <v>272</v>
      </c>
      <c r="I97" s="119"/>
      <c r="J97" s="119" t="s">
        <v>273</v>
      </c>
      <c r="K97" s="119"/>
      <c r="L97" s="119" t="s">
        <v>43</v>
      </c>
      <c r="M97" s="149" t="s">
        <v>44</v>
      </c>
      <c r="N97" s="94">
        <v>45593</v>
      </c>
      <c r="O97" s="94">
        <v>45957</v>
      </c>
      <c r="P97" s="29">
        <v>200</v>
      </c>
      <c r="Q97" s="82"/>
      <c r="R97" s="133"/>
      <c r="S97" s="82"/>
    </row>
    <row r="98" s="30" customFormat="1" spans="1:19">
      <c r="A98" s="27">
        <v>97</v>
      </c>
      <c r="B98" s="186" t="s">
        <v>13</v>
      </c>
      <c r="C98" s="344" t="s">
        <v>37</v>
      </c>
      <c r="D98" s="356" t="s">
        <v>274</v>
      </c>
      <c r="E98" s="359" t="s">
        <v>270</v>
      </c>
      <c r="F98" s="360"/>
      <c r="G98" s="361" t="s">
        <v>271</v>
      </c>
      <c r="H98" s="360" t="s">
        <v>275</v>
      </c>
      <c r="I98" s="214"/>
      <c r="J98" s="214" t="s">
        <v>273</v>
      </c>
      <c r="K98" s="214"/>
      <c r="L98" s="119" t="s">
        <v>43</v>
      </c>
      <c r="M98" s="149" t="s">
        <v>44</v>
      </c>
      <c r="N98" s="317">
        <v>45593</v>
      </c>
      <c r="O98" s="317">
        <v>45957</v>
      </c>
      <c r="P98" s="365">
        <v>200</v>
      </c>
      <c r="Q98" s="82"/>
      <c r="R98" s="82"/>
      <c r="S98" s="82"/>
    </row>
    <row r="99" s="30" customFormat="1" spans="1:19">
      <c r="A99" s="27">
        <v>98</v>
      </c>
      <c r="B99" s="186" t="s">
        <v>13</v>
      </c>
      <c r="C99" s="344" t="s">
        <v>37</v>
      </c>
      <c r="D99" s="346" t="s">
        <v>276</v>
      </c>
      <c r="E99" s="143" t="s">
        <v>270</v>
      </c>
      <c r="F99" s="358"/>
      <c r="G99" s="144" t="s">
        <v>271</v>
      </c>
      <c r="H99" s="358" t="s">
        <v>277</v>
      </c>
      <c r="I99" s="119"/>
      <c r="J99" s="119" t="s">
        <v>273</v>
      </c>
      <c r="K99" s="119"/>
      <c r="L99" s="119" t="s">
        <v>43</v>
      </c>
      <c r="M99" s="149" t="s">
        <v>44</v>
      </c>
      <c r="N99" s="317">
        <v>45593</v>
      </c>
      <c r="O99" s="94">
        <v>45957</v>
      </c>
      <c r="P99" s="148">
        <v>200</v>
      </c>
      <c r="Q99" s="82"/>
      <c r="R99" s="168"/>
      <c r="S99" s="82"/>
    </row>
    <row r="100" s="30" customFormat="1" spans="1:19">
      <c r="A100" s="27">
        <v>99</v>
      </c>
      <c r="B100" s="186" t="s">
        <v>13</v>
      </c>
      <c r="C100" s="344" t="s">
        <v>37</v>
      </c>
      <c r="D100" s="346" t="s">
        <v>278</v>
      </c>
      <c r="E100" s="362" t="s">
        <v>270</v>
      </c>
      <c r="F100" s="358"/>
      <c r="G100" s="363" t="s">
        <v>271</v>
      </c>
      <c r="H100" s="358" t="s">
        <v>279</v>
      </c>
      <c r="I100" s="119"/>
      <c r="J100" s="119" t="s">
        <v>273</v>
      </c>
      <c r="K100" s="119"/>
      <c r="L100" s="119" t="s">
        <v>43</v>
      </c>
      <c r="M100" s="149" t="s">
        <v>44</v>
      </c>
      <c r="N100" s="317">
        <v>45593</v>
      </c>
      <c r="O100" s="94">
        <v>45957</v>
      </c>
      <c r="P100" s="148">
        <v>200</v>
      </c>
      <c r="Q100" s="82"/>
      <c r="R100" s="168"/>
      <c r="S100" s="82"/>
    </row>
    <row r="101" s="30" customFormat="1" spans="1:19">
      <c r="A101" s="27">
        <v>100</v>
      </c>
      <c r="B101" s="186" t="s">
        <v>15</v>
      </c>
      <c r="C101" s="344" t="s">
        <v>37</v>
      </c>
      <c r="D101" s="346" t="s">
        <v>280</v>
      </c>
      <c r="E101" s="118" t="s">
        <v>270</v>
      </c>
      <c r="F101" s="218" t="s">
        <v>281</v>
      </c>
      <c r="G101" s="216" t="s">
        <v>271</v>
      </c>
      <c r="H101" s="218" t="s">
        <v>281</v>
      </c>
      <c r="I101" s="216" t="s">
        <v>282</v>
      </c>
      <c r="J101" s="216" t="s">
        <v>273</v>
      </c>
      <c r="K101" s="216" t="s">
        <v>283</v>
      </c>
      <c r="L101" s="119" t="s">
        <v>43</v>
      </c>
      <c r="M101" s="149" t="s">
        <v>44</v>
      </c>
      <c r="N101" s="317">
        <v>45593</v>
      </c>
      <c r="O101" s="94">
        <v>45957</v>
      </c>
      <c r="P101" s="148">
        <v>200</v>
      </c>
      <c r="Q101" s="82"/>
      <c r="R101" s="82"/>
      <c r="S101" s="82"/>
    </row>
    <row r="102" s="30" customFormat="1" spans="1:19">
      <c r="A102" s="27">
        <v>101</v>
      </c>
      <c r="B102" s="186" t="s">
        <v>15</v>
      </c>
      <c r="C102" s="344" t="s">
        <v>37</v>
      </c>
      <c r="D102" s="346" t="s">
        <v>55</v>
      </c>
      <c r="E102" s="118" t="s">
        <v>270</v>
      </c>
      <c r="F102" s="31" t="s">
        <v>284</v>
      </c>
      <c r="G102" s="119" t="s">
        <v>271</v>
      </c>
      <c r="H102" s="31" t="s">
        <v>285</v>
      </c>
      <c r="I102" s="119" t="s">
        <v>49</v>
      </c>
      <c r="J102" s="119" t="s">
        <v>273</v>
      </c>
      <c r="K102" s="119" t="s">
        <v>283</v>
      </c>
      <c r="L102" s="119" t="s">
        <v>43</v>
      </c>
      <c r="M102" s="149" t="s">
        <v>44</v>
      </c>
      <c r="N102" s="94">
        <v>45593</v>
      </c>
      <c r="O102" s="94">
        <v>45957</v>
      </c>
      <c r="P102" s="148">
        <v>200</v>
      </c>
      <c r="Q102" s="82"/>
      <c r="R102" s="82"/>
      <c r="S102" s="82"/>
    </row>
    <row r="103" s="30" customFormat="1" spans="1:19">
      <c r="A103" s="27">
        <v>102</v>
      </c>
      <c r="B103" s="186" t="s">
        <v>15</v>
      </c>
      <c r="C103" s="344" t="s">
        <v>37</v>
      </c>
      <c r="D103" s="346" t="s">
        <v>55</v>
      </c>
      <c r="E103" s="118" t="s">
        <v>270</v>
      </c>
      <c r="F103" s="358"/>
      <c r="G103" s="119" t="s">
        <v>286</v>
      </c>
      <c r="H103" s="358" t="s">
        <v>287</v>
      </c>
      <c r="I103" s="363" t="s">
        <v>288</v>
      </c>
      <c r="J103" s="363" t="s">
        <v>273</v>
      </c>
      <c r="K103" s="119" t="s">
        <v>283</v>
      </c>
      <c r="L103" s="119" t="s">
        <v>43</v>
      </c>
      <c r="M103" s="149" t="s">
        <v>44</v>
      </c>
      <c r="N103" s="94">
        <v>45593</v>
      </c>
      <c r="O103" s="94">
        <v>45957</v>
      </c>
      <c r="P103" s="148">
        <v>200</v>
      </c>
      <c r="Q103" s="82" t="s">
        <v>289</v>
      </c>
      <c r="R103" s="244"/>
      <c r="S103" s="82" t="s">
        <v>290</v>
      </c>
    </row>
    <row r="104" s="30" customFormat="1" spans="1:19">
      <c r="A104" s="27">
        <v>103</v>
      </c>
      <c r="B104" s="186" t="s">
        <v>15</v>
      </c>
      <c r="C104" s="344" t="s">
        <v>37</v>
      </c>
      <c r="D104" s="346" t="s">
        <v>55</v>
      </c>
      <c r="E104" s="362" t="s">
        <v>270</v>
      </c>
      <c r="F104" s="358"/>
      <c r="G104" s="119" t="s">
        <v>286</v>
      </c>
      <c r="H104" s="358" t="s">
        <v>291</v>
      </c>
      <c r="I104" s="363" t="s">
        <v>288</v>
      </c>
      <c r="J104" s="363" t="s">
        <v>273</v>
      </c>
      <c r="K104" s="363" t="s">
        <v>283</v>
      </c>
      <c r="L104" s="119" t="s">
        <v>43</v>
      </c>
      <c r="M104" s="149" t="s">
        <v>44</v>
      </c>
      <c r="N104" s="94">
        <v>45593</v>
      </c>
      <c r="O104" s="94">
        <v>45957</v>
      </c>
      <c r="P104" s="148">
        <v>200</v>
      </c>
      <c r="Q104" s="82" t="s">
        <v>289</v>
      </c>
      <c r="R104" s="168"/>
      <c r="S104" s="82" t="s">
        <v>290</v>
      </c>
    </row>
    <row r="105" s="30" customFormat="1" spans="1:19">
      <c r="A105" s="27">
        <v>104</v>
      </c>
      <c r="B105" s="186" t="s">
        <v>15</v>
      </c>
      <c r="C105" s="344" t="s">
        <v>37</v>
      </c>
      <c r="D105" s="346" t="s">
        <v>60</v>
      </c>
      <c r="E105" s="118" t="s">
        <v>270</v>
      </c>
      <c r="F105" s="31" t="s">
        <v>292</v>
      </c>
      <c r="G105" s="31" t="s">
        <v>293</v>
      </c>
      <c r="H105" s="31" t="s">
        <v>294</v>
      </c>
      <c r="I105" s="119" t="s">
        <v>49</v>
      </c>
      <c r="J105" s="119" t="s">
        <v>273</v>
      </c>
      <c r="K105" s="119" t="s">
        <v>283</v>
      </c>
      <c r="L105" s="119" t="s">
        <v>43</v>
      </c>
      <c r="M105" s="149" t="s">
        <v>44</v>
      </c>
      <c r="N105" s="94">
        <v>45593</v>
      </c>
      <c r="O105" s="94">
        <v>45957</v>
      </c>
      <c r="P105" s="148">
        <v>200</v>
      </c>
      <c r="Q105" s="82"/>
      <c r="R105" s="82"/>
      <c r="S105" s="82"/>
    </row>
    <row r="106" s="30" customFormat="1" spans="1:19">
      <c r="A106" s="27">
        <v>105</v>
      </c>
      <c r="B106" s="186" t="s">
        <v>15</v>
      </c>
      <c r="C106" s="344" t="s">
        <v>37</v>
      </c>
      <c r="D106" s="346" t="s">
        <v>60</v>
      </c>
      <c r="E106" s="118" t="s">
        <v>270</v>
      </c>
      <c r="F106" s="31"/>
      <c r="G106" s="119" t="s">
        <v>286</v>
      </c>
      <c r="H106" s="31" t="s">
        <v>295</v>
      </c>
      <c r="I106" s="363" t="s">
        <v>288</v>
      </c>
      <c r="J106" s="363" t="s">
        <v>273</v>
      </c>
      <c r="K106" s="119" t="s">
        <v>283</v>
      </c>
      <c r="L106" s="119" t="s">
        <v>43</v>
      </c>
      <c r="M106" s="149" t="s">
        <v>44</v>
      </c>
      <c r="N106" s="94">
        <v>45593</v>
      </c>
      <c r="O106" s="94">
        <v>45957</v>
      </c>
      <c r="P106" s="148">
        <v>200</v>
      </c>
      <c r="Q106" s="82" t="s">
        <v>289</v>
      </c>
      <c r="R106" s="82"/>
      <c r="S106" s="82"/>
    </row>
    <row r="107" s="30" customFormat="1" spans="1:19">
      <c r="A107" s="27">
        <v>106</v>
      </c>
      <c r="B107" s="186" t="s">
        <v>15</v>
      </c>
      <c r="C107" s="344" t="s">
        <v>37</v>
      </c>
      <c r="D107" s="346" t="s">
        <v>60</v>
      </c>
      <c r="E107" s="362" t="s">
        <v>270</v>
      </c>
      <c r="F107" s="358"/>
      <c r="G107" s="119" t="s">
        <v>286</v>
      </c>
      <c r="H107" s="358" t="s">
        <v>296</v>
      </c>
      <c r="I107" s="363" t="s">
        <v>288</v>
      </c>
      <c r="J107" s="363" t="s">
        <v>273</v>
      </c>
      <c r="K107" s="363" t="s">
        <v>283</v>
      </c>
      <c r="L107" s="119" t="s">
        <v>43</v>
      </c>
      <c r="M107" s="149" t="s">
        <v>44</v>
      </c>
      <c r="N107" s="366">
        <v>45593</v>
      </c>
      <c r="O107" s="94">
        <v>45957</v>
      </c>
      <c r="P107" s="148">
        <v>200</v>
      </c>
      <c r="Q107" s="82" t="s">
        <v>289</v>
      </c>
      <c r="R107" s="82"/>
      <c r="S107" s="82"/>
    </row>
    <row r="108" s="30" customFormat="1" ht="25" customHeight="1" spans="1:19">
      <c r="A108" s="27">
        <v>107</v>
      </c>
      <c r="B108" s="186" t="s">
        <v>13</v>
      </c>
      <c r="C108" s="344" t="s">
        <v>37</v>
      </c>
      <c r="D108" s="346" t="s">
        <v>297</v>
      </c>
      <c r="E108" s="364" t="s">
        <v>270</v>
      </c>
      <c r="F108" s="358"/>
      <c r="G108" s="363" t="s">
        <v>271</v>
      </c>
      <c r="H108" s="358" t="s">
        <v>298</v>
      </c>
      <c r="I108" s="363" t="s">
        <v>299</v>
      </c>
      <c r="J108" s="363" t="s">
        <v>273</v>
      </c>
      <c r="K108" s="363" t="s">
        <v>283</v>
      </c>
      <c r="L108" s="119" t="s">
        <v>43</v>
      </c>
      <c r="M108" s="149" t="s">
        <v>44</v>
      </c>
      <c r="N108" s="94">
        <v>45593</v>
      </c>
      <c r="O108" s="152">
        <v>45957</v>
      </c>
      <c r="P108" s="148">
        <v>200</v>
      </c>
      <c r="Q108" s="82" t="s">
        <v>289</v>
      </c>
      <c r="R108" s="82"/>
      <c r="S108" s="82"/>
    </row>
    <row r="109" s="168" customFormat="1" ht="25" customHeight="1" spans="1:20">
      <c r="A109" s="27">
        <v>108</v>
      </c>
      <c r="B109" s="186" t="s">
        <v>13</v>
      </c>
      <c r="C109" s="344" t="s">
        <v>37</v>
      </c>
      <c r="D109" s="346" t="s">
        <v>101</v>
      </c>
      <c r="E109" s="143" t="s">
        <v>270</v>
      </c>
      <c r="F109" s="31" t="s">
        <v>300</v>
      </c>
      <c r="G109" s="144" t="s">
        <v>271</v>
      </c>
      <c r="H109" s="358" t="s">
        <v>301</v>
      </c>
      <c r="I109" s="119" t="s">
        <v>193</v>
      </c>
      <c r="J109" s="119" t="s">
        <v>273</v>
      </c>
      <c r="K109" s="119" t="s">
        <v>283</v>
      </c>
      <c r="L109" s="119" t="s">
        <v>43</v>
      </c>
      <c r="M109" s="149" t="s">
        <v>44</v>
      </c>
      <c r="N109" s="94">
        <v>45593</v>
      </c>
      <c r="O109" s="152">
        <v>45957</v>
      </c>
      <c r="P109" s="148">
        <v>200</v>
      </c>
      <c r="Q109" s="82"/>
      <c r="R109" s="82" t="s">
        <v>302</v>
      </c>
      <c r="S109" s="144" t="s">
        <v>303</v>
      </c>
      <c r="T109" s="324"/>
    </row>
    <row r="110" s="168" customFormat="1" ht="25" customHeight="1" spans="1:20">
      <c r="A110" s="27">
        <v>109</v>
      </c>
      <c r="B110" s="186" t="s">
        <v>13</v>
      </c>
      <c r="C110" s="344" t="s">
        <v>37</v>
      </c>
      <c r="D110" s="346" t="s">
        <v>304</v>
      </c>
      <c r="E110" s="362" t="s">
        <v>270</v>
      </c>
      <c r="F110" s="358" t="s">
        <v>305</v>
      </c>
      <c r="G110" s="363" t="s">
        <v>271</v>
      </c>
      <c r="H110" s="358" t="s">
        <v>306</v>
      </c>
      <c r="I110" s="119" t="s">
        <v>193</v>
      </c>
      <c r="J110" s="119" t="s">
        <v>273</v>
      </c>
      <c r="K110" s="119" t="s">
        <v>283</v>
      </c>
      <c r="L110" s="119" t="s">
        <v>43</v>
      </c>
      <c r="M110" s="149" t="s">
        <v>44</v>
      </c>
      <c r="N110" s="94">
        <v>45593</v>
      </c>
      <c r="O110" s="152">
        <v>45957</v>
      </c>
      <c r="P110" s="148">
        <v>200</v>
      </c>
      <c r="Q110" s="82"/>
      <c r="R110" s="82"/>
      <c r="S110" s="82"/>
      <c r="T110" s="324"/>
    </row>
    <row r="111" s="168" customFormat="1" ht="25" customHeight="1" spans="1:20">
      <c r="A111" s="27">
        <v>110</v>
      </c>
      <c r="B111" s="186" t="s">
        <v>13</v>
      </c>
      <c r="C111" s="344" t="s">
        <v>37</v>
      </c>
      <c r="D111" s="346" t="s">
        <v>307</v>
      </c>
      <c r="E111" s="143" t="s">
        <v>270</v>
      </c>
      <c r="F111" s="358"/>
      <c r="G111" s="119" t="s">
        <v>286</v>
      </c>
      <c r="H111" s="358" t="s">
        <v>308</v>
      </c>
      <c r="I111" s="119"/>
      <c r="J111" s="119" t="s">
        <v>273</v>
      </c>
      <c r="K111" s="119" t="s">
        <v>283</v>
      </c>
      <c r="L111" s="119" t="s">
        <v>43</v>
      </c>
      <c r="M111" s="149" t="s">
        <v>44</v>
      </c>
      <c r="N111" s="94">
        <v>45593</v>
      </c>
      <c r="O111" s="152">
        <v>45957</v>
      </c>
      <c r="P111" s="148">
        <v>200</v>
      </c>
      <c r="Q111" s="82"/>
      <c r="R111" s="82"/>
      <c r="S111" s="82"/>
      <c r="T111" s="324"/>
    </row>
    <row r="112" s="30" customFormat="1" ht="25" customHeight="1" spans="1:19">
      <c r="A112" s="27">
        <v>111</v>
      </c>
      <c r="B112" s="186" t="s">
        <v>13</v>
      </c>
      <c r="C112" s="344" t="s">
        <v>37</v>
      </c>
      <c r="D112" s="346" t="s">
        <v>309</v>
      </c>
      <c r="E112" s="362" t="s">
        <v>270</v>
      </c>
      <c r="F112" s="358"/>
      <c r="G112" s="119" t="s">
        <v>286</v>
      </c>
      <c r="H112" s="358" t="s">
        <v>310</v>
      </c>
      <c r="I112" s="119"/>
      <c r="J112" s="119" t="s">
        <v>273</v>
      </c>
      <c r="K112" s="119" t="s">
        <v>283</v>
      </c>
      <c r="L112" s="119" t="s">
        <v>43</v>
      </c>
      <c r="M112" s="149" t="s">
        <v>44</v>
      </c>
      <c r="N112" s="94">
        <v>45593</v>
      </c>
      <c r="O112" s="94">
        <v>45957</v>
      </c>
      <c r="P112" s="148">
        <v>200</v>
      </c>
      <c r="Q112" s="82"/>
      <c r="R112" s="168"/>
      <c r="S112" s="82" t="s">
        <v>290</v>
      </c>
    </row>
    <row r="113" s="30" customFormat="1" ht="25" customHeight="1" spans="1:19">
      <c r="A113" s="27">
        <v>112</v>
      </c>
      <c r="B113" s="186" t="s">
        <v>13</v>
      </c>
      <c r="C113" s="344" t="s">
        <v>37</v>
      </c>
      <c r="D113" s="346" t="s">
        <v>311</v>
      </c>
      <c r="E113" s="143" t="s">
        <v>270</v>
      </c>
      <c r="F113" s="31" t="s">
        <v>312</v>
      </c>
      <c r="G113" s="144" t="s">
        <v>271</v>
      </c>
      <c r="H113" s="144" t="s">
        <v>313</v>
      </c>
      <c r="I113" s="119" t="s">
        <v>193</v>
      </c>
      <c r="J113" s="119" t="s">
        <v>273</v>
      </c>
      <c r="K113" s="119" t="s">
        <v>283</v>
      </c>
      <c r="L113" s="119" t="s">
        <v>43</v>
      </c>
      <c r="M113" s="149" t="s">
        <v>44</v>
      </c>
      <c r="N113" s="94">
        <v>45593</v>
      </c>
      <c r="O113" s="94">
        <v>45957</v>
      </c>
      <c r="P113" s="148">
        <v>200</v>
      </c>
      <c r="Q113" s="82"/>
      <c r="R113" s="168"/>
      <c r="S113" s="82" t="s">
        <v>290</v>
      </c>
    </row>
    <row r="114" s="30" customFormat="1" ht="25" customHeight="1" spans="1:19">
      <c r="A114" s="27">
        <v>113</v>
      </c>
      <c r="B114" s="186" t="s">
        <v>13</v>
      </c>
      <c r="C114" s="344" t="s">
        <v>37</v>
      </c>
      <c r="D114" s="346" t="s">
        <v>107</v>
      </c>
      <c r="E114" s="362" t="s">
        <v>270</v>
      </c>
      <c r="F114" s="358" t="s">
        <v>314</v>
      </c>
      <c r="G114" s="363" t="s">
        <v>271</v>
      </c>
      <c r="H114" s="358" t="s">
        <v>315</v>
      </c>
      <c r="I114" s="119" t="s">
        <v>193</v>
      </c>
      <c r="J114" s="119" t="s">
        <v>273</v>
      </c>
      <c r="K114" s="119" t="s">
        <v>283</v>
      </c>
      <c r="L114" s="119" t="s">
        <v>43</v>
      </c>
      <c r="M114" s="149" t="s">
        <v>44</v>
      </c>
      <c r="N114" s="94">
        <v>45593</v>
      </c>
      <c r="O114" s="94">
        <v>45957</v>
      </c>
      <c r="P114" s="148">
        <v>200</v>
      </c>
      <c r="Q114" s="82"/>
      <c r="R114" s="168"/>
      <c r="S114" s="82"/>
    </row>
    <row r="115" s="30" customFormat="1" ht="25" customHeight="1" spans="1:19">
      <c r="A115" s="27">
        <v>114</v>
      </c>
      <c r="B115" s="186" t="s">
        <v>14</v>
      </c>
      <c r="C115" s="344" t="s">
        <v>37</v>
      </c>
      <c r="D115" s="346" t="s">
        <v>316</v>
      </c>
      <c r="E115" s="118" t="s">
        <v>270</v>
      </c>
      <c r="F115" s="358"/>
      <c r="G115" s="119" t="s">
        <v>271</v>
      </c>
      <c r="H115" s="358" t="s">
        <v>317</v>
      </c>
      <c r="I115" s="363" t="s">
        <v>299</v>
      </c>
      <c r="J115" s="119" t="s">
        <v>273</v>
      </c>
      <c r="K115" s="119" t="s">
        <v>283</v>
      </c>
      <c r="L115" s="119" t="s">
        <v>43</v>
      </c>
      <c r="M115" s="149" t="s">
        <v>44</v>
      </c>
      <c r="N115" s="94">
        <v>45593</v>
      </c>
      <c r="O115" s="94">
        <v>45957</v>
      </c>
      <c r="P115" s="148">
        <v>200</v>
      </c>
      <c r="Q115" s="82" t="s">
        <v>289</v>
      </c>
      <c r="R115" s="168"/>
      <c r="S115" s="82"/>
    </row>
    <row r="116" s="30" customFormat="1" spans="1:19">
      <c r="A116" s="27">
        <v>115</v>
      </c>
      <c r="B116" s="186" t="s">
        <v>14</v>
      </c>
      <c r="C116" s="344" t="s">
        <v>37</v>
      </c>
      <c r="D116" s="346" t="s">
        <v>63</v>
      </c>
      <c r="E116" s="362" t="s">
        <v>270</v>
      </c>
      <c r="F116" s="358" t="s">
        <v>318</v>
      </c>
      <c r="G116" s="363" t="s">
        <v>271</v>
      </c>
      <c r="H116" s="358" t="s">
        <v>319</v>
      </c>
      <c r="I116" s="119" t="s">
        <v>66</v>
      </c>
      <c r="J116" s="119" t="s">
        <v>273</v>
      </c>
      <c r="K116" s="119" t="s">
        <v>283</v>
      </c>
      <c r="L116" s="119" t="s">
        <v>43</v>
      </c>
      <c r="M116" s="149" t="s">
        <v>44</v>
      </c>
      <c r="N116" s="94">
        <v>45593</v>
      </c>
      <c r="O116" s="94">
        <v>45957</v>
      </c>
      <c r="P116" s="148">
        <v>200</v>
      </c>
      <c r="Q116" s="168" t="s">
        <v>320</v>
      </c>
      <c r="R116" s="168"/>
      <c r="S116" s="82"/>
    </row>
    <row r="117" s="30" customFormat="1" ht="19" customHeight="1" spans="1:19">
      <c r="A117" s="27">
        <v>116</v>
      </c>
      <c r="B117" s="186" t="s">
        <v>14</v>
      </c>
      <c r="C117" s="344" t="s">
        <v>37</v>
      </c>
      <c r="D117" s="346" t="s">
        <v>63</v>
      </c>
      <c r="E117" s="362" t="s">
        <v>270</v>
      </c>
      <c r="F117" s="358"/>
      <c r="G117" s="119" t="s">
        <v>286</v>
      </c>
      <c r="H117" s="358" t="s">
        <v>321</v>
      </c>
      <c r="I117" s="119" t="s">
        <v>322</v>
      </c>
      <c r="J117" s="119" t="s">
        <v>273</v>
      </c>
      <c r="K117" s="119" t="s">
        <v>283</v>
      </c>
      <c r="L117" s="119" t="s">
        <v>43</v>
      </c>
      <c r="M117" s="149" t="s">
        <v>44</v>
      </c>
      <c r="N117" s="94">
        <v>45593</v>
      </c>
      <c r="O117" s="94">
        <v>45957</v>
      </c>
      <c r="P117" s="148">
        <v>200</v>
      </c>
      <c r="Q117" s="168" t="s">
        <v>323</v>
      </c>
      <c r="R117" s="168"/>
      <c r="S117" s="82" t="s">
        <v>290</v>
      </c>
    </row>
    <row r="118" s="30" customFormat="1" ht="19" customHeight="1" spans="1:19">
      <c r="A118" s="27">
        <v>117</v>
      </c>
      <c r="B118" s="186" t="s">
        <v>14</v>
      </c>
      <c r="C118" s="344" t="s">
        <v>37</v>
      </c>
      <c r="D118" s="346" t="s">
        <v>63</v>
      </c>
      <c r="E118" s="362" t="s">
        <v>270</v>
      </c>
      <c r="F118" s="358"/>
      <c r="G118" s="119" t="s">
        <v>286</v>
      </c>
      <c r="H118" s="358" t="s">
        <v>324</v>
      </c>
      <c r="I118" s="119" t="s">
        <v>322</v>
      </c>
      <c r="J118" s="119" t="s">
        <v>273</v>
      </c>
      <c r="K118" s="119" t="s">
        <v>283</v>
      </c>
      <c r="L118" s="119" t="s">
        <v>43</v>
      </c>
      <c r="M118" s="149" t="s">
        <v>44</v>
      </c>
      <c r="N118" s="94">
        <v>45593</v>
      </c>
      <c r="O118" s="94">
        <v>45957</v>
      </c>
      <c r="P118" s="148">
        <v>200</v>
      </c>
      <c r="Q118" s="168" t="s">
        <v>325</v>
      </c>
      <c r="R118" s="168"/>
      <c r="S118" s="82" t="s">
        <v>290</v>
      </c>
    </row>
    <row r="119" s="30" customFormat="1" ht="19" customHeight="1" spans="1:19">
      <c r="A119" s="27">
        <v>118</v>
      </c>
      <c r="B119" s="186" t="s">
        <v>14</v>
      </c>
      <c r="C119" s="344" t="s">
        <v>37</v>
      </c>
      <c r="D119" s="346" t="s">
        <v>67</v>
      </c>
      <c r="E119" s="362" t="s">
        <v>270</v>
      </c>
      <c r="F119" s="358" t="s">
        <v>326</v>
      </c>
      <c r="G119" s="363" t="s">
        <v>271</v>
      </c>
      <c r="H119" s="358" t="s">
        <v>327</v>
      </c>
      <c r="I119" s="119" t="s">
        <v>66</v>
      </c>
      <c r="J119" s="119" t="s">
        <v>273</v>
      </c>
      <c r="K119" s="119" t="s">
        <v>283</v>
      </c>
      <c r="L119" s="119" t="s">
        <v>43</v>
      </c>
      <c r="M119" s="149" t="s">
        <v>44</v>
      </c>
      <c r="N119" s="94">
        <v>45593</v>
      </c>
      <c r="O119" s="94">
        <v>45957</v>
      </c>
      <c r="P119" s="148">
        <v>200</v>
      </c>
      <c r="Q119" s="168" t="s">
        <v>320</v>
      </c>
      <c r="R119" s="168"/>
      <c r="S119" s="82"/>
    </row>
    <row r="120" s="30" customFormat="1" ht="19" customHeight="1" spans="1:19">
      <c r="A120" s="27">
        <v>119</v>
      </c>
      <c r="B120" s="186" t="s">
        <v>14</v>
      </c>
      <c r="C120" s="344" t="s">
        <v>37</v>
      </c>
      <c r="D120" s="346" t="s">
        <v>67</v>
      </c>
      <c r="E120" s="362" t="s">
        <v>270</v>
      </c>
      <c r="F120" s="358"/>
      <c r="G120" s="119" t="s">
        <v>286</v>
      </c>
      <c r="H120" s="358" t="s">
        <v>328</v>
      </c>
      <c r="I120" s="119" t="s">
        <v>322</v>
      </c>
      <c r="J120" s="119" t="s">
        <v>273</v>
      </c>
      <c r="K120" s="119" t="s">
        <v>283</v>
      </c>
      <c r="L120" s="119" t="s">
        <v>43</v>
      </c>
      <c r="M120" s="149" t="s">
        <v>44</v>
      </c>
      <c r="N120" s="94">
        <v>45593</v>
      </c>
      <c r="O120" s="94">
        <v>45957</v>
      </c>
      <c r="P120" s="148">
        <v>200</v>
      </c>
      <c r="Q120" s="168" t="s">
        <v>325</v>
      </c>
      <c r="R120" s="168"/>
      <c r="S120" s="82" t="s">
        <v>290</v>
      </c>
    </row>
    <row r="121" s="30" customFormat="1" ht="19" customHeight="1" spans="1:19">
      <c r="A121" s="27">
        <v>120</v>
      </c>
      <c r="B121" s="186" t="s">
        <v>14</v>
      </c>
      <c r="C121" s="344" t="s">
        <v>37</v>
      </c>
      <c r="D121" s="346" t="s">
        <v>67</v>
      </c>
      <c r="E121" s="362" t="s">
        <v>270</v>
      </c>
      <c r="F121" s="358"/>
      <c r="G121" s="119" t="s">
        <v>286</v>
      </c>
      <c r="H121" s="358" t="s">
        <v>329</v>
      </c>
      <c r="I121" s="119" t="s">
        <v>322</v>
      </c>
      <c r="J121" s="119" t="s">
        <v>273</v>
      </c>
      <c r="K121" s="119" t="s">
        <v>283</v>
      </c>
      <c r="L121" s="119" t="s">
        <v>43</v>
      </c>
      <c r="M121" s="149" t="s">
        <v>44</v>
      </c>
      <c r="N121" s="94">
        <v>45593</v>
      </c>
      <c r="O121" s="94">
        <v>45957</v>
      </c>
      <c r="P121" s="148">
        <v>200</v>
      </c>
      <c r="Q121" s="168" t="s">
        <v>323</v>
      </c>
      <c r="R121" s="168"/>
      <c r="S121" s="82" t="s">
        <v>290</v>
      </c>
    </row>
    <row r="122" s="30" customFormat="1" ht="19" customHeight="1" spans="1:19">
      <c r="A122" s="27">
        <v>121</v>
      </c>
      <c r="B122" s="186" t="s">
        <v>14</v>
      </c>
      <c r="C122" s="344" t="s">
        <v>37</v>
      </c>
      <c r="D122" s="346" t="s">
        <v>330</v>
      </c>
      <c r="E122" s="118" t="s">
        <v>270</v>
      </c>
      <c r="F122" s="31" t="s">
        <v>331</v>
      </c>
      <c r="G122" s="144" t="s">
        <v>271</v>
      </c>
      <c r="H122" s="144" t="s">
        <v>332</v>
      </c>
      <c r="I122" s="119" t="s">
        <v>193</v>
      </c>
      <c r="J122" s="119" t="s">
        <v>273</v>
      </c>
      <c r="K122" s="119" t="s">
        <v>283</v>
      </c>
      <c r="L122" s="119" t="s">
        <v>43</v>
      </c>
      <c r="M122" s="149" t="s">
        <v>44</v>
      </c>
      <c r="N122" s="94">
        <v>45593</v>
      </c>
      <c r="O122" s="94">
        <v>45957</v>
      </c>
      <c r="P122" s="148">
        <v>200</v>
      </c>
      <c r="Q122" s="82"/>
      <c r="R122" s="82"/>
      <c r="S122" s="82"/>
    </row>
    <row r="123" s="30" customFormat="1" ht="19" customHeight="1" spans="1:19">
      <c r="A123" s="27">
        <v>122</v>
      </c>
      <c r="B123" s="186" t="s">
        <v>16</v>
      </c>
      <c r="C123" s="344" t="s">
        <v>37</v>
      </c>
      <c r="D123" s="345" t="s">
        <v>333</v>
      </c>
      <c r="E123" s="118" t="s">
        <v>334</v>
      </c>
      <c r="F123" s="31" t="s">
        <v>335</v>
      </c>
      <c r="G123" s="29" t="s">
        <v>336</v>
      </c>
      <c r="H123" s="29" t="s">
        <v>337</v>
      </c>
      <c r="I123" s="119">
        <v>20100304</v>
      </c>
      <c r="J123" s="119" t="s">
        <v>338</v>
      </c>
      <c r="K123" s="140" t="s">
        <v>339</v>
      </c>
      <c r="L123" s="119" t="s">
        <v>43</v>
      </c>
      <c r="M123" s="29" t="s">
        <v>44</v>
      </c>
      <c r="N123" s="94">
        <v>45644</v>
      </c>
      <c r="O123" s="180">
        <v>46008</v>
      </c>
      <c r="P123" s="148">
        <v>400</v>
      </c>
      <c r="Q123" s="367" t="s">
        <v>340</v>
      </c>
      <c r="R123" s="82"/>
      <c r="S123" s="82"/>
    </row>
    <row r="124" s="30" customFormat="1" ht="19" customHeight="1" spans="1:19">
      <c r="A124" s="27">
        <v>123</v>
      </c>
      <c r="B124" s="186" t="s">
        <v>16</v>
      </c>
      <c r="C124" s="344" t="s">
        <v>37</v>
      </c>
      <c r="D124" s="345" t="s">
        <v>341</v>
      </c>
      <c r="E124" s="118" t="s">
        <v>334</v>
      </c>
      <c r="F124" s="31" t="s">
        <v>342</v>
      </c>
      <c r="G124" s="29" t="s">
        <v>343</v>
      </c>
      <c r="H124" s="375" t="s">
        <v>344</v>
      </c>
      <c r="I124" s="119">
        <v>20100304</v>
      </c>
      <c r="J124" s="119" t="s">
        <v>345</v>
      </c>
      <c r="K124" s="140" t="s">
        <v>339</v>
      </c>
      <c r="L124" s="119" t="s">
        <v>43</v>
      </c>
      <c r="M124" s="29" t="s">
        <v>44</v>
      </c>
      <c r="N124" s="94">
        <v>45644</v>
      </c>
      <c r="O124" s="180">
        <v>46008</v>
      </c>
      <c r="P124" s="148">
        <v>400</v>
      </c>
      <c r="Q124" s="367" t="s">
        <v>340</v>
      </c>
      <c r="R124" s="82"/>
      <c r="S124" s="82"/>
    </row>
    <row r="125" s="30" customFormat="1" ht="19" customHeight="1" spans="1:19">
      <c r="A125" s="27">
        <v>124</v>
      </c>
      <c r="B125" s="186" t="s">
        <v>16</v>
      </c>
      <c r="C125" s="344" t="s">
        <v>37</v>
      </c>
      <c r="D125" s="345" t="s">
        <v>346</v>
      </c>
      <c r="E125" s="118" t="s">
        <v>334</v>
      </c>
      <c r="F125" s="31" t="s">
        <v>347</v>
      </c>
      <c r="G125" s="29" t="s">
        <v>343</v>
      </c>
      <c r="H125" s="29" t="s">
        <v>348</v>
      </c>
      <c r="I125" s="119">
        <v>20100304</v>
      </c>
      <c r="J125" s="119" t="s">
        <v>345</v>
      </c>
      <c r="K125" s="140" t="s">
        <v>339</v>
      </c>
      <c r="L125" s="119" t="s">
        <v>43</v>
      </c>
      <c r="M125" s="29" t="s">
        <v>44</v>
      </c>
      <c r="N125" s="94">
        <v>45644</v>
      </c>
      <c r="O125" s="180">
        <v>46008</v>
      </c>
      <c r="P125" s="148">
        <v>400</v>
      </c>
      <c r="Q125" s="367" t="s">
        <v>340</v>
      </c>
      <c r="R125" s="82"/>
      <c r="S125" s="82"/>
    </row>
    <row r="126" s="30" customFormat="1" ht="19" customHeight="1" spans="1:19">
      <c r="A126" s="27">
        <v>125</v>
      </c>
      <c r="B126" s="186" t="s">
        <v>16</v>
      </c>
      <c r="C126" s="344" t="s">
        <v>37</v>
      </c>
      <c r="D126" s="345" t="s">
        <v>349</v>
      </c>
      <c r="E126" s="118" t="s">
        <v>334</v>
      </c>
      <c r="F126" s="31" t="s">
        <v>350</v>
      </c>
      <c r="G126" s="29" t="s">
        <v>343</v>
      </c>
      <c r="H126" s="29">
        <v>201708046</v>
      </c>
      <c r="I126" s="119">
        <v>20100304</v>
      </c>
      <c r="J126" s="119" t="s">
        <v>345</v>
      </c>
      <c r="K126" s="140" t="s">
        <v>339</v>
      </c>
      <c r="L126" s="119" t="s">
        <v>43</v>
      </c>
      <c r="M126" s="29" t="s">
        <v>44</v>
      </c>
      <c r="N126" s="94">
        <v>45644</v>
      </c>
      <c r="O126" s="180">
        <v>46008</v>
      </c>
      <c r="P126" s="148">
        <v>400</v>
      </c>
      <c r="Q126" s="367" t="s">
        <v>340</v>
      </c>
      <c r="R126" s="82"/>
      <c r="S126" s="82"/>
    </row>
    <row r="127" s="30" customFormat="1" ht="19" customHeight="1" spans="1:19">
      <c r="A127" s="27">
        <v>126</v>
      </c>
      <c r="B127" s="186" t="s">
        <v>16</v>
      </c>
      <c r="C127" s="344" t="s">
        <v>37</v>
      </c>
      <c r="D127" s="346" t="s">
        <v>38</v>
      </c>
      <c r="E127" s="118" t="s">
        <v>351</v>
      </c>
      <c r="F127" s="31" t="s">
        <v>352</v>
      </c>
      <c r="G127" s="119" t="s">
        <v>353</v>
      </c>
      <c r="H127" s="31" t="s">
        <v>354</v>
      </c>
      <c r="I127" s="119" t="s">
        <v>49</v>
      </c>
      <c r="J127" s="31" t="s">
        <v>42</v>
      </c>
      <c r="K127" s="31" t="s">
        <v>42</v>
      </c>
      <c r="L127" s="119" t="s">
        <v>43</v>
      </c>
      <c r="M127" s="149" t="s">
        <v>44</v>
      </c>
      <c r="N127" s="94">
        <v>45707</v>
      </c>
      <c r="O127" s="94">
        <v>46071</v>
      </c>
      <c r="P127" s="148">
        <v>500</v>
      </c>
      <c r="Q127" s="82"/>
      <c r="R127" s="82"/>
      <c r="S127" s="82"/>
    </row>
    <row r="128" s="30" customFormat="1" ht="19" customHeight="1" spans="1:19">
      <c r="A128" s="27">
        <v>127</v>
      </c>
      <c r="B128" s="186" t="s">
        <v>15</v>
      </c>
      <c r="C128" s="344" t="s">
        <v>37</v>
      </c>
      <c r="D128" s="346" t="s">
        <v>280</v>
      </c>
      <c r="E128" s="118" t="s">
        <v>270</v>
      </c>
      <c r="F128" s="31" t="s">
        <v>42</v>
      </c>
      <c r="G128" s="31" t="s">
        <v>293</v>
      </c>
      <c r="H128" s="31" t="s">
        <v>355</v>
      </c>
      <c r="I128" s="119" t="s">
        <v>356</v>
      </c>
      <c r="J128" s="216" t="s">
        <v>273</v>
      </c>
      <c r="K128" s="216" t="s">
        <v>283</v>
      </c>
      <c r="L128" s="119" t="s">
        <v>43</v>
      </c>
      <c r="M128" s="149" t="s">
        <v>44</v>
      </c>
      <c r="N128" s="94">
        <v>45749</v>
      </c>
      <c r="O128" s="94">
        <v>46113</v>
      </c>
      <c r="P128" s="148">
        <v>200</v>
      </c>
      <c r="Q128" s="82" t="s">
        <v>357</v>
      </c>
      <c r="R128" s="82"/>
      <c r="S128" s="82"/>
    </row>
    <row r="129" s="30" customFormat="1" ht="19" customHeight="1" spans="1:19">
      <c r="A129" s="27">
        <v>128</v>
      </c>
      <c r="B129" s="186" t="s">
        <v>17</v>
      </c>
      <c r="C129" s="344" t="s">
        <v>37</v>
      </c>
      <c r="D129" s="346" t="s">
        <v>17</v>
      </c>
      <c r="E129" s="143" t="s">
        <v>358</v>
      </c>
      <c r="F129" s="31"/>
      <c r="G129" s="144" t="s">
        <v>359</v>
      </c>
      <c r="H129" s="119" t="s">
        <v>360</v>
      </c>
      <c r="I129" s="119"/>
      <c r="J129" s="31"/>
      <c r="K129" s="31"/>
      <c r="L129" s="119" t="s">
        <v>43</v>
      </c>
      <c r="M129" s="149" t="s">
        <v>44</v>
      </c>
      <c r="N129" s="177">
        <v>45757</v>
      </c>
      <c r="O129" s="94">
        <v>46121</v>
      </c>
      <c r="P129" s="369"/>
      <c r="Q129" s="372" t="s">
        <v>361</v>
      </c>
      <c r="R129" s="82"/>
      <c r="S129" s="82"/>
    </row>
    <row r="130" s="30" customFormat="1" ht="18" customHeight="1" spans="1:19">
      <c r="A130" s="27">
        <v>129</v>
      </c>
      <c r="B130" s="186" t="s">
        <v>17</v>
      </c>
      <c r="C130" s="344" t="s">
        <v>37</v>
      </c>
      <c r="D130" s="173" t="s">
        <v>17</v>
      </c>
      <c r="E130" s="161" t="s">
        <v>362</v>
      </c>
      <c r="F130" s="31"/>
      <c r="G130" s="144" t="s">
        <v>363</v>
      </c>
      <c r="H130" s="119" t="s">
        <v>364</v>
      </c>
      <c r="I130" s="119"/>
      <c r="J130" s="31"/>
      <c r="K130" s="31"/>
      <c r="L130" s="119" t="s">
        <v>43</v>
      </c>
      <c r="M130" s="29" t="s">
        <v>365</v>
      </c>
      <c r="N130" s="177">
        <v>45757</v>
      </c>
      <c r="O130" s="94">
        <v>46121</v>
      </c>
      <c r="P130" s="369"/>
      <c r="Q130" s="29" t="s">
        <v>366</v>
      </c>
      <c r="R130" s="82"/>
      <c r="S130" s="82"/>
    </row>
    <row r="131" s="30" customFormat="1" ht="21" customHeight="1" spans="1:19">
      <c r="A131" s="27">
        <v>130</v>
      </c>
      <c r="B131" s="186" t="s">
        <v>17</v>
      </c>
      <c r="C131" s="344" t="s">
        <v>37</v>
      </c>
      <c r="D131" s="173" t="s">
        <v>17</v>
      </c>
      <c r="E131" s="161" t="s">
        <v>362</v>
      </c>
      <c r="F131" s="31"/>
      <c r="G131" s="144" t="s">
        <v>363</v>
      </c>
      <c r="H131" s="119" t="s">
        <v>364</v>
      </c>
      <c r="I131" s="119"/>
      <c r="J131" s="31"/>
      <c r="K131" s="31"/>
      <c r="L131" s="119" t="s">
        <v>43</v>
      </c>
      <c r="M131" s="29" t="s">
        <v>365</v>
      </c>
      <c r="N131" s="177">
        <v>45757</v>
      </c>
      <c r="O131" s="94">
        <v>46121</v>
      </c>
      <c r="P131" s="369"/>
      <c r="Q131" s="29" t="s">
        <v>366</v>
      </c>
      <c r="R131" s="82"/>
      <c r="S131" s="82"/>
    </row>
    <row r="132" s="30" customFormat="1" ht="21" customHeight="1" spans="1:19">
      <c r="A132" s="27">
        <v>131</v>
      </c>
      <c r="B132" s="186" t="s">
        <v>17</v>
      </c>
      <c r="C132" s="344" t="s">
        <v>54</v>
      </c>
      <c r="D132" s="173" t="s">
        <v>17</v>
      </c>
      <c r="E132" s="161" t="s">
        <v>367</v>
      </c>
      <c r="F132" s="31"/>
      <c r="G132" s="144" t="s">
        <v>368</v>
      </c>
      <c r="H132" s="119" t="s">
        <v>369</v>
      </c>
      <c r="I132" s="119"/>
      <c r="J132" s="31"/>
      <c r="K132" s="31"/>
      <c r="L132" s="119" t="s">
        <v>43</v>
      </c>
      <c r="M132" s="29" t="s">
        <v>365</v>
      </c>
      <c r="N132" s="177">
        <v>45757</v>
      </c>
      <c r="O132" s="94">
        <v>46121</v>
      </c>
      <c r="P132" s="369"/>
      <c r="Q132" s="29" t="s">
        <v>366</v>
      </c>
      <c r="R132" s="82"/>
      <c r="S132" s="82"/>
    </row>
    <row r="133" s="30" customFormat="1" ht="21" customHeight="1" spans="1:19">
      <c r="A133" s="27">
        <v>132</v>
      </c>
      <c r="B133" s="186" t="s">
        <v>16</v>
      </c>
      <c r="C133" s="344" t="s">
        <v>37</v>
      </c>
      <c r="D133" s="118" t="s">
        <v>75</v>
      </c>
      <c r="E133" s="29" t="s">
        <v>370</v>
      </c>
      <c r="F133" s="29" t="s">
        <v>371</v>
      </c>
      <c r="G133" s="29" t="s">
        <v>122</v>
      </c>
      <c r="H133" s="375" t="s">
        <v>372</v>
      </c>
      <c r="I133" s="94">
        <v>40452</v>
      </c>
      <c r="J133" s="29" t="s">
        <v>42</v>
      </c>
      <c r="K133" s="29" t="s">
        <v>42</v>
      </c>
      <c r="L133" s="119" t="s">
        <v>43</v>
      </c>
      <c r="M133" s="82" t="s">
        <v>79</v>
      </c>
      <c r="N133" s="94">
        <v>45762</v>
      </c>
      <c r="O133" s="94">
        <v>46126</v>
      </c>
      <c r="P133" s="148">
        <v>300</v>
      </c>
      <c r="Q133" s="82"/>
      <c r="R133" s="82"/>
      <c r="S133" s="82"/>
    </row>
    <row r="134" s="30" customFormat="1" ht="21" customHeight="1" spans="1:19">
      <c r="A134" s="27">
        <v>133</v>
      </c>
      <c r="B134" s="186" t="s">
        <v>16</v>
      </c>
      <c r="C134" s="344" t="s">
        <v>37</v>
      </c>
      <c r="D134" s="118" t="s">
        <v>75</v>
      </c>
      <c r="E134" s="118" t="s">
        <v>373</v>
      </c>
      <c r="F134" s="29" t="s">
        <v>374</v>
      </c>
      <c r="G134" s="29" t="s">
        <v>122</v>
      </c>
      <c r="H134" s="375" t="s">
        <v>375</v>
      </c>
      <c r="I134" s="94">
        <v>40452</v>
      </c>
      <c r="J134" s="29" t="s">
        <v>42</v>
      </c>
      <c r="K134" s="29" t="s">
        <v>42</v>
      </c>
      <c r="L134" s="119" t="s">
        <v>43</v>
      </c>
      <c r="M134" s="82" t="s">
        <v>79</v>
      </c>
      <c r="N134" s="94">
        <v>45762</v>
      </c>
      <c r="O134" s="94">
        <v>46126</v>
      </c>
      <c r="P134" s="148">
        <v>300</v>
      </c>
      <c r="Q134" s="82"/>
      <c r="R134" s="82"/>
      <c r="S134" s="82"/>
    </row>
    <row r="135" s="30" customFormat="1" ht="21" customHeight="1" spans="1:19">
      <c r="A135" s="27">
        <v>134</v>
      </c>
      <c r="B135" s="186" t="s">
        <v>16</v>
      </c>
      <c r="C135" s="344" t="s">
        <v>37</v>
      </c>
      <c r="D135" s="118" t="s">
        <v>75</v>
      </c>
      <c r="E135" s="118" t="s">
        <v>376</v>
      </c>
      <c r="F135" s="29" t="s">
        <v>377</v>
      </c>
      <c r="G135" s="29" t="s">
        <v>122</v>
      </c>
      <c r="H135" s="375" t="s">
        <v>378</v>
      </c>
      <c r="I135" s="94">
        <v>40452</v>
      </c>
      <c r="J135" s="29" t="s">
        <v>42</v>
      </c>
      <c r="K135" s="29" t="s">
        <v>42</v>
      </c>
      <c r="L135" s="119" t="s">
        <v>43</v>
      </c>
      <c r="M135" s="82" t="s">
        <v>79</v>
      </c>
      <c r="N135" s="94">
        <v>45762</v>
      </c>
      <c r="O135" s="94">
        <v>46126</v>
      </c>
      <c r="P135" s="148">
        <v>300</v>
      </c>
      <c r="Q135" s="82"/>
      <c r="R135" s="82"/>
      <c r="S135" s="82"/>
    </row>
    <row r="136" s="30" customFormat="1" ht="21" customHeight="1" spans="1:19">
      <c r="A136" s="27">
        <v>135</v>
      </c>
      <c r="B136" s="186" t="s">
        <v>16</v>
      </c>
      <c r="C136" s="344" t="s">
        <v>37</v>
      </c>
      <c r="D136" s="118" t="s">
        <v>80</v>
      </c>
      <c r="E136" s="118" t="s">
        <v>379</v>
      </c>
      <c r="F136" s="29" t="s">
        <v>380</v>
      </c>
      <c r="G136" s="29" t="s">
        <v>122</v>
      </c>
      <c r="H136" s="375" t="s">
        <v>381</v>
      </c>
      <c r="I136" s="94">
        <v>44713</v>
      </c>
      <c r="J136" s="29" t="s">
        <v>42</v>
      </c>
      <c r="K136" s="29" t="s">
        <v>42</v>
      </c>
      <c r="L136" s="119" t="s">
        <v>43</v>
      </c>
      <c r="M136" s="82" t="s">
        <v>79</v>
      </c>
      <c r="N136" s="94">
        <v>45762</v>
      </c>
      <c r="O136" s="94">
        <v>46126</v>
      </c>
      <c r="P136" s="148">
        <v>300</v>
      </c>
      <c r="Q136" s="82"/>
      <c r="R136" s="82"/>
      <c r="S136" s="82"/>
    </row>
    <row r="137" s="30" customFormat="1" ht="18" customHeight="1" spans="1:19">
      <c r="A137" s="27">
        <v>136</v>
      </c>
      <c r="B137" s="186" t="s">
        <v>16</v>
      </c>
      <c r="C137" s="344" t="s">
        <v>37</v>
      </c>
      <c r="D137" s="118" t="s">
        <v>80</v>
      </c>
      <c r="E137" s="118" t="s">
        <v>382</v>
      </c>
      <c r="F137" s="29" t="s">
        <v>383</v>
      </c>
      <c r="G137" s="29" t="s">
        <v>122</v>
      </c>
      <c r="H137" s="375" t="s">
        <v>384</v>
      </c>
      <c r="I137" s="94">
        <v>40452</v>
      </c>
      <c r="J137" s="29" t="s">
        <v>42</v>
      </c>
      <c r="K137" s="29" t="s">
        <v>42</v>
      </c>
      <c r="L137" s="119" t="s">
        <v>43</v>
      </c>
      <c r="M137" s="82" t="s">
        <v>79</v>
      </c>
      <c r="N137" s="94">
        <v>45762</v>
      </c>
      <c r="O137" s="94">
        <v>46126</v>
      </c>
      <c r="P137" s="148">
        <v>300</v>
      </c>
      <c r="Q137" s="82"/>
      <c r="R137" s="82"/>
      <c r="S137" s="82"/>
    </row>
    <row r="138" s="30" customFormat="1" ht="18" customHeight="1" spans="1:19">
      <c r="A138" s="27">
        <v>137</v>
      </c>
      <c r="B138" s="186" t="s">
        <v>16</v>
      </c>
      <c r="C138" s="344" t="s">
        <v>37</v>
      </c>
      <c r="D138" s="118" t="s">
        <v>80</v>
      </c>
      <c r="E138" s="118" t="s">
        <v>385</v>
      </c>
      <c r="F138" s="29" t="s">
        <v>386</v>
      </c>
      <c r="G138" s="29" t="s">
        <v>122</v>
      </c>
      <c r="H138" s="375" t="s">
        <v>387</v>
      </c>
      <c r="I138" s="94">
        <v>40452</v>
      </c>
      <c r="J138" s="29" t="s">
        <v>42</v>
      </c>
      <c r="K138" s="29" t="s">
        <v>42</v>
      </c>
      <c r="L138" s="119" t="s">
        <v>43</v>
      </c>
      <c r="M138" s="82" t="s">
        <v>79</v>
      </c>
      <c r="N138" s="94">
        <v>45762</v>
      </c>
      <c r="O138" s="94">
        <v>46126</v>
      </c>
      <c r="P138" s="148">
        <v>300</v>
      </c>
      <c r="Q138" s="82"/>
      <c r="R138" s="82"/>
      <c r="S138" s="82"/>
    </row>
    <row r="139" s="30" customFormat="1" spans="1:19">
      <c r="A139" s="27">
        <v>138</v>
      </c>
      <c r="B139" s="186" t="s">
        <v>15</v>
      </c>
      <c r="C139" s="344" t="s">
        <v>37</v>
      </c>
      <c r="D139" s="173" t="s">
        <v>280</v>
      </c>
      <c r="E139" s="143" t="s">
        <v>388</v>
      </c>
      <c r="F139" s="31"/>
      <c r="G139" s="144" t="s">
        <v>389</v>
      </c>
      <c r="H139" s="119"/>
      <c r="I139" s="119"/>
      <c r="J139" s="31"/>
      <c r="K139" s="31"/>
      <c r="L139" s="119" t="s">
        <v>43</v>
      </c>
      <c r="M139" s="29" t="s">
        <v>365</v>
      </c>
      <c r="N139" s="94">
        <v>45764</v>
      </c>
      <c r="O139" s="94">
        <v>46128</v>
      </c>
      <c r="P139" s="148">
        <v>1500</v>
      </c>
      <c r="Q139" s="29" t="s">
        <v>366</v>
      </c>
      <c r="R139" s="82"/>
      <c r="S139" s="82"/>
    </row>
    <row r="140" s="30" customFormat="1" spans="1:19">
      <c r="A140" s="27">
        <v>139</v>
      </c>
      <c r="B140" s="186" t="s">
        <v>13</v>
      </c>
      <c r="C140" s="344" t="s">
        <v>37</v>
      </c>
      <c r="D140" s="173" t="s">
        <v>297</v>
      </c>
      <c r="E140" s="143" t="s">
        <v>388</v>
      </c>
      <c r="F140" s="31"/>
      <c r="G140" s="144" t="s">
        <v>389</v>
      </c>
      <c r="H140" s="119"/>
      <c r="I140" s="119"/>
      <c r="J140" s="31"/>
      <c r="K140" s="31"/>
      <c r="L140" s="119" t="s">
        <v>43</v>
      </c>
      <c r="M140" s="29" t="s">
        <v>365</v>
      </c>
      <c r="N140" s="94">
        <v>45764</v>
      </c>
      <c r="O140" s="94">
        <v>46128</v>
      </c>
      <c r="P140" s="148">
        <v>1500</v>
      </c>
      <c r="Q140" s="29" t="s">
        <v>366</v>
      </c>
      <c r="R140" s="82"/>
      <c r="S140" s="82"/>
    </row>
    <row r="141" s="30" customFormat="1" spans="1:19">
      <c r="A141" s="27">
        <v>140</v>
      </c>
      <c r="B141" s="186" t="s">
        <v>14</v>
      </c>
      <c r="C141" s="344" t="s">
        <v>37</v>
      </c>
      <c r="D141" s="173" t="s">
        <v>316</v>
      </c>
      <c r="E141" s="143" t="s">
        <v>388</v>
      </c>
      <c r="F141" s="31"/>
      <c r="G141" s="144" t="s">
        <v>389</v>
      </c>
      <c r="H141" s="119"/>
      <c r="I141" s="119"/>
      <c r="J141" s="31"/>
      <c r="K141" s="31"/>
      <c r="L141" s="119" t="s">
        <v>43</v>
      </c>
      <c r="M141" s="29" t="s">
        <v>365</v>
      </c>
      <c r="N141" s="94">
        <v>45764</v>
      </c>
      <c r="O141" s="94">
        <v>46128</v>
      </c>
      <c r="P141" s="148">
        <v>1500</v>
      </c>
      <c r="Q141" s="29" t="s">
        <v>366</v>
      </c>
      <c r="R141" s="82"/>
      <c r="S141" s="82"/>
    </row>
    <row r="142" s="30" customFormat="1" spans="1:19">
      <c r="A142" s="27">
        <v>141</v>
      </c>
      <c r="B142" s="186" t="s">
        <v>13</v>
      </c>
      <c r="C142" s="344" t="s">
        <v>54</v>
      </c>
      <c r="D142" s="173" t="s">
        <v>101</v>
      </c>
      <c r="E142" s="118" t="s">
        <v>56</v>
      </c>
      <c r="F142" s="31" t="s">
        <v>390</v>
      </c>
      <c r="G142" s="119" t="s">
        <v>58</v>
      </c>
      <c r="H142" s="31" t="s">
        <v>391</v>
      </c>
      <c r="I142" s="119" t="s">
        <v>193</v>
      </c>
      <c r="J142" s="31" t="s">
        <v>42</v>
      </c>
      <c r="K142" s="31" t="s">
        <v>42</v>
      </c>
      <c r="L142" s="119" t="s">
        <v>43</v>
      </c>
      <c r="M142" s="149" t="s">
        <v>44</v>
      </c>
      <c r="N142" s="180">
        <v>45769</v>
      </c>
      <c r="O142" s="180">
        <v>46133</v>
      </c>
      <c r="P142" s="148">
        <v>1050</v>
      </c>
      <c r="Q142" s="354"/>
      <c r="R142" s="82"/>
      <c r="S142" s="82"/>
    </row>
    <row r="143" s="30" customFormat="1" spans="1:19">
      <c r="A143" s="27">
        <v>142</v>
      </c>
      <c r="B143" s="186" t="s">
        <v>13</v>
      </c>
      <c r="C143" s="344" t="s">
        <v>54</v>
      </c>
      <c r="D143" s="173" t="s">
        <v>107</v>
      </c>
      <c r="E143" s="118" t="s">
        <v>56</v>
      </c>
      <c r="F143" s="31" t="s">
        <v>392</v>
      </c>
      <c r="G143" s="119" t="s">
        <v>58</v>
      </c>
      <c r="H143" s="31" t="s">
        <v>393</v>
      </c>
      <c r="I143" s="119" t="s">
        <v>193</v>
      </c>
      <c r="J143" s="31" t="s">
        <v>42</v>
      </c>
      <c r="K143" s="31" t="s">
        <v>42</v>
      </c>
      <c r="L143" s="119" t="s">
        <v>43</v>
      </c>
      <c r="M143" s="149" t="s">
        <v>44</v>
      </c>
      <c r="N143" s="180">
        <v>45769</v>
      </c>
      <c r="O143" s="180">
        <v>46133</v>
      </c>
      <c r="P143" s="148">
        <v>1050</v>
      </c>
      <c r="Q143" s="354"/>
      <c r="R143" s="82"/>
      <c r="S143" s="82"/>
    </row>
    <row r="144" s="30" customFormat="1" spans="1:19">
      <c r="A144" s="27">
        <v>143</v>
      </c>
      <c r="B144" s="186" t="s">
        <v>12</v>
      </c>
      <c r="C144" s="344" t="s">
        <v>37</v>
      </c>
      <c r="D144" s="173" t="s">
        <v>394</v>
      </c>
      <c r="E144" s="173" t="s">
        <v>395</v>
      </c>
      <c r="F144" s="82"/>
      <c r="G144" s="82" t="s">
        <v>396</v>
      </c>
      <c r="H144" s="376" t="s">
        <v>397</v>
      </c>
      <c r="I144" s="82"/>
      <c r="J144" s="82"/>
      <c r="K144" s="82"/>
      <c r="L144" s="119" t="s">
        <v>43</v>
      </c>
      <c r="M144" s="149" t="s">
        <v>44</v>
      </c>
      <c r="N144" s="286">
        <v>45774</v>
      </c>
      <c r="O144" s="286">
        <v>46138</v>
      </c>
      <c r="P144" s="349">
        <v>336</v>
      </c>
      <c r="Q144" s="82"/>
      <c r="R144" s="82"/>
      <c r="S144" s="82"/>
    </row>
    <row r="145" s="30" customFormat="1" spans="1:19">
      <c r="A145" s="27">
        <v>144</v>
      </c>
      <c r="B145" s="186" t="s">
        <v>17</v>
      </c>
      <c r="C145" s="344" t="s">
        <v>37</v>
      </c>
      <c r="D145" s="173" t="s">
        <v>17</v>
      </c>
      <c r="E145" s="143" t="s">
        <v>398</v>
      </c>
      <c r="F145" s="31"/>
      <c r="G145" s="144" t="s">
        <v>359</v>
      </c>
      <c r="H145" s="119" t="s">
        <v>399</v>
      </c>
      <c r="I145" s="119"/>
      <c r="J145" s="31"/>
      <c r="K145" s="31"/>
      <c r="L145" s="119" t="s">
        <v>43</v>
      </c>
      <c r="M145" s="149" t="s">
        <v>44</v>
      </c>
      <c r="N145" s="177">
        <v>45776</v>
      </c>
      <c r="O145" s="94">
        <v>46140</v>
      </c>
      <c r="P145" s="148"/>
      <c r="Q145" s="372" t="s">
        <v>400</v>
      </c>
      <c r="R145" s="82"/>
      <c r="S145" s="82"/>
    </row>
    <row r="146" s="30" customFormat="1" spans="1:19">
      <c r="A146" s="27">
        <v>145</v>
      </c>
      <c r="B146" s="186" t="s">
        <v>16</v>
      </c>
      <c r="C146" s="344" t="s">
        <v>37</v>
      </c>
      <c r="D146" s="173" t="s">
        <v>38</v>
      </c>
      <c r="E146" s="118" t="s">
        <v>70</v>
      </c>
      <c r="F146" s="31" t="s">
        <v>401</v>
      </c>
      <c r="G146" s="119" t="s">
        <v>402</v>
      </c>
      <c r="H146" s="31" t="s">
        <v>403</v>
      </c>
      <c r="I146" s="119" t="s">
        <v>404</v>
      </c>
      <c r="J146" s="119" t="s">
        <v>405</v>
      </c>
      <c r="K146" s="51" t="s">
        <v>406</v>
      </c>
      <c r="L146" s="119" t="s">
        <v>43</v>
      </c>
      <c r="M146" s="149" t="s">
        <v>44</v>
      </c>
      <c r="N146" s="94">
        <v>45792</v>
      </c>
      <c r="O146" s="94">
        <v>46156</v>
      </c>
      <c r="P146" s="148">
        <v>240</v>
      </c>
      <c r="Q146" s="82"/>
      <c r="R146" s="82"/>
      <c r="S146" s="82"/>
    </row>
    <row r="147" s="30" customFormat="1" spans="1:19">
      <c r="A147" s="27">
        <v>146</v>
      </c>
      <c r="B147" s="186" t="s">
        <v>16</v>
      </c>
      <c r="C147" s="344" t="s">
        <v>37</v>
      </c>
      <c r="D147" s="173" t="s">
        <v>38</v>
      </c>
      <c r="E147" s="118" t="s">
        <v>407</v>
      </c>
      <c r="F147" s="31" t="s">
        <v>408</v>
      </c>
      <c r="G147" s="119" t="s">
        <v>409</v>
      </c>
      <c r="H147" s="31" t="s">
        <v>408</v>
      </c>
      <c r="I147" s="119" t="s">
        <v>49</v>
      </c>
      <c r="J147" s="31" t="s">
        <v>42</v>
      </c>
      <c r="K147" s="31" t="s">
        <v>42</v>
      </c>
      <c r="L147" s="119" t="s">
        <v>43</v>
      </c>
      <c r="M147" s="149" t="s">
        <v>44</v>
      </c>
      <c r="N147" s="94">
        <v>45792</v>
      </c>
      <c r="O147" s="94">
        <v>46156</v>
      </c>
      <c r="P147" s="148">
        <v>250</v>
      </c>
      <c r="Q147" s="82"/>
      <c r="R147" s="82"/>
      <c r="S147" s="82"/>
    </row>
    <row r="148" s="30" customFormat="1" spans="1:19">
      <c r="A148" s="27">
        <v>147</v>
      </c>
      <c r="B148" s="186" t="s">
        <v>15</v>
      </c>
      <c r="C148" s="344" t="s">
        <v>37</v>
      </c>
      <c r="D148" s="118" t="s">
        <v>55</v>
      </c>
      <c r="E148" s="173" t="s">
        <v>410</v>
      </c>
      <c r="F148" s="82"/>
      <c r="G148" s="119" t="s">
        <v>411</v>
      </c>
      <c r="H148" s="82" t="s">
        <v>412</v>
      </c>
      <c r="I148" s="82"/>
      <c r="J148" s="82" t="s">
        <v>413</v>
      </c>
      <c r="K148" s="82"/>
      <c r="L148" s="82"/>
      <c r="M148" s="82" t="s">
        <v>79</v>
      </c>
      <c r="N148" s="286">
        <v>45860</v>
      </c>
      <c r="O148" s="370">
        <v>46224</v>
      </c>
      <c r="P148" s="349">
        <v>250</v>
      </c>
      <c r="Q148" s="354"/>
      <c r="R148" s="82"/>
      <c r="S148" s="82"/>
    </row>
    <row r="149" s="30" customFormat="1" spans="1:19">
      <c r="A149" s="27">
        <v>148</v>
      </c>
      <c r="B149" s="186" t="s">
        <v>15</v>
      </c>
      <c r="C149" s="344" t="s">
        <v>37</v>
      </c>
      <c r="D149" s="118" t="s">
        <v>60</v>
      </c>
      <c r="E149" s="173" t="s">
        <v>410</v>
      </c>
      <c r="F149" s="82"/>
      <c r="G149" s="119" t="s">
        <v>414</v>
      </c>
      <c r="H149" s="82">
        <v>150520205</v>
      </c>
      <c r="I149" s="82"/>
      <c r="J149" s="82" t="s">
        <v>413</v>
      </c>
      <c r="K149" s="82"/>
      <c r="L149" s="82"/>
      <c r="M149" s="82" t="s">
        <v>79</v>
      </c>
      <c r="N149" s="286">
        <v>45860</v>
      </c>
      <c r="O149" s="370">
        <v>46225</v>
      </c>
      <c r="P149" s="349">
        <v>250</v>
      </c>
      <c r="Q149" s="354"/>
      <c r="R149" s="82"/>
      <c r="S149" s="82"/>
    </row>
    <row r="150" s="30" customFormat="1" ht="26" customHeight="1" spans="1:19">
      <c r="A150" s="27">
        <v>149</v>
      </c>
      <c r="B150" s="186" t="s">
        <v>13</v>
      </c>
      <c r="C150" s="344" t="s">
        <v>37</v>
      </c>
      <c r="D150" s="118" t="s">
        <v>101</v>
      </c>
      <c r="E150" s="173" t="s">
        <v>410</v>
      </c>
      <c r="F150" s="82"/>
      <c r="G150" s="119" t="s">
        <v>415</v>
      </c>
      <c r="H150" s="82">
        <v>2104221236</v>
      </c>
      <c r="I150" s="82"/>
      <c r="J150" s="82" t="s">
        <v>416</v>
      </c>
      <c r="K150" s="82"/>
      <c r="L150" s="82"/>
      <c r="M150" s="82" t="s">
        <v>79</v>
      </c>
      <c r="N150" s="286">
        <v>45860</v>
      </c>
      <c r="O150" s="370">
        <v>46226</v>
      </c>
      <c r="P150" s="349">
        <v>250</v>
      </c>
      <c r="Q150" s="82"/>
      <c r="R150" s="82"/>
      <c r="S150" s="82"/>
    </row>
    <row r="151" s="30" customFormat="1" ht="26" customHeight="1" spans="1:19">
      <c r="A151" s="27">
        <v>150</v>
      </c>
      <c r="B151" s="186" t="s">
        <v>13</v>
      </c>
      <c r="C151" s="344" t="s">
        <v>37</v>
      </c>
      <c r="D151" s="345" t="s">
        <v>107</v>
      </c>
      <c r="E151" s="173" t="s">
        <v>410</v>
      </c>
      <c r="F151" s="82"/>
      <c r="G151" s="119" t="s">
        <v>415</v>
      </c>
      <c r="H151" s="82">
        <v>2107202324</v>
      </c>
      <c r="I151" s="82"/>
      <c r="J151" s="82" t="s">
        <v>416</v>
      </c>
      <c r="K151" s="82"/>
      <c r="L151" s="82"/>
      <c r="M151" s="82" t="s">
        <v>79</v>
      </c>
      <c r="N151" s="286">
        <v>45860</v>
      </c>
      <c r="O151" s="370">
        <v>46227</v>
      </c>
      <c r="P151" s="349">
        <v>250</v>
      </c>
      <c r="Q151" s="82"/>
      <c r="R151" s="82"/>
      <c r="S151" s="82"/>
    </row>
    <row r="152" s="30" customFormat="1" ht="26" customHeight="1" spans="1:19">
      <c r="A152" s="27">
        <v>151</v>
      </c>
      <c r="B152" s="186" t="s">
        <v>14</v>
      </c>
      <c r="C152" s="344" t="s">
        <v>37</v>
      </c>
      <c r="D152" s="345" t="s">
        <v>63</v>
      </c>
      <c r="E152" s="173" t="s">
        <v>410</v>
      </c>
      <c r="F152" s="82"/>
      <c r="G152" s="29" t="s">
        <v>417</v>
      </c>
      <c r="H152" s="82">
        <v>2218891</v>
      </c>
      <c r="I152" s="82"/>
      <c r="J152" s="82" t="s">
        <v>413</v>
      </c>
      <c r="K152" s="82"/>
      <c r="L152" s="82"/>
      <c r="M152" s="82" t="s">
        <v>79</v>
      </c>
      <c r="N152" s="286">
        <v>45860</v>
      </c>
      <c r="O152" s="370">
        <v>46228</v>
      </c>
      <c r="P152" s="349">
        <v>250</v>
      </c>
      <c r="Q152" s="82"/>
      <c r="R152" s="82"/>
      <c r="S152" s="82"/>
    </row>
    <row r="153" s="30" customFormat="1" ht="26" customHeight="1" spans="1:19">
      <c r="A153" s="27">
        <v>152</v>
      </c>
      <c r="B153" s="186" t="s">
        <v>14</v>
      </c>
      <c r="C153" s="344" t="s">
        <v>37</v>
      </c>
      <c r="D153" s="345" t="s">
        <v>67</v>
      </c>
      <c r="E153" s="173" t="s">
        <v>410</v>
      </c>
      <c r="F153" s="82"/>
      <c r="G153" s="29" t="s">
        <v>417</v>
      </c>
      <c r="H153" s="82">
        <v>2218890</v>
      </c>
      <c r="I153" s="82"/>
      <c r="J153" s="82" t="s">
        <v>413</v>
      </c>
      <c r="K153" s="82"/>
      <c r="L153" s="82"/>
      <c r="M153" s="82" t="s">
        <v>79</v>
      </c>
      <c r="N153" s="286">
        <v>45860</v>
      </c>
      <c r="O153" s="370">
        <v>46229</v>
      </c>
      <c r="P153" s="349">
        <v>250</v>
      </c>
      <c r="Q153" s="82"/>
      <c r="R153" s="82"/>
      <c r="S153" s="82"/>
    </row>
    <row r="154" s="30" customFormat="1" ht="26" customHeight="1" spans="1:19">
      <c r="A154" s="27">
        <v>153</v>
      </c>
      <c r="B154" s="186" t="s">
        <v>418</v>
      </c>
      <c r="C154" s="344"/>
      <c r="D154" s="368" t="s">
        <v>418</v>
      </c>
      <c r="E154" s="143" t="s">
        <v>419</v>
      </c>
      <c r="F154" s="144" t="s">
        <v>420</v>
      </c>
      <c r="G154" s="144"/>
      <c r="H154" s="144"/>
      <c r="I154" s="348"/>
      <c r="J154" s="31"/>
      <c r="K154" s="31"/>
      <c r="L154" s="119" t="s">
        <v>43</v>
      </c>
      <c r="M154" s="149" t="s">
        <v>44</v>
      </c>
      <c r="N154" s="286">
        <v>45880</v>
      </c>
      <c r="O154" s="286">
        <v>46244</v>
      </c>
      <c r="P154" s="349">
        <v>540</v>
      </c>
      <c r="Q154" s="82"/>
      <c r="R154" s="193"/>
      <c r="S154" s="193"/>
    </row>
    <row r="155" s="30" customFormat="1" ht="21" customHeight="1" spans="1:19">
      <c r="A155" s="27">
        <v>154</v>
      </c>
      <c r="B155" s="186" t="s">
        <v>418</v>
      </c>
      <c r="C155" s="344"/>
      <c r="D155" s="368" t="s">
        <v>418</v>
      </c>
      <c r="E155" s="143" t="s">
        <v>419</v>
      </c>
      <c r="F155" s="144" t="s">
        <v>421</v>
      </c>
      <c r="G155" s="144"/>
      <c r="H155" s="144"/>
      <c r="I155" s="348"/>
      <c r="J155" s="31"/>
      <c r="K155" s="31"/>
      <c r="L155" s="119" t="s">
        <v>43</v>
      </c>
      <c r="M155" s="149" t="s">
        <v>44</v>
      </c>
      <c r="N155" s="286">
        <v>45880</v>
      </c>
      <c r="O155" s="286">
        <v>46244</v>
      </c>
      <c r="P155" s="349">
        <v>540</v>
      </c>
      <c r="Q155" s="82"/>
      <c r="R155" s="193"/>
      <c r="S155" s="193"/>
    </row>
    <row r="156" s="30" customFormat="1" ht="22.5" spans="1:19">
      <c r="A156" s="27">
        <v>155</v>
      </c>
      <c r="B156" s="186" t="s">
        <v>418</v>
      </c>
      <c r="C156" s="344"/>
      <c r="D156" s="368" t="s">
        <v>418</v>
      </c>
      <c r="E156" s="143" t="s">
        <v>419</v>
      </c>
      <c r="F156" s="144" t="s">
        <v>422</v>
      </c>
      <c r="G156" s="144"/>
      <c r="H156" s="144"/>
      <c r="I156" s="348"/>
      <c r="J156" s="31"/>
      <c r="K156" s="31"/>
      <c r="L156" s="119" t="s">
        <v>43</v>
      </c>
      <c r="M156" s="149" t="s">
        <v>44</v>
      </c>
      <c r="N156" s="286">
        <v>45880</v>
      </c>
      <c r="O156" s="286">
        <v>46244</v>
      </c>
      <c r="P156" s="349">
        <v>540</v>
      </c>
      <c r="Q156" s="82"/>
      <c r="R156" s="193"/>
      <c r="S156" s="193"/>
    </row>
    <row r="157" s="30" customFormat="1" ht="22.5" spans="1:19">
      <c r="A157" s="27">
        <v>156</v>
      </c>
      <c r="B157" s="186" t="s">
        <v>418</v>
      </c>
      <c r="C157" s="344"/>
      <c r="D157" s="368" t="s">
        <v>418</v>
      </c>
      <c r="E157" s="143" t="s">
        <v>419</v>
      </c>
      <c r="F157" s="144" t="s">
        <v>423</v>
      </c>
      <c r="G157" s="144"/>
      <c r="H157" s="144"/>
      <c r="I157" s="348"/>
      <c r="J157" s="31"/>
      <c r="K157" s="31"/>
      <c r="L157" s="119" t="s">
        <v>43</v>
      </c>
      <c r="M157" s="149" t="s">
        <v>44</v>
      </c>
      <c r="N157" s="286">
        <v>45880</v>
      </c>
      <c r="O157" s="286">
        <v>46244</v>
      </c>
      <c r="P157" s="349">
        <v>540</v>
      </c>
      <c r="Q157" s="82"/>
      <c r="R157" s="193"/>
      <c r="S157" s="193"/>
    </row>
    <row r="158" s="30" customFormat="1" ht="22.5" spans="1:19">
      <c r="A158" s="27">
        <v>157</v>
      </c>
      <c r="B158" s="186" t="s">
        <v>418</v>
      </c>
      <c r="C158" s="344"/>
      <c r="D158" s="368" t="s">
        <v>418</v>
      </c>
      <c r="E158" s="143" t="s">
        <v>419</v>
      </c>
      <c r="F158" s="144" t="s">
        <v>424</v>
      </c>
      <c r="G158" s="144"/>
      <c r="H158" s="144"/>
      <c r="I158" s="348"/>
      <c r="J158" s="31"/>
      <c r="K158" s="31"/>
      <c r="L158" s="119" t="s">
        <v>43</v>
      </c>
      <c r="M158" s="149" t="s">
        <v>44</v>
      </c>
      <c r="N158" s="286">
        <v>45880</v>
      </c>
      <c r="O158" s="286">
        <v>46244</v>
      </c>
      <c r="P158" s="349">
        <v>540</v>
      </c>
      <c r="Q158" s="82"/>
      <c r="R158" s="193"/>
      <c r="S158" s="193"/>
    </row>
    <row r="159" s="30" customFormat="1" ht="22.5" spans="1:19">
      <c r="A159" s="27">
        <v>158</v>
      </c>
      <c r="B159" s="186" t="s">
        <v>418</v>
      </c>
      <c r="C159" s="344"/>
      <c r="D159" s="368" t="s">
        <v>418</v>
      </c>
      <c r="E159" s="143" t="s">
        <v>419</v>
      </c>
      <c r="F159" s="144" t="s">
        <v>425</v>
      </c>
      <c r="G159" s="144"/>
      <c r="H159" s="144"/>
      <c r="I159" s="348"/>
      <c r="J159" s="31"/>
      <c r="K159" s="31"/>
      <c r="L159" s="119" t="s">
        <v>43</v>
      </c>
      <c r="M159" s="149" t="s">
        <v>44</v>
      </c>
      <c r="N159" s="286">
        <v>45880</v>
      </c>
      <c r="O159" s="286">
        <v>46244</v>
      </c>
      <c r="P159" s="349">
        <v>540</v>
      </c>
      <c r="Q159" s="82"/>
      <c r="R159" s="193"/>
      <c r="S159" s="193"/>
    </row>
    <row r="160" s="30" customFormat="1" ht="22.5" spans="1:19">
      <c r="A160" s="27">
        <v>159</v>
      </c>
      <c r="B160" s="186" t="s">
        <v>418</v>
      </c>
      <c r="C160" s="344"/>
      <c r="D160" s="368" t="s">
        <v>418</v>
      </c>
      <c r="E160" s="143" t="s">
        <v>419</v>
      </c>
      <c r="F160" s="144" t="s">
        <v>426</v>
      </c>
      <c r="G160" s="144"/>
      <c r="H160" s="144"/>
      <c r="I160" s="348"/>
      <c r="J160" s="31"/>
      <c r="K160" s="31"/>
      <c r="L160" s="119" t="s">
        <v>43</v>
      </c>
      <c r="M160" s="149" t="s">
        <v>44</v>
      </c>
      <c r="N160" s="286">
        <v>45880</v>
      </c>
      <c r="O160" s="286">
        <v>46244</v>
      </c>
      <c r="P160" s="349">
        <v>540</v>
      </c>
      <c r="Q160" s="82"/>
      <c r="R160" s="193"/>
      <c r="S160" s="193"/>
    </row>
    <row r="161" s="30" customFormat="1" ht="22.5" spans="1:19">
      <c r="A161" s="27">
        <v>160</v>
      </c>
      <c r="B161" s="186" t="s">
        <v>418</v>
      </c>
      <c r="C161" s="344"/>
      <c r="D161" s="368" t="s">
        <v>418</v>
      </c>
      <c r="E161" s="143" t="s">
        <v>419</v>
      </c>
      <c r="F161" s="144" t="s">
        <v>427</v>
      </c>
      <c r="G161" s="144"/>
      <c r="H161" s="144"/>
      <c r="I161" s="348"/>
      <c r="J161" s="31"/>
      <c r="K161" s="31"/>
      <c r="L161" s="119" t="s">
        <v>43</v>
      </c>
      <c r="M161" s="149" t="s">
        <v>44</v>
      </c>
      <c r="N161" s="318">
        <v>45880</v>
      </c>
      <c r="O161" s="286">
        <v>46244</v>
      </c>
      <c r="P161" s="349">
        <v>540</v>
      </c>
      <c r="Q161" s="82"/>
      <c r="R161" s="193"/>
      <c r="S161" s="193"/>
    </row>
    <row r="162" s="30" customFormat="1" spans="1:3">
      <c r="A162" s="198"/>
      <c r="B162" s="198"/>
      <c r="C162" s="27"/>
    </row>
    <row r="163" spans="6:8">
      <c r="F163" s="30" t="s">
        <v>428</v>
      </c>
      <c r="H163" s="30" t="s">
        <v>429</v>
      </c>
    </row>
    <row r="164" spans="6:9">
      <c r="F164" s="30">
        <v>291</v>
      </c>
      <c r="H164" s="30">
        <v>79</v>
      </c>
      <c r="I164" s="30">
        <v>51</v>
      </c>
    </row>
    <row r="165" s="30" customFormat="1" spans="1:15">
      <c r="A165" s="27"/>
      <c r="O165" s="266"/>
    </row>
    <row r="166" spans="8:9">
      <c r="H166" s="30">
        <f>SUM(H164:I164)</f>
        <v>130</v>
      </c>
      <c r="I166" s="30">
        <f>H166*100</f>
        <v>13000</v>
      </c>
    </row>
    <row r="167" spans="9:10">
      <c r="I167" s="30" t="s">
        <v>430</v>
      </c>
      <c r="J167" s="371">
        <v>45660</v>
      </c>
    </row>
    <row r="168" spans="5:9">
      <c r="E168" s="30" t="s">
        <v>431</v>
      </c>
      <c r="F168" s="30">
        <v>61</v>
      </c>
      <c r="I168" s="30" t="s">
        <v>432</v>
      </c>
    </row>
    <row r="169" spans="5:6">
      <c r="E169" s="30" t="s">
        <v>433</v>
      </c>
      <c r="F169" s="30">
        <v>60</v>
      </c>
    </row>
    <row r="170" spans="5:6">
      <c r="E170" s="30" t="s">
        <v>434</v>
      </c>
      <c r="F170" s="30">
        <v>67</v>
      </c>
    </row>
    <row r="171" spans="5:17">
      <c r="E171" s="30" t="s">
        <v>435</v>
      </c>
      <c r="F171" s="30">
        <f>291-61-60-67</f>
        <v>103</v>
      </c>
      <c r="Q171" s="30" t="s">
        <v>436</v>
      </c>
    </row>
  </sheetData>
  <autoFilter xmlns:etc="http://www.wps.cn/officeDocument/2017/etCustomData" ref="A1:S164" etc:filterBottomFollowUsedRange="0">
    <extLst/>
  </autoFilter>
  <sortState ref="A2:S205">
    <sortCondition ref="O2"/>
  </sortState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135"/>
  <sheetViews>
    <sheetView topLeftCell="A40" workbookViewId="0">
      <selection activeCell="O102" sqref="O102:O135"/>
    </sheetView>
  </sheetViews>
  <sheetFormatPr defaultColWidth="9" defaultRowHeight="13.5"/>
  <cols>
    <col min="3" max="3" width="15.875" customWidth="1"/>
    <col min="13" max="13" width="19.125" customWidth="1"/>
    <col min="14" max="14" width="15.75" customWidth="1"/>
    <col min="15" max="15" width="21.375" customWidth="1"/>
  </cols>
  <sheetData>
    <row r="1" ht="22.5" spans="2:15">
      <c r="B1" s="53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1" t="s">
        <v>26</v>
      </c>
      <c r="I1" s="1" t="s">
        <v>27</v>
      </c>
      <c r="J1" s="1" t="s">
        <v>28</v>
      </c>
      <c r="K1" s="1" t="s">
        <v>31</v>
      </c>
      <c r="L1" s="1" t="s">
        <v>32</v>
      </c>
      <c r="M1" s="1" t="s">
        <v>35</v>
      </c>
      <c r="N1" s="1" t="s">
        <v>437</v>
      </c>
      <c r="O1" s="1" t="s">
        <v>36</v>
      </c>
    </row>
    <row r="2" ht="20.25" spans="1:16">
      <c r="A2">
        <v>1</v>
      </c>
      <c r="B2" t="s">
        <v>15</v>
      </c>
      <c r="C2" s="82" t="s">
        <v>280</v>
      </c>
      <c r="D2" s="29" t="s">
        <v>139</v>
      </c>
      <c r="E2" s="31" t="s">
        <v>438</v>
      </c>
      <c r="F2" s="119" t="s">
        <v>141</v>
      </c>
      <c r="G2" s="31" t="s">
        <v>438</v>
      </c>
      <c r="H2" s="119" t="s">
        <v>439</v>
      </c>
      <c r="I2" s="119" t="s">
        <v>440</v>
      </c>
      <c r="J2" s="119" t="s">
        <v>441</v>
      </c>
      <c r="K2" s="29" t="s">
        <v>442</v>
      </c>
      <c r="L2" s="29" t="s">
        <v>443</v>
      </c>
      <c r="M2" s="329"/>
      <c r="N2" s="133"/>
      <c r="O2" s="133"/>
      <c r="P2" s="224"/>
    </row>
    <row r="3" ht="20.25" spans="1:16">
      <c r="A3">
        <v>2</v>
      </c>
      <c r="B3" t="s">
        <v>15</v>
      </c>
      <c r="C3" s="82" t="s">
        <v>280</v>
      </c>
      <c r="D3" s="29" t="s">
        <v>139</v>
      </c>
      <c r="E3" s="31" t="s">
        <v>444</v>
      </c>
      <c r="F3" s="119" t="s">
        <v>141</v>
      </c>
      <c r="G3" s="31" t="s">
        <v>444</v>
      </c>
      <c r="H3" s="119" t="s">
        <v>439</v>
      </c>
      <c r="I3" s="119" t="s">
        <v>149</v>
      </c>
      <c r="J3" s="119" t="s">
        <v>441</v>
      </c>
      <c r="K3" s="29" t="s">
        <v>442</v>
      </c>
      <c r="L3" s="29" t="s">
        <v>443</v>
      </c>
      <c r="M3" s="329"/>
      <c r="N3" s="133"/>
      <c r="O3" s="133"/>
      <c r="P3" s="224"/>
    </row>
    <row r="4" ht="20.25" spans="1:16">
      <c r="A4">
        <v>3</v>
      </c>
      <c r="B4" t="s">
        <v>15</v>
      </c>
      <c r="C4" s="82" t="s">
        <v>280</v>
      </c>
      <c r="D4" s="29" t="s">
        <v>139</v>
      </c>
      <c r="E4" s="31" t="s">
        <v>445</v>
      </c>
      <c r="F4" s="119" t="s">
        <v>141</v>
      </c>
      <c r="G4" s="31" t="s">
        <v>445</v>
      </c>
      <c r="H4" s="119" t="s">
        <v>439</v>
      </c>
      <c r="I4" s="119" t="s">
        <v>440</v>
      </c>
      <c r="J4" s="119" t="s">
        <v>446</v>
      </c>
      <c r="K4" s="29" t="s">
        <v>442</v>
      </c>
      <c r="L4" s="29" t="s">
        <v>443</v>
      </c>
      <c r="M4" s="329"/>
      <c r="N4" s="133"/>
      <c r="O4" s="133"/>
      <c r="P4" s="224"/>
    </row>
    <row r="5" ht="20.25" spans="1:16">
      <c r="A5">
        <v>4</v>
      </c>
      <c r="B5" t="s">
        <v>15</v>
      </c>
      <c r="C5" s="82" t="s">
        <v>280</v>
      </c>
      <c r="D5" s="29" t="s">
        <v>139</v>
      </c>
      <c r="E5" s="31" t="s">
        <v>447</v>
      </c>
      <c r="F5" s="119" t="s">
        <v>141</v>
      </c>
      <c r="G5" s="31" t="s">
        <v>447</v>
      </c>
      <c r="H5" s="119" t="s">
        <v>439</v>
      </c>
      <c r="I5" s="119" t="s">
        <v>149</v>
      </c>
      <c r="J5" s="119" t="s">
        <v>441</v>
      </c>
      <c r="K5" s="29" t="s">
        <v>442</v>
      </c>
      <c r="L5" s="29" t="s">
        <v>443</v>
      </c>
      <c r="M5" s="329"/>
      <c r="N5" s="133"/>
      <c r="O5" s="133"/>
      <c r="P5" s="224"/>
    </row>
    <row r="6" ht="20.25" spans="1:16">
      <c r="A6">
        <v>5</v>
      </c>
      <c r="B6" t="s">
        <v>15</v>
      </c>
      <c r="C6" s="82" t="s">
        <v>280</v>
      </c>
      <c r="D6" s="29" t="s">
        <v>139</v>
      </c>
      <c r="E6" s="31" t="s">
        <v>97</v>
      </c>
      <c r="F6" s="119" t="s">
        <v>141</v>
      </c>
      <c r="G6" s="31" t="s">
        <v>97</v>
      </c>
      <c r="H6" s="119" t="s">
        <v>439</v>
      </c>
      <c r="I6" s="119" t="s">
        <v>448</v>
      </c>
      <c r="J6" s="119" t="s">
        <v>446</v>
      </c>
      <c r="K6" s="29" t="s">
        <v>442</v>
      </c>
      <c r="L6" s="29" t="s">
        <v>443</v>
      </c>
      <c r="M6" s="329"/>
      <c r="N6" s="133"/>
      <c r="O6" s="133"/>
      <c r="P6" s="224"/>
    </row>
    <row r="7" ht="20.25" spans="1:16">
      <c r="A7">
        <v>6</v>
      </c>
      <c r="B7" t="s">
        <v>15</v>
      </c>
      <c r="C7" s="82" t="s">
        <v>280</v>
      </c>
      <c r="D7" s="29" t="s">
        <v>139</v>
      </c>
      <c r="E7" s="31" t="s">
        <v>99</v>
      </c>
      <c r="F7" s="119" t="s">
        <v>141</v>
      </c>
      <c r="G7" s="31" t="s">
        <v>99</v>
      </c>
      <c r="H7" s="119" t="s">
        <v>439</v>
      </c>
      <c r="I7" s="119" t="s">
        <v>149</v>
      </c>
      <c r="J7" s="119" t="s">
        <v>441</v>
      </c>
      <c r="K7" s="29" t="s">
        <v>442</v>
      </c>
      <c r="L7" s="29" t="s">
        <v>443</v>
      </c>
      <c r="M7" s="329"/>
      <c r="N7" s="133"/>
      <c r="O7" s="133"/>
      <c r="P7" s="224"/>
    </row>
    <row r="8" ht="20.25" spans="1:16">
      <c r="A8">
        <v>7</v>
      </c>
      <c r="B8" t="s">
        <v>15</v>
      </c>
      <c r="C8" s="82" t="s">
        <v>280</v>
      </c>
      <c r="D8" s="29" t="s">
        <v>139</v>
      </c>
      <c r="E8" s="31" t="s">
        <v>95</v>
      </c>
      <c r="F8" s="119" t="s">
        <v>141</v>
      </c>
      <c r="G8" s="31" t="s">
        <v>95</v>
      </c>
      <c r="H8" s="119" t="s">
        <v>439</v>
      </c>
      <c r="I8" s="119" t="s">
        <v>448</v>
      </c>
      <c r="J8" s="119" t="s">
        <v>446</v>
      </c>
      <c r="K8" s="29" t="s">
        <v>442</v>
      </c>
      <c r="L8" s="29" t="s">
        <v>443</v>
      </c>
      <c r="M8" s="329"/>
      <c r="N8" s="133"/>
      <c r="O8" s="133"/>
      <c r="P8" s="224"/>
    </row>
    <row r="9" ht="20.25" spans="1:16">
      <c r="A9">
        <v>8</v>
      </c>
      <c r="B9" t="s">
        <v>15</v>
      </c>
      <c r="C9" s="82" t="s">
        <v>280</v>
      </c>
      <c r="D9" s="29" t="s">
        <v>139</v>
      </c>
      <c r="E9" s="31" t="s">
        <v>90</v>
      </c>
      <c r="F9" s="119" t="s">
        <v>141</v>
      </c>
      <c r="G9" s="31" t="s">
        <v>90</v>
      </c>
      <c r="H9" s="119" t="s">
        <v>449</v>
      </c>
      <c r="I9" s="119" t="s">
        <v>149</v>
      </c>
      <c r="J9" s="119" t="s">
        <v>446</v>
      </c>
      <c r="K9" s="29" t="s">
        <v>442</v>
      </c>
      <c r="L9" s="29" t="s">
        <v>443</v>
      </c>
      <c r="M9" s="329"/>
      <c r="N9" s="133"/>
      <c r="O9" s="133"/>
      <c r="P9" s="224"/>
    </row>
    <row r="10" ht="20.25" spans="1:16">
      <c r="A10">
        <v>9</v>
      </c>
      <c r="B10" t="s">
        <v>15</v>
      </c>
      <c r="C10" s="82" t="s">
        <v>280</v>
      </c>
      <c r="D10" s="227" t="s">
        <v>139</v>
      </c>
      <c r="E10" s="171" t="s">
        <v>450</v>
      </c>
      <c r="F10" s="172" t="s">
        <v>141</v>
      </c>
      <c r="G10" s="171" t="s">
        <v>450</v>
      </c>
      <c r="H10" s="172" t="s">
        <v>451</v>
      </c>
      <c r="I10" s="172" t="s">
        <v>149</v>
      </c>
      <c r="J10" s="172" t="s">
        <v>446</v>
      </c>
      <c r="K10" s="29" t="s">
        <v>442</v>
      </c>
      <c r="L10" s="29" t="s">
        <v>443</v>
      </c>
      <c r="M10" s="329"/>
      <c r="N10" s="133"/>
      <c r="O10" s="133"/>
      <c r="P10" s="224"/>
    </row>
    <row r="11" spans="1:16">
      <c r="A11">
        <v>10</v>
      </c>
      <c r="B11" t="s">
        <v>13</v>
      </c>
      <c r="C11" s="82" t="s">
        <v>297</v>
      </c>
      <c r="D11" s="29" t="s">
        <v>139</v>
      </c>
      <c r="E11" s="31" t="s">
        <v>452</v>
      </c>
      <c r="F11" s="119" t="s">
        <v>173</v>
      </c>
      <c r="G11" s="31" t="s">
        <v>452</v>
      </c>
      <c r="H11" s="119" t="s">
        <v>453</v>
      </c>
      <c r="I11" s="119" t="s">
        <v>440</v>
      </c>
      <c r="J11" s="119" t="s">
        <v>454</v>
      </c>
      <c r="K11" s="29" t="s">
        <v>442</v>
      </c>
      <c r="L11" s="29" t="s">
        <v>443</v>
      </c>
      <c r="M11" s="29"/>
      <c r="N11" s="30"/>
      <c r="O11" s="133"/>
      <c r="P11" s="224"/>
    </row>
    <row r="12" spans="1:16">
      <c r="A12">
        <v>11</v>
      </c>
      <c r="B12" t="s">
        <v>13</v>
      </c>
      <c r="C12" s="82" t="s">
        <v>297</v>
      </c>
      <c r="D12" s="29" t="s">
        <v>139</v>
      </c>
      <c r="E12" s="31" t="s">
        <v>455</v>
      </c>
      <c r="F12" s="119" t="s">
        <v>141</v>
      </c>
      <c r="G12" s="31" t="s">
        <v>455</v>
      </c>
      <c r="H12" s="119" t="s">
        <v>453</v>
      </c>
      <c r="I12" s="119" t="s">
        <v>149</v>
      </c>
      <c r="J12" s="119" t="s">
        <v>441</v>
      </c>
      <c r="K12" s="29" t="s">
        <v>442</v>
      </c>
      <c r="L12" s="29" t="s">
        <v>443</v>
      </c>
      <c r="M12" s="29" t="s">
        <v>144</v>
      </c>
      <c r="N12" s="30"/>
      <c r="O12" s="133"/>
      <c r="P12" s="224"/>
    </row>
    <row r="13" spans="1:16">
      <c r="A13">
        <v>12</v>
      </c>
      <c r="B13" t="s">
        <v>13</v>
      </c>
      <c r="C13" s="82" t="s">
        <v>297</v>
      </c>
      <c r="D13" s="29" t="s">
        <v>139</v>
      </c>
      <c r="E13" s="31" t="s">
        <v>456</v>
      </c>
      <c r="F13" s="119" t="s">
        <v>141</v>
      </c>
      <c r="G13" s="31" t="s">
        <v>456</v>
      </c>
      <c r="H13" s="119" t="s">
        <v>453</v>
      </c>
      <c r="I13" s="119" t="s">
        <v>149</v>
      </c>
      <c r="J13" s="119" t="s">
        <v>441</v>
      </c>
      <c r="K13" s="29" t="s">
        <v>442</v>
      </c>
      <c r="L13" s="29" t="s">
        <v>443</v>
      </c>
      <c r="M13" s="29" t="s">
        <v>144</v>
      </c>
      <c r="N13" s="30"/>
      <c r="O13" s="133"/>
      <c r="P13" s="224"/>
    </row>
    <row r="14" spans="1:16">
      <c r="A14">
        <v>13</v>
      </c>
      <c r="B14" t="s">
        <v>13</v>
      </c>
      <c r="C14" s="82" t="s">
        <v>297</v>
      </c>
      <c r="D14" s="29" t="s">
        <v>139</v>
      </c>
      <c r="E14" s="31" t="s">
        <v>457</v>
      </c>
      <c r="F14" s="119" t="s">
        <v>141</v>
      </c>
      <c r="G14" s="31" t="s">
        <v>457</v>
      </c>
      <c r="H14" s="119" t="s">
        <v>453</v>
      </c>
      <c r="I14" s="119" t="s">
        <v>149</v>
      </c>
      <c r="J14" s="119" t="s">
        <v>441</v>
      </c>
      <c r="K14" s="29" t="s">
        <v>442</v>
      </c>
      <c r="L14" s="29" t="s">
        <v>443</v>
      </c>
      <c r="M14" s="29" t="s">
        <v>144</v>
      </c>
      <c r="N14" s="30"/>
      <c r="O14" s="133"/>
      <c r="P14" s="224"/>
    </row>
    <row r="15" spans="1:16">
      <c r="A15">
        <v>14</v>
      </c>
      <c r="B15" t="s">
        <v>13</v>
      </c>
      <c r="C15" s="82" t="s">
        <v>297</v>
      </c>
      <c r="D15" s="29" t="s">
        <v>139</v>
      </c>
      <c r="E15" s="31" t="s">
        <v>458</v>
      </c>
      <c r="F15" s="119" t="s">
        <v>141</v>
      </c>
      <c r="G15" s="31" t="s">
        <v>458</v>
      </c>
      <c r="H15" s="119" t="s">
        <v>453</v>
      </c>
      <c r="I15" s="119" t="s">
        <v>149</v>
      </c>
      <c r="J15" s="119" t="s">
        <v>441</v>
      </c>
      <c r="K15" s="29" t="s">
        <v>442</v>
      </c>
      <c r="L15" s="29" t="s">
        <v>443</v>
      </c>
      <c r="M15" s="82"/>
      <c r="N15" s="30"/>
      <c r="O15" s="133"/>
      <c r="P15" s="224"/>
    </row>
    <row r="16" spans="1:16">
      <c r="A16">
        <v>15</v>
      </c>
      <c r="B16" t="s">
        <v>14</v>
      </c>
      <c r="C16" s="82" t="s">
        <v>316</v>
      </c>
      <c r="D16" s="29" t="s">
        <v>139</v>
      </c>
      <c r="E16" s="31" t="s">
        <v>459</v>
      </c>
      <c r="F16" s="119" t="s">
        <v>141</v>
      </c>
      <c r="G16" s="31" t="s">
        <v>459</v>
      </c>
      <c r="H16" s="119" t="s">
        <v>460</v>
      </c>
      <c r="I16" s="119" t="s">
        <v>149</v>
      </c>
      <c r="J16" s="119" t="s">
        <v>441</v>
      </c>
      <c r="K16" s="29" t="s">
        <v>442</v>
      </c>
      <c r="L16" s="29" t="s">
        <v>443</v>
      </c>
      <c r="M16" s="29" t="s">
        <v>144</v>
      </c>
      <c r="N16" s="30"/>
      <c r="O16" s="133"/>
      <c r="P16" s="224"/>
    </row>
    <row r="17" spans="1:16">
      <c r="A17">
        <v>16</v>
      </c>
      <c r="B17" t="s">
        <v>14</v>
      </c>
      <c r="C17" s="82" t="s">
        <v>316</v>
      </c>
      <c r="D17" s="29" t="s">
        <v>139</v>
      </c>
      <c r="E17" s="31" t="s">
        <v>461</v>
      </c>
      <c r="F17" s="119" t="s">
        <v>141</v>
      </c>
      <c r="G17" s="31" t="s">
        <v>461</v>
      </c>
      <c r="H17" s="119" t="s">
        <v>460</v>
      </c>
      <c r="I17" s="119" t="s">
        <v>440</v>
      </c>
      <c r="J17" s="119" t="s">
        <v>446</v>
      </c>
      <c r="K17" s="29" t="s">
        <v>442</v>
      </c>
      <c r="L17" s="29" t="s">
        <v>443</v>
      </c>
      <c r="M17" s="29" t="s">
        <v>144</v>
      </c>
      <c r="N17" s="30"/>
      <c r="O17" s="133"/>
      <c r="P17" s="224"/>
    </row>
    <row r="18" spans="1:16">
      <c r="A18">
        <v>17</v>
      </c>
      <c r="B18" t="s">
        <v>14</v>
      </c>
      <c r="C18" s="82" t="s">
        <v>316</v>
      </c>
      <c r="D18" s="29" t="s">
        <v>139</v>
      </c>
      <c r="E18" s="31" t="s">
        <v>462</v>
      </c>
      <c r="F18" s="119" t="s">
        <v>173</v>
      </c>
      <c r="G18" s="31" t="s">
        <v>462</v>
      </c>
      <c r="H18" s="119" t="s">
        <v>460</v>
      </c>
      <c r="I18" s="119" t="s">
        <v>440</v>
      </c>
      <c r="J18" s="119" t="s">
        <v>446</v>
      </c>
      <c r="K18" s="29" t="s">
        <v>442</v>
      </c>
      <c r="L18" s="29" t="s">
        <v>443</v>
      </c>
      <c r="M18" s="31" t="s">
        <v>463</v>
      </c>
      <c r="N18" s="30"/>
      <c r="O18" s="133"/>
      <c r="P18" s="224"/>
    </row>
    <row r="19" spans="1:16">
      <c r="A19">
        <v>18</v>
      </c>
      <c r="B19" t="s">
        <v>14</v>
      </c>
      <c r="C19" s="82" t="s">
        <v>316</v>
      </c>
      <c r="D19" s="29" t="s">
        <v>139</v>
      </c>
      <c r="E19" s="31" t="s">
        <v>464</v>
      </c>
      <c r="F19" s="119" t="s">
        <v>173</v>
      </c>
      <c r="G19" s="31" t="s">
        <v>464</v>
      </c>
      <c r="H19" s="119" t="s">
        <v>460</v>
      </c>
      <c r="I19" s="119" t="s">
        <v>149</v>
      </c>
      <c r="J19" s="119" t="s">
        <v>441</v>
      </c>
      <c r="K19" s="29" t="s">
        <v>442</v>
      </c>
      <c r="L19" s="29" t="s">
        <v>443</v>
      </c>
      <c r="M19" s="31"/>
      <c r="N19" s="30"/>
      <c r="O19" s="133"/>
      <c r="P19" s="224"/>
    </row>
    <row r="20" spans="1:16">
      <c r="A20">
        <v>19</v>
      </c>
      <c r="B20" t="s">
        <v>14</v>
      </c>
      <c r="C20" s="82" t="s">
        <v>316</v>
      </c>
      <c r="D20" s="29" t="s">
        <v>139</v>
      </c>
      <c r="E20" s="31" t="s">
        <v>465</v>
      </c>
      <c r="F20" s="119" t="s">
        <v>141</v>
      </c>
      <c r="G20" s="31" t="s">
        <v>465</v>
      </c>
      <c r="H20" s="119" t="s">
        <v>460</v>
      </c>
      <c r="I20" s="119" t="s">
        <v>448</v>
      </c>
      <c r="J20" s="119" t="s">
        <v>466</v>
      </c>
      <c r="K20" s="29" t="s">
        <v>442</v>
      </c>
      <c r="L20" s="29" t="s">
        <v>443</v>
      </c>
      <c r="M20" s="29" t="s">
        <v>467</v>
      </c>
      <c r="N20" s="30"/>
      <c r="O20" s="133"/>
      <c r="P20" s="224"/>
    </row>
    <row r="21" spans="1:16">
      <c r="A21">
        <v>20</v>
      </c>
      <c r="B21" t="s">
        <v>16</v>
      </c>
      <c r="C21" s="82" t="s">
        <v>468</v>
      </c>
      <c r="D21" s="29" t="s">
        <v>139</v>
      </c>
      <c r="E21" s="31" t="s">
        <v>469</v>
      </c>
      <c r="F21" s="31" t="s">
        <v>163</v>
      </c>
      <c r="G21" s="31" t="s">
        <v>469</v>
      </c>
      <c r="H21" s="119" t="s">
        <v>439</v>
      </c>
      <c r="I21" s="119" t="s">
        <v>470</v>
      </c>
      <c r="J21" s="119" t="s">
        <v>471</v>
      </c>
      <c r="K21" s="29" t="s">
        <v>442</v>
      </c>
      <c r="L21" s="29" t="s">
        <v>443</v>
      </c>
      <c r="M21" s="29" t="s">
        <v>472</v>
      </c>
      <c r="N21" s="30"/>
      <c r="O21" s="133"/>
      <c r="P21" s="224"/>
    </row>
    <row r="22" spans="1:16">
      <c r="A22">
        <v>21</v>
      </c>
      <c r="B22" t="s">
        <v>16</v>
      </c>
      <c r="C22" s="82" t="s">
        <v>468</v>
      </c>
      <c r="D22" s="29" t="s">
        <v>139</v>
      </c>
      <c r="E22" s="31" t="s">
        <v>473</v>
      </c>
      <c r="F22" s="31" t="s">
        <v>163</v>
      </c>
      <c r="G22" s="31" t="s">
        <v>473</v>
      </c>
      <c r="H22" s="119" t="s">
        <v>439</v>
      </c>
      <c r="I22" s="119" t="s">
        <v>470</v>
      </c>
      <c r="J22" s="119" t="s">
        <v>471</v>
      </c>
      <c r="K22" s="29" t="s">
        <v>442</v>
      </c>
      <c r="L22" s="29" t="s">
        <v>443</v>
      </c>
      <c r="M22" s="29" t="s">
        <v>474</v>
      </c>
      <c r="N22" s="30"/>
      <c r="O22" s="133"/>
      <c r="P22" s="224"/>
    </row>
    <row r="23" spans="1:16">
      <c r="A23">
        <v>22</v>
      </c>
      <c r="B23" t="s">
        <v>16</v>
      </c>
      <c r="C23" s="82" t="s">
        <v>468</v>
      </c>
      <c r="D23" s="29" t="s">
        <v>139</v>
      </c>
      <c r="E23" s="31" t="s">
        <v>475</v>
      </c>
      <c r="F23" s="31" t="s">
        <v>163</v>
      </c>
      <c r="G23" s="31" t="s">
        <v>475</v>
      </c>
      <c r="H23" s="119" t="s">
        <v>439</v>
      </c>
      <c r="I23" s="119" t="s">
        <v>470</v>
      </c>
      <c r="J23" s="119" t="s">
        <v>471</v>
      </c>
      <c r="K23" s="29" t="s">
        <v>442</v>
      </c>
      <c r="L23" s="29" t="s">
        <v>443</v>
      </c>
      <c r="M23" s="29" t="s">
        <v>476</v>
      </c>
      <c r="N23" s="30"/>
      <c r="O23" s="133"/>
      <c r="P23" s="224"/>
    </row>
    <row r="24" spans="1:16">
      <c r="A24">
        <v>23</v>
      </c>
      <c r="B24" t="s">
        <v>16</v>
      </c>
      <c r="C24" s="82" t="s">
        <v>468</v>
      </c>
      <c r="D24" s="29" t="s">
        <v>139</v>
      </c>
      <c r="E24" s="31" t="s">
        <v>477</v>
      </c>
      <c r="F24" s="31" t="s">
        <v>163</v>
      </c>
      <c r="G24" s="31" t="s">
        <v>477</v>
      </c>
      <c r="H24" s="119" t="s">
        <v>439</v>
      </c>
      <c r="I24" s="119" t="s">
        <v>440</v>
      </c>
      <c r="J24" s="119" t="s">
        <v>471</v>
      </c>
      <c r="K24" s="29" t="s">
        <v>442</v>
      </c>
      <c r="L24" s="29" t="s">
        <v>443</v>
      </c>
      <c r="M24" s="29" t="s">
        <v>478</v>
      </c>
      <c r="N24" s="30"/>
      <c r="O24" s="133"/>
      <c r="P24" s="224"/>
    </row>
    <row r="25" spans="1:16">
      <c r="A25">
        <v>24</v>
      </c>
      <c r="B25" t="s">
        <v>16</v>
      </c>
      <c r="C25" s="82" t="s">
        <v>468</v>
      </c>
      <c r="D25" s="29" t="s">
        <v>139</v>
      </c>
      <c r="E25" s="31" t="s">
        <v>479</v>
      </c>
      <c r="F25" s="31" t="s">
        <v>163</v>
      </c>
      <c r="G25" s="31" t="s">
        <v>479</v>
      </c>
      <c r="H25" s="119" t="s">
        <v>439</v>
      </c>
      <c r="I25" s="119" t="s">
        <v>470</v>
      </c>
      <c r="J25" s="119" t="s">
        <v>471</v>
      </c>
      <c r="K25" s="29" t="s">
        <v>442</v>
      </c>
      <c r="L25" s="29" t="s">
        <v>443</v>
      </c>
      <c r="M25" s="29" t="s">
        <v>480</v>
      </c>
      <c r="N25" s="30"/>
      <c r="O25" s="133"/>
      <c r="P25" s="224"/>
    </row>
    <row r="26" spans="1:16">
      <c r="A26">
        <v>25</v>
      </c>
      <c r="B26" t="s">
        <v>16</v>
      </c>
      <c r="C26" s="82" t="s">
        <v>468</v>
      </c>
      <c r="D26" s="29" t="s">
        <v>139</v>
      </c>
      <c r="E26" s="31" t="s">
        <v>481</v>
      </c>
      <c r="F26" s="31" t="s">
        <v>163</v>
      </c>
      <c r="G26" s="31" t="s">
        <v>481</v>
      </c>
      <c r="H26" s="119" t="s">
        <v>439</v>
      </c>
      <c r="I26" s="119" t="s">
        <v>470</v>
      </c>
      <c r="J26" s="119" t="s">
        <v>471</v>
      </c>
      <c r="K26" s="29" t="s">
        <v>442</v>
      </c>
      <c r="L26" s="29" t="s">
        <v>443</v>
      </c>
      <c r="M26" s="29" t="s">
        <v>482</v>
      </c>
      <c r="N26" s="30"/>
      <c r="O26" s="133"/>
      <c r="P26" s="224"/>
    </row>
    <row r="27" spans="1:16">
      <c r="A27">
        <v>26</v>
      </c>
      <c r="B27" t="s">
        <v>16</v>
      </c>
      <c r="C27" s="82" t="s">
        <v>468</v>
      </c>
      <c r="D27" s="29" t="s">
        <v>139</v>
      </c>
      <c r="E27" s="31" t="s">
        <v>483</v>
      </c>
      <c r="F27" s="31" t="s">
        <v>163</v>
      </c>
      <c r="G27" s="31" t="s">
        <v>483</v>
      </c>
      <c r="H27" s="119" t="s">
        <v>439</v>
      </c>
      <c r="I27" s="119" t="s">
        <v>470</v>
      </c>
      <c r="J27" s="119" t="s">
        <v>471</v>
      </c>
      <c r="K27" s="29" t="s">
        <v>442</v>
      </c>
      <c r="L27" s="29" t="s">
        <v>443</v>
      </c>
      <c r="M27" s="29" t="s">
        <v>484</v>
      </c>
      <c r="N27" s="30"/>
      <c r="O27" s="133"/>
      <c r="P27" s="224"/>
    </row>
    <row r="28" spans="1:16">
      <c r="A28">
        <v>27</v>
      </c>
      <c r="B28" t="s">
        <v>16</v>
      </c>
      <c r="C28" s="82" t="s">
        <v>468</v>
      </c>
      <c r="D28" s="29" t="s">
        <v>139</v>
      </c>
      <c r="E28" s="31" t="s">
        <v>485</v>
      </c>
      <c r="F28" s="31" t="s">
        <v>163</v>
      </c>
      <c r="G28" s="31" t="s">
        <v>485</v>
      </c>
      <c r="H28" s="119" t="s">
        <v>439</v>
      </c>
      <c r="I28" s="119" t="s">
        <v>440</v>
      </c>
      <c r="J28" s="119" t="s">
        <v>471</v>
      </c>
      <c r="K28" s="29" t="s">
        <v>442</v>
      </c>
      <c r="L28" s="29" t="s">
        <v>443</v>
      </c>
      <c r="M28" s="29" t="s">
        <v>486</v>
      </c>
      <c r="N28" s="30"/>
      <c r="O28" s="133"/>
      <c r="P28" s="224"/>
    </row>
    <row r="29" spans="1:16">
      <c r="A29">
        <v>28</v>
      </c>
      <c r="B29" t="s">
        <v>16</v>
      </c>
      <c r="C29" s="82" t="s">
        <v>468</v>
      </c>
      <c r="D29" s="29" t="s">
        <v>139</v>
      </c>
      <c r="E29" s="31" t="s">
        <v>487</v>
      </c>
      <c r="F29" s="119" t="s">
        <v>163</v>
      </c>
      <c r="G29" s="31" t="s">
        <v>487</v>
      </c>
      <c r="H29" s="119" t="s">
        <v>439</v>
      </c>
      <c r="I29" s="119" t="s">
        <v>470</v>
      </c>
      <c r="J29" s="119" t="s">
        <v>471</v>
      </c>
      <c r="K29" s="29" t="s">
        <v>442</v>
      </c>
      <c r="L29" s="29" t="s">
        <v>443</v>
      </c>
      <c r="M29" s="29" t="s">
        <v>480</v>
      </c>
      <c r="N29" s="30"/>
      <c r="O29" s="133"/>
      <c r="P29" s="224"/>
    </row>
    <row r="30" spans="1:16">
      <c r="A30">
        <v>29</v>
      </c>
      <c r="B30" t="s">
        <v>16</v>
      </c>
      <c r="C30" s="82" t="s">
        <v>468</v>
      </c>
      <c r="D30" s="29" t="s">
        <v>139</v>
      </c>
      <c r="E30" s="31" t="s">
        <v>488</v>
      </c>
      <c r="F30" s="119" t="s">
        <v>163</v>
      </c>
      <c r="G30" s="31" t="s">
        <v>488</v>
      </c>
      <c r="H30" s="119" t="s">
        <v>439</v>
      </c>
      <c r="I30" s="119" t="s">
        <v>470</v>
      </c>
      <c r="J30" s="119" t="s">
        <v>471</v>
      </c>
      <c r="K30" s="29" t="s">
        <v>442</v>
      </c>
      <c r="L30" s="29" t="s">
        <v>443</v>
      </c>
      <c r="M30" s="29" t="s">
        <v>474</v>
      </c>
      <c r="N30" s="30"/>
      <c r="O30" s="133"/>
      <c r="P30" s="224"/>
    </row>
    <row r="31" spans="1:16">
      <c r="A31">
        <v>30</v>
      </c>
      <c r="B31" t="s">
        <v>16</v>
      </c>
      <c r="C31" s="82" t="s">
        <v>468</v>
      </c>
      <c r="D31" s="29" t="s">
        <v>139</v>
      </c>
      <c r="E31" s="31" t="s">
        <v>489</v>
      </c>
      <c r="F31" s="119" t="s">
        <v>163</v>
      </c>
      <c r="G31" s="31" t="s">
        <v>489</v>
      </c>
      <c r="H31" s="119" t="s">
        <v>439</v>
      </c>
      <c r="I31" s="119" t="s">
        <v>470</v>
      </c>
      <c r="J31" s="119" t="s">
        <v>471</v>
      </c>
      <c r="K31" s="29" t="s">
        <v>442</v>
      </c>
      <c r="L31" s="29" t="s">
        <v>443</v>
      </c>
      <c r="M31" s="29" t="s">
        <v>476</v>
      </c>
      <c r="N31" s="30"/>
      <c r="O31" s="133"/>
      <c r="P31" s="224"/>
    </row>
    <row r="32" spans="1:16">
      <c r="A32">
        <v>31</v>
      </c>
      <c r="B32" t="s">
        <v>16</v>
      </c>
      <c r="C32" s="82" t="s">
        <v>468</v>
      </c>
      <c r="D32" s="29" t="s">
        <v>139</v>
      </c>
      <c r="E32" s="31" t="s">
        <v>490</v>
      </c>
      <c r="F32" s="119" t="s">
        <v>163</v>
      </c>
      <c r="G32" s="31" t="s">
        <v>490</v>
      </c>
      <c r="H32" s="119" t="s">
        <v>439</v>
      </c>
      <c r="I32" s="119" t="s">
        <v>440</v>
      </c>
      <c r="J32" s="119" t="s">
        <v>471</v>
      </c>
      <c r="K32" s="29" t="s">
        <v>442</v>
      </c>
      <c r="L32" s="29" t="s">
        <v>443</v>
      </c>
      <c r="M32" s="29" t="s">
        <v>478</v>
      </c>
      <c r="N32" s="30"/>
      <c r="O32" s="133"/>
      <c r="P32" s="224"/>
    </row>
    <row r="33" spans="1:16">
      <c r="A33">
        <v>32</v>
      </c>
      <c r="B33" t="s">
        <v>16</v>
      </c>
      <c r="C33" s="149" t="s">
        <v>468</v>
      </c>
      <c r="D33" s="227" t="s">
        <v>139</v>
      </c>
      <c r="E33" s="171" t="s">
        <v>491</v>
      </c>
      <c r="F33" s="172" t="s">
        <v>163</v>
      </c>
      <c r="G33" s="171" t="s">
        <v>491</v>
      </c>
      <c r="H33" s="172" t="s">
        <v>439</v>
      </c>
      <c r="I33" s="172" t="s">
        <v>470</v>
      </c>
      <c r="J33" s="172" t="s">
        <v>471</v>
      </c>
      <c r="K33" s="29" t="s">
        <v>442</v>
      </c>
      <c r="L33" s="29" t="s">
        <v>443</v>
      </c>
      <c r="M33" s="287" t="s">
        <v>480</v>
      </c>
      <c r="N33" s="30"/>
      <c r="O33" s="133"/>
      <c r="P33" s="224"/>
    </row>
    <row r="34" spans="1:16">
      <c r="A34">
        <v>33</v>
      </c>
      <c r="B34" t="s">
        <v>16</v>
      </c>
      <c r="C34" s="82" t="s">
        <v>468</v>
      </c>
      <c r="D34" s="29" t="s">
        <v>139</v>
      </c>
      <c r="E34" s="31" t="s">
        <v>492</v>
      </c>
      <c r="F34" s="119" t="s">
        <v>163</v>
      </c>
      <c r="G34" s="31" t="s">
        <v>492</v>
      </c>
      <c r="H34" s="119" t="s">
        <v>439</v>
      </c>
      <c r="I34" s="119" t="s">
        <v>470</v>
      </c>
      <c r="J34" s="119" t="s">
        <v>471</v>
      </c>
      <c r="K34" s="29" t="s">
        <v>442</v>
      </c>
      <c r="L34" s="29" t="s">
        <v>443</v>
      </c>
      <c r="M34" s="29" t="s">
        <v>482</v>
      </c>
      <c r="N34" s="30"/>
      <c r="O34" s="133"/>
      <c r="P34" s="224"/>
    </row>
    <row r="35" spans="1:16">
      <c r="A35">
        <v>34</v>
      </c>
      <c r="B35" t="s">
        <v>16</v>
      </c>
      <c r="C35" s="82" t="s">
        <v>468</v>
      </c>
      <c r="D35" s="29" t="s">
        <v>139</v>
      </c>
      <c r="E35" s="31" t="s">
        <v>493</v>
      </c>
      <c r="F35" s="119" t="s">
        <v>163</v>
      </c>
      <c r="G35" s="31" t="s">
        <v>493</v>
      </c>
      <c r="H35" s="119" t="s">
        <v>439</v>
      </c>
      <c r="I35" s="119" t="s">
        <v>470</v>
      </c>
      <c r="J35" s="119" t="s">
        <v>471</v>
      </c>
      <c r="K35" s="29" t="s">
        <v>442</v>
      </c>
      <c r="L35" s="29" t="s">
        <v>443</v>
      </c>
      <c r="M35" s="29" t="s">
        <v>484</v>
      </c>
      <c r="N35" s="30"/>
      <c r="O35" s="133"/>
      <c r="P35" s="224"/>
    </row>
    <row r="36" spans="1:16">
      <c r="A36">
        <v>35</v>
      </c>
      <c r="B36" t="s">
        <v>16</v>
      </c>
      <c r="C36" s="82" t="s">
        <v>468</v>
      </c>
      <c r="D36" s="29" t="s">
        <v>139</v>
      </c>
      <c r="E36" s="31" t="s">
        <v>494</v>
      </c>
      <c r="F36" s="119" t="s">
        <v>163</v>
      </c>
      <c r="G36" s="31" t="s">
        <v>494</v>
      </c>
      <c r="H36" s="119" t="s">
        <v>439</v>
      </c>
      <c r="I36" s="119" t="s">
        <v>440</v>
      </c>
      <c r="J36" s="119" t="s">
        <v>471</v>
      </c>
      <c r="K36" s="29" t="s">
        <v>442</v>
      </c>
      <c r="L36" s="29" t="s">
        <v>443</v>
      </c>
      <c r="M36" s="29" t="s">
        <v>486</v>
      </c>
      <c r="N36" s="30"/>
      <c r="O36" s="133"/>
      <c r="P36" s="224"/>
    </row>
    <row r="37" spans="1:16">
      <c r="A37">
        <v>36</v>
      </c>
      <c r="B37" t="s">
        <v>16</v>
      </c>
      <c r="C37" s="82" t="s">
        <v>83</v>
      </c>
      <c r="D37" s="29" t="s">
        <v>139</v>
      </c>
      <c r="E37" s="31" t="s">
        <v>495</v>
      </c>
      <c r="F37" s="31" t="s">
        <v>141</v>
      </c>
      <c r="G37" s="31" t="s">
        <v>495</v>
      </c>
      <c r="H37" s="119" t="s">
        <v>439</v>
      </c>
      <c r="I37" s="119" t="s">
        <v>470</v>
      </c>
      <c r="J37" s="119" t="s">
        <v>466</v>
      </c>
      <c r="K37" s="29" t="s">
        <v>442</v>
      </c>
      <c r="L37" s="29" t="s">
        <v>443</v>
      </c>
      <c r="M37" s="82"/>
      <c r="N37" s="30"/>
      <c r="O37" s="133"/>
      <c r="P37" s="224"/>
    </row>
    <row r="38" ht="20.25" spans="1:16">
      <c r="A38">
        <v>37</v>
      </c>
      <c r="B38" t="s">
        <v>16</v>
      </c>
      <c r="C38" s="82" t="s">
        <v>83</v>
      </c>
      <c r="D38" s="29" t="s">
        <v>139</v>
      </c>
      <c r="E38" s="31" t="s">
        <v>496</v>
      </c>
      <c r="F38" s="31" t="s">
        <v>141</v>
      </c>
      <c r="G38" s="31" t="s">
        <v>496</v>
      </c>
      <c r="H38" s="119" t="s">
        <v>439</v>
      </c>
      <c r="I38" s="119" t="s">
        <v>470</v>
      </c>
      <c r="J38" s="119" t="s">
        <v>466</v>
      </c>
      <c r="K38" s="29" t="s">
        <v>442</v>
      </c>
      <c r="L38" s="29" t="s">
        <v>443</v>
      </c>
      <c r="M38" s="329"/>
      <c r="N38" s="133"/>
      <c r="O38" s="133"/>
      <c r="P38" s="224"/>
    </row>
    <row r="39" ht="20.25" spans="1:16">
      <c r="A39">
        <v>38</v>
      </c>
      <c r="B39" t="s">
        <v>16</v>
      </c>
      <c r="C39" s="82" t="s">
        <v>83</v>
      </c>
      <c r="D39" s="29" t="s">
        <v>139</v>
      </c>
      <c r="E39" s="31" t="s">
        <v>497</v>
      </c>
      <c r="F39" s="31" t="s">
        <v>141</v>
      </c>
      <c r="G39" s="31" t="s">
        <v>497</v>
      </c>
      <c r="H39" s="119" t="s">
        <v>439</v>
      </c>
      <c r="I39" s="119" t="s">
        <v>470</v>
      </c>
      <c r="J39" s="119" t="s">
        <v>466</v>
      </c>
      <c r="K39" s="29" t="s">
        <v>442</v>
      </c>
      <c r="L39" s="29" t="s">
        <v>443</v>
      </c>
      <c r="M39" s="329"/>
      <c r="N39" s="133"/>
      <c r="O39" s="133"/>
      <c r="P39" s="224"/>
    </row>
    <row r="40" ht="20.25" spans="1:16">
      <c r="A40">
        <v>39</v>
      </c>
      <c r="B40" t="s">
        <v>16</v>
      </c>
      <c r="C40" s="82" t="s">
        <v>83</v>
      </c>
      <c r="D40" s="29" t="s">
        <v>139</v>
      </c>
      <c r="E40" s="31" t="s">
        <v>498</v>
      </c>
      <c r="F40" s="31" t="s">
        <v>499</v>
      </c>
      <c r="G40" s="31" t="s">
        <v>498</v>
      </c>
      <c r="H40" s="119" t="s">
        <v>439</v>
      </c>
      <c r="I40" s="119" t="s">
        <v>440</v>
      </c>
      <c r="J40" s="119" t="s">
        <v>446</v>
      </c>
      <c r="K40" s="29" t="s">
        <v>442</v>
      </c>
      <c r="L40" s="29" t="s">
        <v>443</v>
      </c>
      <c r="M40" s="329"/>
      <c r="N40" s="133"/>
      <c r="O40" s="133"/>
      <c r="P40" s="224"/>
    </row>
    <row r="41" ht="20.25" spans="1:16">
      <c r="A41">
        <v>40</v>
      </c>
      <c r="B41" t="s">
        <v>16</v>
      </c>
      <c r="C41" s="82" t="s">
        <v>83</v>
      </c>
      <c r="D41" s="29" t="s">
        <v>139</v>
      </c>
      <c r="E41" s="31" t="s">
        <v>500</v>
      </c>
      <c r="F41" s="31" t="s">
        <v>173</v>
      </c>
      <c r="G41" s="31" t="s">
        <v>500</v>
      </c>
      <c r="H41" s="119" t="s">
        <v>439</v>
      </c>
      <c r="I41" s="119" t="s">
        <v>470</v>
      </c>
      <c r="J41" s="119" t="s">
        <v>466</v>
      </c>
      <c r="K41" s="29" t="s">
        <v>442</v>
      </c>
      <c r="L41" s="29" t="s">
        <v>443</v>
      </c>
      <c r="M41" s="329"/>
      <c r="N41" s="133"/>
      <c r="O41" s="133"/>
      <c r="P41" s="224"/>
    </row>
    <row r="42" ht="20.25" spans="1:16">
      <c r="A42">
        <v>41</v>
      </c>
      <c r="B42" t="s">
        <v>16</v>
      </c>
      <c r="C42" s="82" t="s">
        <v>83</v>
      </c>
      <c r="D42" s="29" t="s">
        <v>139</v>
      </c>
      <c r="E42" s="31" t="s">
        <v>501</v>
      </c>
      <c r="F42" s="31" t="s">
        <v>173</v>
      </c>
      <c r="G42" s="31" t="s">
        <v>501</v>
      </c>
      <c r="H42" s="119" t="s">
        <v>439</v>
      </c>
      <c r="I42" s="119" t="s">
        <v>470</v>
      </c>
      <c r="J42" s="119" t="s">
        <v>466</v>
      </c>
      <c r="K42" s="29" t="s">
        <v>442</v>
      </c>
      <c r="L42" s="29" t="s">
        <v>443</v>
      </c>
      <c r="M42" s="329"/>
      <c r="N42" s="133"/>
      <c r="O42" s="133"/>
      <c r="P42" s="224"/>
    </row>
    <row r="43" ht="20.25" spans="1:16">
      <c r="A43">
        <v>42</v>
      </c>
      <c r="B43" t="s">
        <v>16</v>
      </c>
      <c r="C43" s="82" t="s">
        <v>83</v>
      </c>
      <c r="D43" s="29" t="s">
        <v>139</v>
      </c>
      <c r="E43" s="31" t="s">
        <v>502</v>
      </c>
      <c r="F43" s="31" t="s">
        <v>173</v>
      </c>
      <c r="G43" s="31" t="s">
        <v>502</v>
      </c>
      <c r="H43" s="119" t="s">
        <v>439</v>
      </c>
      <c r="I43" s="119" t="s">
        <v>470</v>
      </c>
      <c r="J43" s="119" t="s">
        <v>466</v>
      </c>
      <c r="K43" s="29" t="s">
        <v>442</v>
      </c>
      <c r="L43" s="29" t="s">
        <v>443</v>
      </c>
      <c r="M43" s="329"/>
      <c r="N43" s="133"/>
      <c r="O43" s="133"/>
      <c r="P43" s="224"/>
    </row>
    <row r="44" ht="20.25" spans="1:16">
      <c r="A44">
        <v>43</v>
      </c>
      <c r="B44" t="s">
        <v>16</v>
      </c>
      <c r="C44" s="82" t="s">
        <v>83</v>
      </c>
      <c r="D44" s="29" t="s">
        <v>139</v>
      </c>
      <c r="E44" s="31" t="s">
        <v>503</v>
      </c>
      <c r="F44" s="31" t="s">
        <v>173</v>
      </c>
      <c r="G44" s="31" t="s">
        <v>503</v>
      </c>
      <c r="H44" s="119" t="s">
        <v>439</v>
      </c>
      <c r="I44" s="119" t="s">
        <v>440</v>
      </c>
      <c r="J44" s="119" t="s">
        <v>466</v>
      </c>
      <c r="K44" s="29" t="s">
        <v>442</v>
      </c>
      <c r="L44" s="29" t="s">
        <v>443</v>
      </c>
      <c r="M44" s="329"/>
      <c r="N44" s="133"/>
      <c r="O44" s="133"/>
      <c r="P44" s="224"/>
    </row>
    <row r="45" ht="20.25" spans="1:16">
      <c r="A45">
        <v>44</v>
      </c>
      <c r="B45" t="s">
        <v>16</v>
      </c>
      <c r="C45" s="82" t="s">
        <v>86</v>
      </c>
      <c r="D45" s="29" t="s">
        <v>139</v>
      </c>
      <c r="E45" s="31" t="s">
        <v>504</v>
      </c>
      <c r="F45" s="31" t="s">
        <v>141</v>
      </c>
      <c r="G45" s="31" t="s">
        <v>504</v>
      </c>
      <c r="H45" s="119" t="s">
        <v>439</v>
      </c>
      <c r="I45" s="119" t="s">
        <v>470</v>
      </c>
      <c r="J45" s="119" t="s">
        <v>466</v>
      </c>
      <c r="K45" s="29" t="s">
        <v>442</v>
      </c>
      <c r="L45" s="29" t="s">
        <v>443</v>
      </c>
      <c r="M45" s="329"/>
      <c r="N45" s="133"/>
      <c r="O45" s="133"/>
      <c r="P45" s="224"/>
    </row>
    <row r="46" ht="20.25" spans="1:16">
      <c r="A46">
        <v>45</v>
      </c>
      <c r="B46" t="s">
        <v>16</v>
      </c>
      <c r="C46" s="82" t="s">
        <v>86</v>
      </c>
      <c r="D46" s="29" t="s">
        <v>139</v>
      </c>
      <c r="E46" s="31" t="s">
        <v>505</v>
      </c>
      <c r="F46" s="31" t="s">
        <v>141</v>
      </c>
      <c r="G46" s="31" t="s">
        <v>505</v>
      </c>
      <c r="H46" s="119" t="s">
        <v>439</v>
      </c>
      <c r="I46" s="119" t="s">
        <v>470</v>
      </c>
      <c r="J46" s="119" t="s">
        <v>466</v>
      </c>
      <c r="K46" s="29" t="s">
        <v>442</v>
      </c>
      <c r="L46" s="29" t="s">
        <v>443</v>
      </c>
      <c r="M46" s="329"/>
      <c r="N46" s="133"/>
      <c r="O46" s="133"/>
      <c r="P46" s="224"/>
    </row>
    <row r="47" ht="20.25" spans="1:16">
      <c r="A47">
        <v>46</v>
      </c>
      <c r="B47" t="s">
        <v>16</v>
      </c>
      <c r="C47" s="82" t="s">
        <v>86</v>
      </c>
      <c r="D47" s="29" t="s">
        <v>139</v>
      </c>
      <c r="E47" s="31" t="s">
        <v>506</v>
      </c>
      <c r="F47" s="31" t="s">
        <v>141</v>
      </c>
      <c r="G47" s="31" t="s">
        <v>506</v>
      </c>
      <c r="H47" s="119" t="s">
        <v>439</v>
      </c>
      <c r="I47" s="119" t="s">
        <v>470</v>
      </c>
      <c r="J47" s="119" t="s">
        <v>466</v>
      </c>
      <c r="K47" s="29" t="s">
        <v>442</v>
      </c>
      <c r="L47" s="29" t="s">
        <v>443</v>
      </c>
      <c r="M47" s="329"/>
      <c r="N47" s="133"/>
      <c r="O47" s="133"/>
      <c r="P47" s="224"/>
    </row>
    <row r="48" ht="20.25" spans="1:16">
      <c r="A48">
        <v>47</v>
      </c>
      <c r="B48" t="s">
        <v>16</v>
      </c>
      <c r="C48" s="82" t="s">
        <v>86</v>
      </c>
      <c r="D48" s="29" t="s">
        <v>139</v>
      </c>
      <c r="E48" s="31" t="s">
        <v>507</v>
      </c>
      <c r="F48" s="31" t="s">
        <v>141</v>
      </c>
      <c r="G48" s="31" t="s">
        <v>507</v>
      </c>
      <c r="H48" s="119" t="s">
        <v>439</v>
      </c>
      <c r="I48" s="119" t="s">
        <v>440</v>
      </c>
      <c r="J48" s="119" t="s">
        <v>446</v>
      </c>
      <c r="K48" s="29" t="s">
        <v>442</v>
      </c>
      <c r="L48" s="29" t="s">
        <v>443</v>
      </c>
      <c r="M48" s="329"/>
      <c r="N48" s="133"/>
      <c r="O48" s="133"/>
      <c r="P48" s="224"/>
    </row>
    <row r="49" ht="20.25" spans="1:16">
      <c r="A49">
        <v>48</v>
      </c>
      <c r="B49" t="s">
        <v>16</v>
      </c>
      <c r="C49" s="82" t="s">
        <v>86</v>
      </c>
      <c r="D49" s="29" t="s">
        <v>139</v>
      </c>
      <c r="E49" s="31" t="s">
        <v>508</v>
      </c>
      <c r="F49" s="31" t="s">
        <v>141</v>
      </c>
      <c r="G49" s="31" t="s">
        <v>508</v>
      </c>
      <c r="H49" s="119" t="s">
        <v>439</v>
      </c>
      <c r="I49" s="119" t="s">
        <v>470</v>
      </c>
      <c r="J49" s="119" t="s">
        <v>466</v>
      </c>
      <c r="K49" s="29" t="s">
        <v>442</v>
      </c>
      <c r="L49" s="29" t="s">
        <v>443</v>
      </c>
      <c r="M49" s="329"/>
      <c r="N49" s="133"/>
      <c r="O49" s="133"/>
      <c r="P49" s="224"/>
    </row>
    <row r="50" ht="20.25" spans="1:16">
      <c r="A50">
        <v>49</v>
      </c>
      <c r="B50" t="s">
        <v>16</v>
      </c>
      <c r="C50" s="82" t="s">
        <v>86</v>
      </c>
      <c r="D50" s="29" t="s">
        <v>139</v>
      </c>
      <c r="E50" s="31" t="s">
        <v>509</v>
      </c>
      <c r="F50" s="31" t="s">
        <v>141</v>
      </c>
      <c r="G50" s="31" t="s">
        <v>509</v>
      </c>
      <c r="H50" s="119" t="s">
        <v>439</v>
      </c>
      <c r="I50" s="119" t="s">
        <v>470</v>
      </c>
      <c r="J50" s="119" t="s">
        <v>466</v>
      </c>
      <c r="K50" s="29" t="s">
        <v>442</v>
      </c>
      <c r="L50" s="29" t="s">
        <v>443</v>
      </c>
      <c r="M50" s="329"/>
      <c r="N50" s="133"/>
      <c r="O50" s="133"/>
      <c r="P50" s="224"/>
    </row>
    <row r="51" ht="20.25" spans="1:16">
      <c r="A51">
        <v>50</v>
      </c>
      <c r="B51" t="s">
        <v>16</v>
      </c>
      <c r="C51" s="82" t="s">
        <v>86</v>
      </c>
      <c r="D51" s="29" t="s">
        <v>139</v>
      </c>
      <c r="E51" s="31" t="s">
        <v>510</v>
      </c>
      <c r="F51" s="31" t="s">
        <v>141</v>
      </c>
      <c r="G51" s="31" t="s">
        <v>510</v>
      </c>
      <c r="H51" s="119" t="s">
        <v>439</v>
      </c>
      <c r="I51" s="119" t="s">
        <v>470</v>
      </c>
      <c r="J51" s="119" t="s">
        <v>466</v>
      </c>
      <c r="K51" s="29" t="s">
        <v>442</v>
      </c>
      <c r="L51" s="29" t="s">
        <v>443</v>
      </c>
      <c r="M51" s="329"/>
      <c r="N51" s="133"/>
      <c r="O51" s="133"/>
      <c r="P51" s="224"/>
    </row>
    <row r="52" ht="20.25" spans="1:16">
      <c r="A52">
        <v>51</v>
      </c>
      <c r="B52" t="s">
        <v>16</v>
      </c>
      <c r="C52" s="82" t="s">
        <v>86</v>
      </c>
      <c r="D52" s="29" t="s">
        <v>139</v>
      </c>
      <c r="E52" s="31" t="s">
        <v>511</v>
      </c>
      <c r="F52" s="31" t="s">
        <v>141</v>
      </c>
      <c r="G52" s="31" t="s">
        <v>511</v>
      </c>
      <c r="H52" s="119" t="s">
        <v>439</v>
      </c>
      <c r="I52" s="119" t="s">
        <v>440</v>
      </c>
      <c r="J52" s="330" t="s">
        <v>446</v>
      </c>
      <c r="K52" s="29" t="s">
        <v>442</v>
      </c>
      <c r="L52" s="29" t="s">
        <v>443</v>
      </c>
      <c r="M52" s="329"/>
      <c r="N52" s="133"/>
      <c r="O52" s="133"/>
      <c r="P52" s="224"/>
    </row>
    <row r="53" spans="1:16">
      <c r="A53">
        <v>52</v>
      </c>
      <c r="B53" t="s">
        <v>16</v>
      </c>
      <c r="C53" s="129" t="s">
        <v>468</v>
      </c>
      <c r="D53" s="118" t="s">
        <v>139</v>
      </c>
      <c r="E53" s="31" t="s">
        <v>512</v>
      </c>
      <c r="F53" s="31" t="s">
        <v>173</v>
      </c>
      <c r="G53" s="31" t="s">
        <v>512</v>
      </c>
      <c r="H53" s="119" t="s">
        <v>439</v>
      </c>
      <c r="I53" s="119" t="s">
        <v>149</v>
      </c>
      <c r="J53" s="119" t="s">
        <v>441</v>
      </c>
      <c r="K53" s="29" t="s">
        <v>442</v>
      </c>
      <c r="L53" s="29" t="s">
        <v>443</v>
      </c>
      <c r="M53" s="331" t="s">
        <v>513</v>
      </c>
      <c r="N53" s="198"/>
      <c r="O53" s="198" t="s">
        <v>184</v>
      </c>
      <c r="P53" s="224"/>
    </row>
    <row r="54" spans="1:16">
      <c r="A54">
        <v>53</v>
      </c>
      <c r="B54" t="s">
        <v>16</v>
      </c>
      <c r="C54" s="129" t="s">
        <v>468</v>
      </c>
      <c r="D54" s="118" t="s">
        <v>139</v>
      </c>
      <c r="E54" s="31" t="s">
        <v>514</v>
      </c>
      <c r="F54" s="31" t="s">
        <v>141</v>
      </c>
      <c r="G54" s="31" t="s">
        <v>514</v>
      </c>
      <c r="H54" s="119" t="s">
        <v>439</v>
      </c>
      <c r="I54" s="119" t="s">
        <v>440</v>
      </c>
      <c r="J54" s="119" t="s">
        <v>441</v>
      </c>
      <c r="K54" s="29" t="s">
        <v>442</v>
      </c>
      <c r="L54" s="29" t="s">
        <v>443</v>
      </c>
      <c r="M54" s="331" t="s">
        <v>515</v>
      </c>
      <c r="N54" s="198"/>
      <c r="O54" s="198" t="s">
        <v>237</v>
      </c>
      <c r="P54" s="224"/>
    </row>
    <row r="55" spans="1:16">
      <c r="A55">
        <v>54</v>
      </c>
      <c r="B55" t="s">
        <v>16</v>
      </c>
      <c r="C55" s="129" t="s">
        <v>468</v>
      </c>
      <c r="D55" s="118" t="s">
        <v>139</v>
      </c>
      <c r="E55" s="31" t="s">
        <v>516</v>
      </c>
      <c r="F55" s="31" t="s">
        <v>141</v>
      </c>
      <c r="G55" s="31" t="s">
        <v>516</v>
      </c>
      <c r="H55" s="119" t="s">
        <v>439</v>
      </c>
      <c r="I55" s="119" t="s">
        <v>440</v>
      </c>
      <c r="J55" s="119" t="s">
        <v>441</v>
      </c>
      <c r="K55" s="29" t="s">
        <v>442</v>
      </c>
      <c r="L55" s="29" t="s">
        <v>443</v>
      </c>
      <c r="M55" s="331" t="s">
        <v>517</v>
      </c>
      <c r="N55" s="198"/>
      <c r="O55" s="198" t="s">
        <v>237</v>
      </c>
      <c r="P55" s="224"/>
    </row>
    <row r="56" spans="1:16">
      <c r="A56">
        <v>55</v>
      </c>
      <c r="B56" t="s">
        <v>16</v>
      </c>
      <c r="C56" s="129" t="s">
        <v>468</v>
      </c>
      <c r="D56" s="118" t="s">
        <v>139</v>
      </c>
      <c r="E56" s="31" t="s">
        <v>518</v>
      </c>
      <c r="F56" s="31" t="s">
        <v>141</v>
      </c>
      <c r="G56" s="31" t="s">
        <v>518</v>
      </c>
      <c r="H56" s="119" t="s">
        <v>439</v>
      </c>
      <c r="I56" s="119" t="s">
        <v>440</v>
      </c>
      <c r="J56" s="119" t="s">
        <v>441</v>
      </c>
      <c r="K56" s="29" t="s">
        <v>442</v>
      </c>
      <c r="L56" s="29" t="s">
        <v>443</v>
      </c>
      <c r="M56" s="331" t="s">
        <v>519</v>
      </c>
      <c r="N56" s="198"/>
      <c r="O56" s="198" t="s">
        <v>237</v>
      </c>
      <c r="P56" s="224"/>
    </row>
    <row r="57" spans="1:16">
      <c r="A57">
        <v>56</v>
      </c>
      <c r="B57" t="s">
        <v>16</v>
      </c>
      <c r="C57" s="129" t="s">
        <v>468</v>
      </c>
      <c r="D57" s="118" t="s">
        <v>139</v>
      </c>
      <c r="E57" s="31" t="s">
        <v>520</v>
      </c>
      <c r="F57" s="31" t="s">
        <v>173</v>
      </c>
      <c r="G57" s="31" t="s">
        <v>520</v>
      </c>
      <c r="H57" s="119" t="s">
        <v>439</v>
      </c>
      <c r="I57" s="119" t="s">
        <v>149</v>
      </c>
      <c r="J57" s="119" t="s">
        <v>441</v>
      </c>
      <c r="K57" s="29" t="s">
        <v>442</v>
      </c>
      <c r="L57" s="29" t="s">
        <v>443</v>
      </c>
      <c r="M57" s="331" t="s">
        <v>521</v>
      </c>
      <c r="N57" s="198"/>
      <c r="O57" s="198" t="s">
        <v>184</v>
      </c>
      <c r="P57" s="224"/>
    </row>
    <row r="58" spans="1:16">
      <c r="A58">
        <v>57</v>
      </c>
      <c r="B58" t="s">
        <v>16</v>
      </c>
      <c r="C58" s="129" t="s">
        <v>468</v>
      </c>
      <c r="D58" s="118" t="s">
        <v>139</v>
      </c>
      <c r="E58" s="31" t="s">
        <v>522</v>
      </c>
      <c r="F58" s="31" t="s">
        <v>141</v>
      </c>
      <c r="G58" s="31" t="s">
        <v>522</v>
      </c>
      <c r="H58" s="119" t="s">
        <v>439</v>
      </c>
      <c r="I58" s="119" t="s">
        <v>440</v>
      </c>
      <c r="J58" s="119" t="s">
        <v>441</v>
      </c>
      <c r="K58" s="29" t="s">
        <v>442</v>
      </c>
      <c r="L58" s="29" t="s">
        <v>443</v>
      </c>
      <c r="M58" s="332" t="s">
        <v>523</v>
      </c>
      <c r="N58" s="198"/>
      <c r="O58" s="198" t="s">
        <v>198</v>
      </c>
      <c r="P58" s="224"/>
    </row>
    <row r="59" spans="1:16">
      <c r="A59">
        <v>58</v>
      </c>
      <c r="B59" t="s">
        <v>16</v>
      </c>
      <c r="C59" s="129" t="s">
        <v>468</v>
      </c>
      <c r="D59" s="118" t="s">
        <v>139</v>
      </c>
      <c r="E59" s="31" t="s">
        <v>524</v>
      </c>
      <c r="F59" s="31" t="s">
        <v>141</v>
      </c>
      <c r="G59" s="31" t="s">
        <v>524</v>
      </c>
      <c r="H59" s="119" t="s">
        <v>439</v>
      </c>
      <c r="I59" s="119" t="s">
        <v>440</v>
      </c>
      <c r="J59" s="119" t="s">
        <v>441</v>
      </c>
      <c r="K59" s="29" t="s">
        <v>442</v>
      </c>
      <c r="L59" s="29" t="s">
        <v>443</v>
      </c>
      <c r="M59" s="331" t="s">
        <v>525</v>
      </c>
      <c r="N59" s="198"/>
      <c r="O59" s="198" t="s">
        <v>237</v>
      </c>
      <c r="P59" s="224"/>
    </row>
    <row r="60" spans="1:16">
      <c r="A60">
        <v>59</v>
      </c>
      <c r="B60" t="s">
        <v>16</v>
      </c>
      <c r="C60" s="129" t="s">
        <v>468</v>
      </c>
      <c r="D60" s="118" t="s">
        <v>139</v>
      </c>
      <c r="E60" s="31" t="s">
        <v>526</v>
      </c>
      <c r="F60" s="31" t="s">
        <v>141</v>
      </c>
      <c r="G60" s="31" t="s">
        <v>526</v>
      </c>
      <c r="H60" s="119" t="s">
        <v>439</v>
      </c>
      <c r="I60" s="119" t="s">
        <v>440</v>
      </c>
      <c r="J60" s="119" t="s">
        <v>441</v>
      </c>
      <c r="K60" s="29" t="s">
        <v>442</v>
      </c>
      <c r="L60" s="29" t="s">
        <v>443</v>
      </c>
      <c r="M60" s="331" t="s">
        <v>527</v>
      </c>
      <c r="N60" s="198"/>
      <c r="O60" s="198" t="s">
        <v>237</v>
      </c>
      <c r="P60" s="224"/>
    </row>
    <row r="61" spans="1:16">
      <c r="A61">
        <v>60</v>
      </c>
      <c r="B61" t="s">
        <v>16</v>
      </c>
      <c r="C61" s="129" t="s">
        <v>468</v>
      </c>
      <c r="D61" s="118" t="s">
        <v>139</v>
      </c>
      <c r="E61" s="31" t="s">
        <v>528</v>
      </c>
      <c r="F61" s="31" t="s">
        <v>141</v>
      </c>
      <c r="G61" s="31" t="s">
        <v>528</v>
      </c>
      <c r="H61" s="119" t="s">
        <v>439</v>
      </c>
      <c r="I61" s="119" t="s">
        <v>149</v>
      </c>
      <c r="J61" s="119" t="s">
        <v>441</v>
      </c>
      <c r="K61" s="29" t="s">
        <v>442</v>
      </c>
      <c r="L61" s="29" t="s">
        <v>443</v>
      </c>
      <c r="M61" s="331" t="s">
        <v>529</v>
      </c>
      <c r="N61" s="198"/>
      <c r="O61" s="198" t="s">
        <v>237</v>
      </c>
      <c r="P61" s="224"/>
    </row>
    <row r="62" spans="1:16">
      <c r="A62">
        <v>61</v>
      </c>
      <c r="B62" t="s">
        <v>16</v>
      </c>
      <c r="C62" s="129" t="s">
        <v>468</v>
      </c>
      <c r="D62" s="118" t="s">
        <v>139</v>
      </c>
      <c r="E62" s="31" t="s">
        <v>530</v>
      </c>
      <c r="F62" s="31" t="s">
        <v>141</v>
      </c>
      <c r="G62" s="31" t="s">
        <v>530</v>
      </c>
      <c r="H62" s="119" t="s">
        <v>439</v>
      </c>
      <c r="I62" s="119" t="s">
        <v>440</v>
      </c>
      <c r="J62" s="119" t="s">
        <v>441</v>
      </c>
      <c r="K62" s="29" t="s">
        <v>442</v>
      </c>
      <c r="L62" s="29" t="s">
        <v>443</v>
      </c>
      <c r="M62" s="251" t="s">
        <v>531</v>
      </c>
      <c r="N62" s="198"/>
      <c r="O62" s="198" t="s">
        <v>198</v>
      </c>
      <c r="P62" s="224"/>
    </row>
    <row r="63" spans="1:16">
      <c r="A63">
        <v>62</v>
      </c>
      <c r="B63" t="s">
        <v>16</v>
      </c>
      <c r="C63" s="129" t="s">
        <v>468</v>
      </c>
      <c r="D63" s="118" t="s">
        <v>139</v>
      </c>
      <c r="E63" s="31" t="s">
        <v>532</v>
      </c>
      <c r="F63" s="31" t="s">
        <v>141</v>
      </c>
      <c r="G63" s="31" t="s">
        <v>532</v>
      </c>
      <c r="H63" s="119" t="s">
        <v>439</v>
      </c>
      <c r="I63" s="119" t="s">
        <v>440</v>
      </c>
      <c r="J63" s="119" t="s">
        <v>441</v>
      </c>
      <c r="K63" s="29" t="s">
        <v>442</v>
      </c>
      <c r="L63" s="29" t="s">
        <v>443</v>
      </c>
      <c r="M63" s="251" t="s">
        <v>533</v>
      </c>
      <c r="N63" s="198"/>
      <c r="O63" s="198" t="s">
        <v>184</v>
      </c>
      <c r="P63" s="224"/>
    </row>
    <row r="64" spans="1:16">
      <c r="A64">
        <v>63</v>
      </c>
      <c r="B64" t="s">
        <v>16</v>
      </c>
      <c r="C64" s="129" t="s">
        <v>468</v>
      </c>
      <c r="D64" s="118" t="s">
        <v>139</v>
      </c>
      <c r="E64" s="31" t="s">
        <v>534</v>
      </c>
      <c r="F64" s="119" t="s">
        <v>141</v>
      </c>
      <c r="G64" s="31" t="s">
        <v>534</v>
      </c>
      <c r="H64" s="119" t="s">
        <v>439</v>
      </c>
      <c r="I64" s="119" t="s">
        <v>149</v>
      </c>
      <c r="J64" s="119" t="s">
        <v>446</v>
      </c>
      <c r="K64" s="29" t="s">
        <v>442</v>
      </c>
      <c r="L64" s="29" t="s">
        <v>443</v>
      </c>
      <c r="M64" s="251" t="s">
        <v>535</v>
      </c>
      <c r="N64" s="198"/>
      <c r="O64" s="198" t="s">
        <v>184</v>
      </c>
      <c r="P64" s="224"/>
    </row>
    <row r="65" spans="1:16">
      <c r="A65">
        <v>64</v>
      </c>
      <c r="B65" t="s">
        <v>16</v>
      </c>
      <c r="C65" s="129" t="s">
        <v>83</v>
      </c>
      <c r="D65" s="118" t="s">
        <v>139</v>
      </c>
      <c r="E65" s="31" t="s">
        <v>536</v>
      </c>
      <c r="F65" s="31" t="s">
        <v>141</v>
      </c>
      <c r="G65" s="31" t="s">
        <v>536</v>
      </c>
      <c r="H65" s="119" t="s">
        <v>453</v>
      </c>
      <c r="I65" s="119" t="s">
        <v>440</v>
      </c>
      <c r="J65" s="119" t="s">
        <v>441</v>
      </c>
      <c r="K65" s="29" t="s">
        <v>442</v>
      </c>
      <c r="L65" s="29" t="s">
        <v>443</v>
      </c>
      <c r="M65" s="29" t="s">
        <v>537</v>
      </c>
      <c r="N65" s="198"/>
      <c r="O65" s="198" t="s">
        <v>237</v>
      </c>
      <c r="P65" s="224"/>
    </row>
    <row r="66" spans="1:16">
      <c r="A66">
        <v>65</v>
      </c>
      <c r="B66" t="s">
        <v>16</v>
      </c>
      <c r="C66" s="129" t="s">
        <v>83</v>
      </c>
      <c r="D66" s="118" t="s">
        <v>139</v>
      </c>
      <c r="E66" s="31" t="s">
        <v>538</v>
      </c>
      <c r="F66" s="31" t="s">
        <v>141</v>
      </c>
      <c r="G66" s="31" t="s">
        <v>538</v>
      </c>
      <c r="H66" s="119" t="s">
        <v>439</v>
      </c>
      <c r="I66" s="119" t="s">
        <v>440</v>
      </c>
      <c r="J66" s="119" t="s">
        <v>446</v>
      </c>
      <c r="K66" s="29" t="s">
        <v>442</v>
      </c>
      <c r="L66" s="29" t="s">
        <v>443</v>
      </c>
      <c r="M66" s="29" t="s">
        <v>539</v>
      </c>
      <c r="N66" s="198"/>
      <c r="O66" s="198" t="s">
        <v>237</v>
      </c>
      <c r="P66" s="224"/>
    </row>
    <row r="67" spans="1:16">
      <c r="A67">
        <v>66</v>
      </c>
      <c r="B67" t="s">
        <v>16</v>
      </c>
      <c r="C67" s="129" t="s">
        <v>83</v>
      </c>
      <c r="D67" s="118" t="s">
        <v>139</v>
      </c>
      <c r="E67" s="31" t="s">
        <v>540</v>
      </c>
      <c r="F67" s="31" t="s">
        <v>141</v>
      </c>
      <c r="G67" s="31" t="s">
        <v>540</v>
      </c>
      <c r="H67" s="119" t="s">
        <v>439</v>
      </c>
      <c r="I67" s="119" t="s">
        <v>440</v>
      </c>
      <c r="J67" s="119" t="s">
        <v>441</v>
      </c>
      <c r="K67" s="29" t="s">
        <v>442</v>
      </c>
      <c r="L67" s="29" t="s">
        <v>443</v>
      </c>
      <c r="M67" s="31" t="s">
        <v>541</v>
      </c>
      <c r="N67" s="198"/>
      <c r="O67" s="198" t="s">
        <v>198</v>
      </c>
      <c r="P67" s="224"/>
    </row>
    <row r="68" spans="1:16">
      <c r="A68">
        <v>67</v>
      </c>
      <c r="B68" t="s">
        <v>16</v>
      </c>
      <c r="C68" s="129" t="s">
        <v>83</v>
      </c>
      <c r="D68" s="118" t="s">
        <v>139</v>
      </c>
      <c r="E68" s="31" t="s">
        <v>542</v>
      </c>
      <c r="F68" s="31" t="s">
        <v>141</v>
      </c>
      <c r="G68" s="31" t="s">
        <v>542</v>
      </c>
      <c r="H68" s="119" t="s">
        <v>439</v>
      </c>
      <c r="I68" s="119" t="s">
        <v>440</v>
      </c>
      <c r="J68" s="119" t="s">
        <v>446</v>
      </c>
      <c r="K68" s="29" t="s">
        <v>442</v>
      </c>
      <c r="L68" s="29" t="s">
        <v>443</v>
      </c>
      <c r="M68" s="331" t="s">
        <v>543</v>
      </c>
      <c r="N68" s="198"/>
      <c r="O68" s="198" t="s">
        <v>237</v>
      </c>
      <c r="P68" s="224"/>
    </row>
    <row r="69" spans="1:16">
      <c r="A69">
        <v>68</v>
      </c>
      <c r="B69" t="s">
        <v>16</v>
      </c>
      <c r="C69" s="129" t="s">
        <v>83</v>
      </c>
      <c r="D69" s="118" t="s">
        <v>139</v>
      </c>
      <c r="E69" s="31" t="s">
        <v>544</v>
      </c>
      <c r="F69" s="31" t="s">
        <v>141</v>
      </c>
      <c r="G69" s="31" t="s">
        <v>544</v>
      </c>
      <c r="H69" s="119" t="s">
        <v>439</v>
      </c>
      <c r="I69" s="119" t="s">
        <v>440</v>
      </c>
      <c r="J69" s="119" t="s">
        <v>446</v>
      </c>
      <c r="K69" s="29" t="s">
        <v>442</v>
      </c>
      <c r="L69" s="29" t="s">
        <v>443</v>
      </c>
      <c r="M69" s="29" t="s">
        <v>545</v>
      </c>
      <c r="N69" s="198"/>
      <c r="O69" s="198" t="s">
        <v>198</v>
      </c>
      <c r="P69" s="224"/>
    </row>
    <row r="70" spans="1:16">
      <c r="A70">
        <v>69</v>
      </c>
      <c r="B70" t="s">
        <v>16</v>
      </c>
      <c r="C70" s="129" t="s">
        <v>83</v>
      </c>
      <c r="D70" s="118" t="s">
        <v>139</v>
      </c>
      <c r="E70" s="31" t="s">
        <v>546</v>
      </c>
      <c r="F70" s="31" t="s">
        <v>141</v>
      </c>
      <c r="G70" s="31" t="s">
        <v>546</v>
      </c>
      <c r="H70" s="119" t="s">
        <v>439</v>
      </c>
      <c r="I70" s="119" t="s">
        <v>440</v>
      </c>
      <c r="J70" s="119" t="s">
        <v>441</v>
      </c>
      <c r="K70" s="29" t="s">
        <v>442</v>
      </c>
      <c r="L70" s="29" t="s">
        <v>443</v>
      </c>
      <c r="M70" s="29" t="s">
        <v>547</v>
      </c>
      <c r="N70" s="198"/>
      <c r="O70" s="198" t="s">
        <v>237</v>
      </c>
      <c r="P70" s="224"/>
    </row>
    <row r="71" spans="1:16">
      <c r="A71">
        <v>70</v>
      </c>
      <c r="B71" t="s">
        <v>16</v>
      </c>
      <c r="C71" s="129" t="s">
        <v>83</v>
      </c>
      <c r="D71" s="118" t="s">
        <v>139</v>
      </c>
      <c r="E71" s="31" t="s">
        <v>548</v>
      </c>
      <c r="F71" s="31" t="s">
        <v>141</v>
      </c>
      <c r="G71" s="31" t="s">
        <v>548</v>
      </c>
      <c r="H71" s="119" t="s">
        <v>439</v>
      </c>
      <c r="I71" s="119" t="s">
        <v>440</v>
      </c>
      <c r="J71" s="119" t="s">
        <v>446</v>
      </c>
      <c r="K71" s="29" t="s">
        <v>442</v>
      </c>
      <c r="L71" s="29" t="s">
        <v>443</v>
      </c>
      <c r="M71" s="331" t="s">
        <v>549</v>
      </c>
      <c r="N71" s="198"/>
      <c r="O71" s="198" t="s">
        <v>184</v>
      </c>
      <c r="P71" s="224"/>
    </row>
    <row r="72" spans="1:16">
      <c r="A72">
        <v>71</v>
      </c>
      <c r="B72" t="s">
        <v>16</v>
      </c>
      <c r="C72" s="129" t="s">
        <v>86</v>
      </c>
      <c r="D72" s="118" t="s">
        <v>139</v>
      </c>
      <c r="E72" s="31" t="s">
        <v>550</v>
      </c>
      <c r="F72" s="31" t="s">
        <v>141</v>
      </c>
      <c r="G72" s="31" t="s">
        <v>550</v>
      </c>
      <c r="H72" s="119" t="s">
        <v>460</v>
      </c>
      <c r="I72" s="119" t="s">
        <v>440</v>
      </c>
      <c r="J72" s="119" t="s">
        <v>446</v>
      </c>
      <c r="K72" s="29" t="s">
        <v>442</v>
      </c>
      <c r="L72" s="29" t="s">
        <v>443</v>
      </c>
      <c r="M72" s="29" t="s">
        <v>551</v>
      </c>
      <c r="N72" s="198"/>
      <c r="O72" s="198" t="s">
        <v>552</v>
      </c>
      <c r="P72" s="224"/>
    </row>
    <row r="73" spans="1:16">
      <c r="A73">
        <v>72</v>
      </c>
      <c r="B73" t="s">
        <v>16</v>
      </c>
      <c r="C73" s="129" t="s">
        <v>86</v>
      </c>
      <c r="D73" s="118" t="s">
        <v>139</v>
      </c>
      <c r="E73" s="31" t="s">
        <v>553</v>
      </c>
      <c r="F73" s="31" t="s">
        <v>141</v>
      </c>
      <c r="G73" s="31" t="s">
        <v>553</v>
      </c>
      <c r="H73" s="119" t="s">
        <v>460</v>
      </c>
      <c r="I73" s="119" t="s">
        <v>554</v>
      </c>
      <c r="J73" s="119" t="s">
        <v>441</v>
      </c>
      <c r="K73" s="29" t="s">
        <v>442</v>
      </c>
      <c r="L73" s="29" t="s">
        <v>443</v>
      </c>
      <c r="M73" s="29" t="s">
        <v>555</v>
      </c>
      <c r="N73" s="198"/>
      <c r="O73" s="198" t="s">
        <v>237</v>
      </c>
      <c r="P73" s="224"/>
    </row>
    <row r="74" spans="1:16">
      <c r="A74">
        <v>73</v>
      </c>
      <c r="B74" t="s">
        <v>16</v>
      </c>
      <c r="C74" s="129" t="s">
        <v>86</v>
      </c>
      <c r="D74" s="118" t="s">
        <v>139</v>
      </c>
      <c r="E74" s="31" t="s">
        <v>556</v>
      </c>
      <c r="F74" s="31" t="s">
        <v>141</v>
      </c>
      <c r="G74" s="31" t="s">
        <v>556</v>
      </c>
      <c r="H74" s="119" t="s">
        <v>460</v>
      </c>
      <c r="I74" s="119" t="s">
        <v>554</v>
      </c>
      <c r="J74" s="119" t="s">
        <v>441</v>
      </c>
      <c r="K74" s="29" t="s">
        <v>442</v>
      </c>
      <c r="L74" s="29" t="s">
        <v>443</v>
      </c>
      <c r="M74" s="29" t="s">
        <v>557</v>
      </c>
      <c r="N74" s="198"/>
      <c r="O74" s="198" t="s">
        <v>237</v>
      </c>
      <c r="P74" s="224"/>
    </row>
    <row r="75" spans="1:16">
      <c r="A75">
        <v>74</v>
      </c>
      <c r="B75" t="s">
        <v>16</v>
      </c>
      <c r="C75" s="129" t="s">
        <v>86</v>
      </c>
      <c r="D75" s="118" t="s">
        <v>139</v>
      </c>
      <c r="E75" s="31" t="s">
        <v>558</v>
      </c>
      <c r="F75" s="31" t="s">
        <v>141</v>
      </c>
      <c r="G75" s="31" t="s">
        <v>558</v>
      </c>
      <c r="H75" s="119" t="s">
        <v>460</v>
      </c>
      <c r="I75" s="119" t="s">
        <v>554</v>
      </c>
      <c r="J75" s="119" t="s">
        <v>441</v>
      </c>
      <c r="K75" s="29" t="s">
        <v>442</v>
      </c>
      <c r="L75" s="29" t="s">
        <v>443</v>
      </c>
      <c r="M75" s="29" t="s">
        <v>559</v>
      </c>
      <c r="N75" s="198">
        <v>50712021</v>
      </c>
      <c r="O75" s="198" t="s">
        <v>237</v>
      </c>
      <c r="P75" s="224"/>
    </row>
    <row r="76" spans="1:16">
      <c r="A76">
        <v>75</v>
      </c>
      <c r="B76" t="s">
        <v>16</v>
      </c>
      <c r="C76" s="129" t="s">
        <v>86</v>
      </c>
      <c r="D76" s="118" t="s">
        <v>139</v>
      </c>
      <c r="E76" s="31" t="s">
        <v>560</v>
      </c>
      <c r="F76" s="31" t="s">
        <v>141</v>
      </c>
      <c r="G76" s="31" t="s">
        <v>560</v>
      </c>
      <c r="H76" s="119" t="s">
        <v>460</v>
      </c>
      <c r="I76" s="119" t="s">
        <v>554</v>
      </c>
      <c r="J76" s="119" t="s">
        <v>441</v>
      </c>
      <c r="K76" s="29" t="s">
        <v>442</v>
      </c>
      <c r="L76" s="29" t="s">
        <v>443</v>
      </c>
      <c r="M76" s="133" t="s">
        <v>513</v>
      </c>
      <c r="N76" s="198">
        <v>51154846</v>
      </c>
      <c r="O76" s="198" t="s">
        <v>237</v>
      </c>
      <c r="P76" s="224"/>
    </row>
    <row r="77" spans="1:16">
      <c r="A77">
        <v>76</v>
      </c>
      <c r="B77" t="s">
        <v>16</v>
      </c>
      <c r="C77" s="129" t="s">
        <v>86</v>
      </c>
      <c r="D77" s="118" t="s">
        <v>139</v>
      </c>
      <c r="E77" s="31" t="s">
        <v>561</v>
      </c>
      <c r="F77" s="31" t="s">
        <v>141</v>
      </c>
      <c r="G77" s="31" t="s">
        <v>561</v>
      </c>
      <c r="H77" s="119" t="s">
        <v>460</v>
      </c>
      <c r="I77" s="119" t="s">
        <v>562</v>
      </c>
      <c r="J77" s="119" t="s">
        <v>446</v>
      </c>
      <c r="K77" s="29" t="s">
        <v>442</v>
      </c>
      <c r="L77" s="29" t="s">
        <v>443</v>
      </c>
      <c r="M77" s="133" t="s">
        <v>513</v>
      </c>
      <c r="N77" s="198" t="s">
        <v>563</v>
      </c>
      <c r="O77" s="198" t="s">
        <v>184</v>
      </c>
      <c r="P77" s="224"/>
    </row>
    <row r="78" spans="1:16">
      <c r="A78">
        <v>77</v>
      </c>
      <c r="B78" t="s">
        <v>16</v>
      </c>
      <c r="C78" s="129" t="s">
        <v>86</v>
      </c>
      <c r="D78" s="118" t="s">
        <v>139</v>
      </c>
      <c r="E78" s="31" t="s">
        <v>564</v>
      </c>
      <c r="F78" s="31" t="s">
        <v>141</v>
      </c>
      <c r="G78" s="31" t="s">
        <v>564</v>
      </c>
      <c r="H78" s="119" t="s">
        <v>460</v>
      </c>
      <c r="I78" s="119" t="s">
        <v>562</v>
      </c>
      <c r="J78" s="119" t="s">
        <v>441</v>
      </c>
      <c r="K78" s="29" t="s">
        <v>442</v>
      </c>
      <c r="L78" s="29" t="s">
        <v>443</v>
      </c>
      <c r="M78" s="133" t="s">
        <v>565</v>
      </c>
      <c r="N78" s="198"/>
      <c r="O78" s="198" t="s">
        <v>184</v>
      </c>
      <c r="P78" s="224"/>
    </row>
    <row r="79" spans="1:15">
      <c r="A79">
        <v>78</v>
      </c>
      <c r="B79" s="333" t="s">
        <v>16</v>
      </c>
      <c r="C79" s="334" t="s">
        <v>566</v>
      </c>
      <c r="D79" s="335" t="s">
        <v>139</v>
      </c>
      <c r="E79" s="336" t="s">
        <v>567</v>
      </c>
      <c r="F79" s="337" t="s">
        <v>173</v>
      </c>
      <c r="G79" s="336" t="s">
        <v>567</v>
      </c>
      <c r="H79" s="14" t="s">
        <v>439</v>
      </c>
      <c r="I79" s="337" t="s">
        <v>470</v>
      </c>
      <c r="J79" s="337" t="s">
        <v>466</v>
      </c>
      <c r="K79" s="282"/>
      <c r="L79" s="282"/>
      <c r="M79" s="333"/>
      <c r="N79" s="333"/>
      <c r="O79" s="269" t="s">
        <v>181</v>
      </c>
    </row>
    <row r="80" spans="1:15">
      <c r="A80">
        <v>79</v>
      </c>
      <c r="B80" s="333" t="s">
        <v>16</v>
      </c>
      <c r="C80" s="334" t="s">
        <v>566</v>
      </c>
      <c r="D80" s="335" t="s">
        <v>139</v>
      </c>
      <c r="E80" s="336" t="s">
        <v>568</v>
      </c>
      <c r="F80" s="337" t="s">
        <v>173</v>
      </c>
      <c r="G80" s="336" t="s">
        <v>568</v>
      </c>
      <c r="H80" s="14" t="s">
        <v>439</v>
      </c>
      <c r="I80" s="337" t="s">
        <v>470</v>
      </c>
      <c r="J80" s="337" t="s">
        <v>466</v>
      </c>
      <c r="K80" s="282"/>
      <c r="L80" s="282"/>
      <c r="M80" s="333"/>
      <c r="N80" s="333"/>
      <c r="O80" s="269" t="s">
        <v>181</v>
      </c>
    </row>
    <row r="81" spans="1:15">
      <c r="A81">
        <v>80</v>
      </c>
      <c r="B81" s="333" t="s">
        <v>16</v>
      </c>
      <c r="C81" s="334" t="s">
        <v>468</v>
      </c>
      <c r="D81" s="335" t="s">
        <v>139</v>
      </c>
      <c r="E81" s="336" t="s">
        <v>569</v>
      </c>
      <c r="F81" s="337" t="s">
        <v>173</v>
      </c>
      <c r="G81" s="336" t="s">
        <v>569</v>
      </c>
      <c r="H81" s="14" t="s">
        <v>439</v>
      </c>
      <c r="I81" s="337" t="s">
        <v>470</v>
      </c>
      <c r="J81" s="337" t="s">
        <v>466</v>
      </c>
      <c r="K81" s="282"/>
      <c r="L81" s="333"/>
      <c r="M81" s="282" t="s">
        <v>570</v>
      </c>
      <c r="N81" s="333"/>
      <c r="O81" s="269" t="s">
        <v>181</v>
      </c>
    </row>
    <row r="82" spans="1:15">
      <c r="A82">
        <v>81</v>
      </c>
      <c r="B82" s="333" t="s">
        <v>16</v>
      </c>
      <c r="C82" s="334" t="s">
        <v>83</v>
      </c>
      <c r="D82" s="335" t="s">
        <v>139</v>
      </c>
      <c r="E82" s="336" t="s">
        <v>571</v>
      </c>
      <c r="F82" s="337" t="s">
        <v>141</v>
      </c>
      <c r="G82" s="336" t="s">
        <v>571</v>
      </c>
      <c r="H82" s="14" t="s">
        <v>439</v>
      </c>
      <c r="I82" s="337" t="s">
        <v>470</v>
      </c>
      <c r="J82" s="337" t="s">
        <v>446</v>
      </c>
      <c r="K82" s="282"/>
      <c r="L82" s="333"/>
      <c r="M82" s="282" t="s">
        <v>570</v>
      </c>
      <c r="N82" s="333"/>
      <c r="O82" s="269" t="s">
        <v>181</v>
      </c>
    </row>
    <row r="83" spans="1:15">
      <c r="A83">
        <v>82</v>
      </c>
      <c r="B83" s="333" t="s">
        <v>16</v>
      </c>
      <c r="C83" s="334" t="s">
        <v>572</v>
      </c>
      <c r="D83" s="335" t="s">
        <v>139</v>
      </c>
      <c r="E83" s="336"/>
      <c r="F83" s="337" t="s">
        <v>141</v>
      </c>
      <c r="G83" s="336">
        <v>11292208</v>
      </c>
      <c r="H83" s="14"/>
      <c r="I83" s="337" t="s">
        <v>573</v>
      </c>
      <c r="J83" s="337" t="s">
        <v>574</v>
      </c>
      <c r="K83" s="282"/>
      <c r="L83" s="333"/>
      <c r="M83" s="282" t="s">
        <v>572</v>
      </c>
      <c r="N83" s="333"/>
      <c r="O83" s="269" t="s">
        <v>575</v>
      </c>
    </row>
    <row r="84" spans="1:15">
      <c r="A84">
        <v>83</v>
      </c>
      <c r="B84" s="333" t="s">
        <v>16</v>
      </c>
      <c r="C84" s="334" t="s">
        <v>572</v>
      </c>
      <c r="D84" s="335" t="s">
        <v>139</v>
      </c>
      <c r="E84" s="336"/>
      <c r="F84" s="337" t="s">
        <v>141</v>
      </c>
      <c r="G84" s="336">
        <v>230508582</v>
      </c>
      <c r="H84" s="14"/>
      <c r="I84" s="337" t="s">
        <v>576</v>
      </c>
      <c r="J84" s="337" t="s">
        <v>466</v>
      </c>
      <c r="K84" s="282"/>
      <c r="L84" s="333"/>
      <c r="M84" s="282" t="s">
        <v>572</v>
      </c>
      <c r="N84" s="333"/>
      <c r="O84" s="269" t="s">
        <v>577</v>
      </c>
    </row>
    <row r="85" spans="1:15">
      <c r="A85">
        <v>84</v>
      </c>
      <c r="B85" s="333" t="s">
        <v>16</v>
      </c>
      <c r="C85" s="334" t="s">
        <v>572</v>
      </c>
      <c r="D85" s="335" t="s">
        <v>139</v>
      </c>
      <c r="E85" s="336"/>
      <c r="F85" s="337" t="s">
        <v>141</v>
      </c>
      <c r="G85" s="336">
        <v>230508572</v>
      </c>
      <c r="H85" s="14"/>
      <c r="I85" s="337" t="s">
        <v>576</v>
      </c>
      <c r="J85" s="337" t="s">
        <v>466</v>
      </c>
      <c r="K85" s="282"/>
      <c r="L85" s="333"/>
      <c r="M85" s="282" t="s">
        <v>572</v>
      </c>
      <c r="N85" s="333"/>
      <c r="O85" s="269" t="s">
        <v>577</v>
      </c>
    </row>
    <row r="86" spans="1:15">
      <c r="A86">
        <v>85</v>
      </c>
      <c r="B86" s="333" t="s">
        <v>16</v>
      </c>
      <c r="C86" s="334" t="s">
        <v>572</v>
      </c>
      <c r="D86" s="335" t="s">
        <v>139</v>
      </c>
      <c r="E86" s="336"/>
      <c r="F86" s="337" t="s">
        <v>141</v>
      </c>
      <c r="G86" s="336" t="s">
        <v>578</v>
      </c>
      <c r="H86" s="14"/>
      <c r="I86" s="337" t="s">
        <v>576</v>
      </c>
      <c r="J86" s="337" t="s">
        <v>579</v>
      </c>
      <c r="K86" s="282"/>
      <c r="L86" s="333"/>
      <c r="M86" s="282" t="s">
        <v>572</v>
      </c>
      <c r="N86" s="333"/>
      <c r="O86" s="269" t="s">
        <v>580</v>
      </c>
    </row>
    <row r="87" spans="1:15">
      <c r="A87">
        <v>86</v>
      </c>
      <c r="B87" s="333" t="s">
        <v>16</v>
      </c>
      <c r="C87" s="334" t="s">
        <v>38</v>
      </c>
      <c r="D87" s="335" t="s">
        <v>139</v>
      </c>
      <c r="E87" s="336" t="s">
        <v>581</v>
      </c>
      <c r="F87" s="337" t="s">
        <v>141</v>
      </c>
      <c r="G87" s="336" t="s">
        <v>581</v>
      </c>
      <c r="H87" s="14" t="s">
        <v>439</v>
      </c>
      <c r="I87" s="337" t="s">
        <v>582</v>
      </c>
      <c r="J87" s="337" t="s">
        <v>583</v>
      </c>
      <c r="K87" s="282"/>
      <c r="L87" s="282"/>
      <c r="M87" s="333"/>
      <c r="N87" s="333"/>
      <c r="O87" s="269" t="s">
        <v>584</v>
      </c>
    </row>
    <row r="88" spans="1:15">
      <c r="A88">
        <v>87</v>
      </c>
      <c r="B88" s="333" t="s">
        <v>16</v>
      </c>
      <c r="C88" s="334" t="s">
        <v>38</v>
      </c>
      <c r="D88" s="335" t="s">
        <v>139</v>
      </c>
      <c r="E88" s="336" t="s">
        <v>585</v>
      </c>
      <c r="F88" s="337" t="s">
        <v>163</v>
      </c>
      <c r="G88" s="336" t="s">
        <v>585</v>
      </c>
      <c r="H88" s="14" t="s">
        <v>439</v>
      </c>
      <c r="I88" s="337" t="s">
        <v>586</v>
      </c>
      <c r="J88" s="337" t="s">
        <v>587</v>
      </c>
      <c r="K88" s="282"/>
      <c r="L88" s="282"/>
      <c r="M88" s="333"/>
      <c r="N88" s="333"/>
      <c r="O88" s="269" t="s">
        <v>584</v>
      </c>
    </row>
    <row r="89" spans="1:15">
      <c r="A89">
        <v>88</v>
      </c>
      <c r="B89" s="333" t="s">
        <v>16</v>
      </c>
      <c r="C89" s="334" t="s">
        <v>38</v>
      </c>
      <c r="D89" s="335" t="s">
        <v>139</v>
      </c>
      <c r="E89" s="336" t="s">
        <v>588</v>
      </c>
      <c r="F89" s="337" t="s">
        <v>163</v>
      </c>
      <c r="G89" s="336" t="s">
        <v>588</v>
      </c>
      <c r="H89" s="14" t="s">
        <v>439</v>
      </c>
      <c r="I89" s="337" t="s">
        <v>576</v>
      </c>
      <c r="J89" s="337" t="s">
        <v>587</v>
      </c>
      <c r="K89" s="282"/>
      <c r="L89" s="282"/>
      <c r="M89" s="333"/>
      <c r="N89" s="333"/>
      <c r="O89" s="269" t="s">
        <v>584</v>
      </c>
    </row>
    <row r="90" spans="1:15">
      <c r="A90">
        <v>89</v>
      </c>
      <c r="B90" s="333" t="s">
        <v>16</v>
      </c>
      <c r="C90" s="334" t="s">
        <v>38</v>
      </c>
      <c r="D90" s="335" t="s">
        <v>139</v>
      </c>
      <c r="E90" s="336" t="s">
        <v>589</v>
      </c>
      <c r="F90" s="337" t="s">
        <v>163</v>
      </c>
      <c r="G90" s="336" t="s">
        <v>589</v>
      </c>
      <c r="H90" s="14" t="s">
        <v>439</v>
      </c>
      <c r="I90" s="337" t="s">
        <v>590</v>
      </c>
      <c r="J90" s="337" t="s">
        <v>587</v>
      </c>
      <c r="K90" s="282"/>
      <c r="L90" s="282"/>
      <c r="M90" s="333"/>
      <c r="N90" s="333"/>
      <c r="O90" s="269" t="s">
        <v>584</v>
      </c>
    </row>
    <row r="91" spans="1:15">
      <c r="A91">
        <v>90</v>
      </c>
      <c r="B91" s="333" t="s">
        <v>16</v>
      </c>
      <c r="C91" s="334" t="s">
        <v>38</v>
      </c>
      <c r="D91" s="335" t="s">
        <v>139</v>
      </c>
      <c r="E91" s="336" t="s">
        <v>591</v>
      </c>
      <c r="F91" s="337" t="s">
        <v>163</v>
      </c>
      <c r="G91" s="336" t="s">
        <v>591</v>
      </c>
      <c r="H91" s="14" t="s">
        <v>439</v>
      </c>
      <c r="I91" s="337" t="s">
        <v>576</v>
      </c>
      <c r="J91" s="337" t="s">
        <v>592</v>
      </c>
      <c r="K91" s="282"/>
      <c r="L91" s="282"/>
      <c r="M91" s="333"/>
      <c r="N91" s="333"/>
      <c r="O91" s="269" t="s">
        <v>584</v>
      </c>
    </row>
    <row r="92" spans="1:15">
      <c r="A92">
        <v>91</v>
      </c>
      <c r="B92" s="333" t="s">
        <v>16</v>
      </c>
      <c r="C92" s="334" t="s">
        <v>593</v>
      </c>
      <c r="D92" s="335" t="s">
        <v>139</v>
      </c>
      <c r="E92" s="336" t="s">
        <v>594</v>
      </c>
      <c r="F92" s="337" t="s">
        <v>163</v>
      </c>
      <c r="G92" s="336" t="s">
        <v>594</v>
      </c>
      <c r="H92" s="14" t="s">
        <v>439</v>
      </c>
      <c r="I92" s="337" t="s">
        <v>595</v>
      </c>
      <c r="J92" s="337" t="s">
        <v>596</v>
      </c>
      <c r="K92" s="282"/>
      <c r="L92" s="282"/>
      <c r="M92" s="333"/>
      <c r="N92" s="333"/>
      <c r="O92" s="269" t="s">
        <v>145</v>
      </c>
    </row>
    <row r="93" spans="1:15">
      <c r="A93">
        <v>92</v>
      </c>
      <c r="B93" s="333" t="s">
        <v>16</v>
      </c>
      <c r="C93" s="334" t="s">
        <v>38</v>
      </c>
      <c r="D93" s="335" t="s">
        <v>139</v>
      </c>
      <c r="E93" s="336" t="s">
        <v>597</v>
      </c>
      <c r="F93" s="337" t="s">
        <v>163</v>
      </c>
      <c r="G93" s="336" t="s">
        <v>597</v>
      </c>
      <c r="H93" s="14" t="s">
        <v>439</v>
      </c>
      <c r="I93" s="337" t="s">
        <v>598</v>
      </c>
      <c r="J93" s="337" t="s">
        <v>596</v>
      </c>
      <c r="K93" s="282"/>
      <c r="L93" s="282"/>
      <c r="M93" s="333"/>
      <c r="N93" s="333"/>
      <c r="O93" s="269" t="s">
        <v>599</v>
      </c>
    </row>
    <row r="94" spans="1:15">
      <c r="A94">
        <v>93</v>
      </c>
      <c r="B94" s="333" t="s">
        <v>16</v>
      </c>
      <c r="C94" s="334" t="s">
        <v>38</v>
      </c>
      <c r="D94" s="335" t="s">
        <v>139</v>
      </c>
      <c r="E94" s="336" t="s">
        <v>600</v>
      </c>
      <c r="F94" s="337" t="s">
        <v>163</v>
      </c>
      <c r="G94" s="336" t="s">
        <v>600</v>
      </c>
      <c r="H94" s="14" t="s">
        <v>439</v>
      </c>
      <c r="I94" s="337" t="s">
        <v>598</v>
      </c>
      <c r="J94" s="337" t="s">
        <v>601</v>
      </c>
      <c r="K94" s="282"/>
      <c r="L94" s="282"/>
      <c r="M94" s="333"/>
      <c r="N94" s="333"/>
      <c r="O94" s="269" t="s">
        <v>599</v>
      </c>
    </row>
    <row r="95" spans="1:15">
      <c r="A95">
        <v>94</v>
      </c>
      <c r="B95" s="333" t="s">
        <v>16</v>
      </c>
      <c r="C95" s="334" t="s">
        <v>593</v>
      </c>
      <c r="D95" s="335" t="s">
        <v>139</v>
      </c>
      <c r="E95" s="336" t="s">
        <v>602</v>
      </c>
      <c r="F95" s="337" t="s">
        <v>141</v>
      </c>
      <c r="G95" s="336" t="s">
        <v>602</v>
      </c>
      <c r="H95" s="14" t="s">
        <v>439</v>
      </c>
      <c r="I95" s="337" t="s">
        <v>582</v>
      </c>
      <c r="J95" s="337" t="s">
        <v>603</v>
      </c>
      <c r="K95" s="282"/>
      <c r="L95" s="282"/>
      <c r="M95" s="333"/>
      <c r="N95" s="333"/>
      <c r="O95" s="269" t="s">
        <v>604</v>
      </c>
    </row>
    <row r="96" spans="1:15">
      <c r="A96">
        <v>95</v>
      </c>
      <c r="B96" s="333" t="s">
        <v>16</v>
      </c>
      <c r="C96" s="334" t="s">
        <v>38</v>
      </c>
      <c r="D96" s="335" t="s">
        <v>139</v>
      </c>
      <c r="E96" s="336" t="s">
        <v>605</v>
      </c>
      <c r="F96" s="337" t="s">
        <v>163</v>
      </c>
      <c r="G96" s="336" t="s">
        <v>605</v>
      </c>
      <c r="H96" s="14" t="s">
        <v>439</v>
      </c>
      <c r="I96" s="337" t="s">
        <v>595</v>
      </c>
      <c r="J96" s="337" t="s">
        <v>606</v>
      </c>
      <c r="K96" s="282"/>
      <c r="L96" s="282"/>
      <c r="M96" s="333"/>
      <c r="N96" s="333"/>
      <c r="O96" s="269" t="s">
        <v>198</v>
      </c>
    </row>
    <row r="97" spans="1:15">
      <c r="A97">
        <v>96</v>
      </c>
      <c r="B97" s="333" t="s">
        <v>16</v>
      </c>
      <c r="C97" s="334" t="s">
        <v>593</v>
      </c>
      <c r="D97" s="335" t="s">
        <v>139</v>
      </c>
      <c r="E97" s="336" t="s">
        <v>607</v>
      </c>
      <c r="F97" s="337" t="s">
        <v>141</v>
      </c>
      <c r="G97" s="336" t="s">
        <v>607</v>
      </c>
      <c r="H97" s="14" t="s">
        <v>439</v>
      </c>
      <c r="I97" s="337" t="s">
        <v>582</v>
      </c>
      <c r="J97" s="337" t="s">
        <v>603</v>
      </c>
      <c r="K97" s="282"/>
      <c r="L97" s="282"/>
      <c r="M97" s="333"/>
      <c r="N97" s="333"/>
      <c r="O97" s="269" t="s">
        <v>584</v>
      </c>
    </row>
    <row r="98" spans="1:15">
      <c r="A98">
        <v>97</v>
      </c>
      <c r="B98" s="333" t="s">
        <v>16</v>
      </c>
      <c r="C98" s="334" t="s">
        <v>593</v>
      </c>
      <c r="D98" s="335" t="s">
        <v>139</v>
      </c>
      <c r="E98" s="336" t="s">
        <v>608</v>
      </c>
      <c r="F98" s="337" t="s">
        <v>141</v>
      </c>
      <c r="G98" s="336" t="s">
        <v>608</v>
      </c>
      <c r="H98" s="14" t="s">
        <v>439</v>
      </c>
      <c r="I98" s="337" t="s">
        <v>609</v>
      </c>
      <c r="J98" s="337" t="s">
        <v>610</v>
      </c>
      <c r="K98" s="282"/>
      <c r="L98" s="282"/>
      <c r="M98" s="333"/>
      <c r="N98" s="333"/>
      <c r="O98" s="269" t="s">
        <v>584</v>
      </c>
    </row>
    <row r="99" spans="1:15">
      <c r="A99">
        <v>98</v>
      </c>
      <c r="B99" s="333" t="s">
        <v>16</v>
      </c>
      <c r="C99" s="334" t="s">
        <v>38</v>
      </c>
      <c r="D99" s="335" t="s">
        <v>139</v>
      </c>
      <c r="E99" s="336" t="s">
        <v>611</v>
      </c>
      <c r="F99" s="337" t="s">
        <v>141</v>
      </c>
      <c r="G99" s="336" t="s">
        <v>611</v>
      </c>
      <c r="H99" s="14" t="s">
        <v>612</v>
      </c>
      <c r="I99" s="337" t="s">
        <v>586</v>
      </c>
      <c r="J99" s="337" t="s">
        <v>587</v>
      </c>
      <c r="K99" s="282"/>
      <c r="L99" s="282"/>
      <c r="M99" s="333"/>
      <c r="N99" s="333"/>
      <c r="O99" s="269" t="s">
        <v>613</v>
      </c>
    </row>
    <row r="100" spans="1:15">
      <c r="A100">
        <v>99</v>
      </c>
      <c r="B100" s="333" t="s">
        <v>16</v>
      </c>
      <c r="C100" s="334" t="s">
        <v>38</v>
      </c>
      <c r="D100" s="335" t="s">
        <v>139</v>
      </c>
      <c r="E100" s="336" t="s">
        <v>614</v>
      </c>
      <c r="F100" s="337" t="s">
        <v>141</v>
      </c>
      <c r="G100" s="336" t="s">
        <v>614</v>
      </c>
      <c r="H100" s="14" t="s">
        <v>612</v>
      </c>
      <c r="I100" s="337" t="s">
        <v>609</v>
      </c>
      <c r="J100" s="337" t="s">
        <v>610</v>
      </c>
      <c r="K100" s="282"/>
      <c r="L100" s="282"/>
      <c r="M100" s="333"/>
      <c r="N100" s="333"/>
      <c r="O100" s="269" t="s">
        <v>580</v>
      </c>
    </row>
    <row r="101" spans="1:15">
      <c r="A101">
        <v>100</v>
      </c>
      <c r="B101" s="333" t="s">
        <v>16</v>
      </c>
      <c r="C101" s="334" t="s">
        <v>38</v>
      </c>
      <c r="D101" s="335" t="s">
        <v>139</v>
      </c>
      <c r="E101" s="336" t="s">
        <v>615</v>
      </c>
      <c r="F101" s="337" t="s">
        <v>141</v>
      </c>
      <c r="G101" s="336" t="s">
        <v>615</v>
      </c>
      <c r="H101" s="14" t="s">
        <v>612</v>
      </c>
      <c r="I101" s="337" t="s">
        <v>609</v>
      </c>
      <c r="J101" s="337" t="s">
        <v>610</v>
      </c>
      <c r="K101" s="282"/>
      <c r="L101" s="282"/>
      <c r="M101" s="333"/>
      <c r="N101" s="333"/>
      <c r="O101" s="269" t="s">
        <v>580</v>
      </c>
    </row>
    <row r="102" spans="1:15">
      <c r="A102">
        <v>101</v>
      </c>
      <c r="B102" s="186" t="s">
        <v>15</v>
      </c>
      <c r="C102" s="338" t="s">
        <v>616</v>
      </c>
      <c r="D102" s="335" t="s">
        <v>139</v>
      </c>
      <c r="E102" s="336" t="s">
        <v>617</v>
      </c>
      <c r="F102" s="337" t="s">
        <v>141</v>
      </c>
      <c r="G102" s="336" t="s">
        <v>617</v>
      </c>
      <c r="H102" s="14" t="s">
        <v>618</v>
      </c>
      <c r="I102" s="337" t="s">
        <v>165</v>
      </c>
      <c r="J102" s="337" t="s">
        <v>166</v>
      </c>
      <c r="M102" s="269" t="s">
        <v>619</v>
      </c>
      <c r="O102" s="341" t="s">
        <v>237</v>
      </c>
    </row>
    <row r="103" spans="1:15">
      <c r="A103">
        <v>102</v>
      </c>
      <c r="B103" s="186" t="s">
        <v>15</v>
      </c>
      <c r="C103" s="338" t="s">
        <v>616</v>
      </c>
      <c r="D103" s="335" t="s">
        <v>139</v>
      </c>
      <c r="E103" s="336" t="s">
        <v>620</v>
      </c>
      <c r="F103" s="337" t="s">
        <v>141</v>
      </c>
      <c r="G103" s="336" t="s">
        <v>620</v>
      </c>
      <c r="H103" s="14" t="s">
        <v>618</v>
      </c>
      <c r="I103" s="337" t="s">
        <v>165</v>
      </c>
      <c r="J103" s="337" t="s">
        <v>166</v>
      </c>
      <c r="M103" s="269" t="s">
        <v>619</v>
      </c>
      <c r="O103" s="341" t="s">
        <v>237</v>
      </c>
    </row>
    <row r="104" spans="1:15">
      <c r="A104">
        <v>103</v>
      </c>
      <c r="B104" s="186" t="s">
        <v>15</v>
      </c>
      <c r="C104" s="338" t="s">
        <v>616</v>
      </c>
      <c r="D104" s="335" t="s">
        <v>139</v>
      </c>
      <c r="E104" s="336" t="s">
        <v>621</v>
      </c>
      <c r="F104" s="337" t="s">
        <v>141</v>
      </c>
      <c r="G104" s="336" t="s">
        <v>621</v>
      </c>
      <c r="H104" s="14" t="s">
        <v>618</v>
      </c>
      <c r="I104" s="337" t="s">
        <v>165</v>
      </c>
      <c r="J104" s="337" t="s">
        <v>166</v>
      </c>
      <c r="M104" s="269" t="s">
        <v>619</v>
      </c>
      <c r="O104" s="341" t="s">
        <v>237</v>
      </c>
    </row>
    <row r="105" spans="1:15">
      <c r="A105">
        <v>104</v>
      </c>
      <c r="B105" s="186" t="s">
        <v>15</v>
      </c>
      <c r="C105" s="338" t="s">
        <v>616</v>
      </c>
      <c r="D105" s="335" t="s">
        <v>139</v>
      </c>
      <c r="E105" s="336" t="s">
        <v>622</v>
      </c>
      <c r="F105" s="337" t="s">
        <v>141</v>
      </c>
      <c r="G105" s="336" t="s">
        <v>622</v>
      </c>
      <c r="H105" s="14" t="s">
        <v>618</v>
      </c>
      <c r="I105" s="337" t="s">
        <v>165</v>
      </c>
      <c r="J105" s="337" t="s">
        <v>166</v>
      </c>
      <c r="M105" s="269" t="s">
        <v>619</v>
      </c>
      <c r="O105" s="341" t="s">
        <v>237</v>
      </c>
    </row>
    <row r="106" spans="1:15">
      <c r="A106">
        <v>105</v>
      </c>
      <c r="B106" s="186" t="s">
        <v>15</v>
      </c>
      <c r="C106" s="338" t="s">
        <v>55</v>
      </c>
      <c r="D106" s="9" t="s">
        <v>139</v>
      </c>
      <c r="E106" s="10" t="s">
        <v>623</v>
      </c>
      <c r="F106" s="14" t="s">
        <v>141</v>
      </c>
      <c r="G106" s="10" t="s">
        <v>623</v>
      </c>
      <c r="H106" s="14" t="s">
        <v>187</v>
      </c>
      <c r="I106" s="14" t="s">
        <v>158</v>
      </c>
      <c r="J106" s="14" t="s">
        <v>159</v>
      </c>
      <c r="M106" s="269" t="s">
        <v>152</v>
      </c>
      <c r="O106" s="341" t="s">
        <v>145</v>
      </c>
    </row>
    <row r="107" spans="1:15">
      <c r="A107">
        <v>106</v>
      </c>
      <c r="B107" s="186" t="s">
        <v>15</v>
      </c>
      <c r="C107" s="338" t="s">
        <v>55</v>
      </c>
      <c r="D107" s="9" t="s">
        <v>139</v>
      </c>
      <c r="E107" s="10" t="s">
        <v>624</v>
      </c>
      <c r="F107" s="14" t="s">
        <v>141</v>
      </c>
      <c r="G107" s="10" t="s">
        <v>624</v>
      </c>
      <c r="H107" s="14" t="s">
        <v>187</v>
      </c>
      <c r="I107" s="14" t="s">
        <v>234</v>
      </c>
      <c r="J107" s="14" t="s">
        <v>235</v>
      </c>
      <c r="M107" s="269" t="s">
        <v>625</v>
      </c>
      <c r="O107" s="341" t="s">
        <v>145</v>
      </c>
    </row>
    <row r="108" spans="1:15">
      <c r="A108">
        <v>107</v>
      </c>
      <c r="B108" s="186" t="s">
        <v>15</v>
      </c>
      <c r="C108" s="338" t="s">
        <v>55</v>
      </c>
      <c r="D108" s="9" t="s">
        <v>139</v>
      </c>
      <c r="E108" s="10" t="s">
        <v>626</v>
      </c>
      <c r="F108" s="14" t="s">
        <v>141</v>
      </c>
      <c r="G108" s="10" t="s">
        <v>626</v>
      </c>
      <c r="H108" s="14" t="s">
        <v>187</v>
      </c>
      <c r="I108" s="337" t="s">
        <v>165</v>
      </c>
      <c r="J108" s="337" t="s">
        <v>166</v>
      </c>
      <c r="M108" s="269" t="s">
        <v>152</v>
      </c>
      <c r="O108" s="341" t="s">
        <v>145</v>
      </c>
    </row>
    <row r="109" spans="1:15">
      <c r="A109">
        <v>108</v>
      </c>
      <c r="B109" s="186" t="s">
        <v>15</v>
      </c>
      <c r="C109" s="338" t="s">
        <v>55</v>
      </c>
      <c r="D109" s="9" t="s">
        <v>139</v>
      </c>
      <c r="E109" s="10" t="s">
        <v>627</v>
      </c>
      <c r="F109" s="10" t="s">
        <v>141</v>
      </c>
      <c r="G109" s="10" t="s">
        <v>627</v>
      </c>
      <c r="H109" s="14" t="s">
        <v>49</v>
      </c>
      <c r="I109" s="14" t="s">
        <v>158</v>
      </c>
      <c r="J109" s="14" t="s">
        <v>159</v>
      </c>
      <c r="M109" s="269" t="s">
        <v>152</v>
      </c>
      <c r="O109" s="341" t="s">
        <v>145</v>
      </c>
    </row>
    <row r="110" spans="1:15">
      <c r="A110">
        <v>109</v>
      </c>
      <c r="B110" s="186" t="s">
        <v>15</v>
      </c>
      <c r="C110" s="338" t="s">
        <v>60</v>
      </c>
      <c r="D110" s="9" t="s">
        <v>139</v>
      </c>
      <c r="E110" s="10" t="s">
        <v>628</v>
      </c>
      <c r="F110" s="14" t="s">
        <v>141</v>
      </c>
      <c r="G110" s="10" t="s">
        <v>628</v>
      </c>
      <c r="H110" s="14" t="s">
        <v>49</v>
      </c>
      <c r="I110" s="14" t="s">
        <v>142</v>
      </c>
      <c r="J110" s="14" t="s">
        <v>147</v>
      </c>
      <c r="M110" s="269" t="s">
        <v>629</v>
      </c>
      <c r="O110" s="341" t="s">
        <v>145</v>
      </c>
    </row>
    <row r="111" spans="1:15">
      <c r="A111">
        <v>110</v>
      </c>
      <c r="B111" s="186" t="s">
        <v>15</v>
      </c>
      <c r="C111" s="338" t="s">
        <v>60</v>
      </c>
      <c r="D111" s="9" t="s">
        <v>139</v>
      </c>
      <c r="E111" s="10" t="s">
        <v>630</v>
      </c>
      <c r="F111" s="14" t="s">
        <v>141</v>
      </c>
      <c r="G111" s="10" t="s">
        <v>630</v>
      </c>
      <c r="H111" s="14" t="s">
        <v>49</v>
      </c>
      <c r="I111" s="14" t="s">
        <v>142</v>
      </c>
      <c r="J111" s="14" t="s">
        <v>147</v>
      </c>
      <c r="M111" s="269" t="s">
        <v>152</v>
      </c>
      <c r="O111" s="341" t="s">
        <v>145</v>
      </c>
    </row>
    <row r="112" spans="1:15">
      <c r="A112">
        <v>111</v>
      </c>
      <c r="B112" s="186" t="s">
        <v>15</v>
      </c>
      <c r="C112" s="338" t="s">
        <v>60</v>
      </c>
      <c r="D112" s="9" t="s">
        <v>139</v>
      </c>
      <c r="E112" s="10" t="s">
        <v>631</v>
      </c>
      <c r="F112" s="14" t="s">
        <v>141</v>
      </c>
      <c r="G112" s="10" t="s">
        <v>631</v>
      </c>
      <c r="H112" s="14" t="s">
        <v>49</v>
      </c>
      <c r="I112" s="14" t="s">
        <v>149</v>
      </c>
      <c r="J112" s="14" t="s">
        <v>143</v>
      </c>
      <c r="M112" s="269" t="s">
        <v>152</v>
      </c>
      <c r="O112" s="341" t="s">
        <v>145</v>
      </c>
    </row>
    <row r="113" spans="1:15">
      <c r="A113">
        <v>112</v>
      </c>
      <c r="B113" s="186" t="s">
        <v>15</v>
      </c>
      <c r="C113" s="338" t="s">
        <v>60</v>
      </c>
      <c r="D113" s="9" t="s">
        <v>139</v>
      </c>
      <c r="E113" s="10" t="s">
        <v>632</v>
      </c>
      <c r="F113" s="14" t="s">
        <v>141</v>
      </c>
      <c r="G113" s="10" t="s">
        <v>632</v>
      </c>
      <c r="H113" s="14" t="s">
        <v>49</v>
      </c>
      <c r="I113" s="14" t="s">
        <v>234</v>
      </c>
      <c r="J113" s="14" t="s">
        <v>235</v>
      </c>
      <c r="M113" s="269" t="s">
        <v>152</v>
      </c>
      <c r="O113" s="341" t="s">
        <v>145</v>
      </c>
    </row>
    <row r="114" spans="1:15">
      <c r="A114">
        <v>113</v>
      </c>
      <c r="B114" s="186" t="s">
        <v>13</v>
      </c>
      <c r="C114" s="338" t="s">
        <v>101</v>
      </c>
      <c r="D114" s="9" t="s">
        <v>139</v>
      </c>
      <c r="E114" s="10" t="s">
        <v>633</v>
      </c>
      <c r="F114" s="14" t="s">
        <v>141</v>
      </c>
      <c r="G114" s="10" t="s">
        <v>633</v>
      </c>
      <c r="H114" s="14" t="s">
        <v>193</v>
      </c>
      <c r="I114" s="14" t="s">
        <v>188</v>
      </c>
      <c r="J114" s="14" t="s">
        <v>147</v>
      </c>
      <c r="M114" s="13" t="s">
        <v>634</v>
      </c>
      <c r="O114" s="342" t="s">
        <v>145</v>
      </c>
    </row>
    <row r="115" spans="1:15">
      <c r="A115">
        <v>114</v>
      </c>
      <c r="B115" s="186" t="s">
        <v>13</v>
      </c>
      <c r="C115" s="338" t="s">
        <v>101</v>
      </c>
      <c r="D115" s="9" t="s">
        <v>139</v>
      </c>
      <c r="E115" s="10" t="s">
        <v>635</v>
      </c>
      <c r="F115" s="14" t="s">
        <v>141</v>
      </c>
      <c r="G115" s="10" t="s">
        <v>635</v>
      </c>
      <c r="H115" s="14" t="s">
        <v>193</v>
      </c>
      <c r="I115" s="14" t="s">
        <v>142</v>
      </c>
      <c r="J115" s="14" t="s">
        <v>147</v>
      </c>
      <c r="M115" s="269" t="s">
        <v>636</v>
      </c>
      <c r="O115" s="341" t="s">
        <v>145</v>
      </c>
    </row>
    <row r="116" spans="1:15">
      <c r="A116">
        <v>115</v>
      </c>
      <c r="B116" s="186" t="s">
        <v>13</v>
      </c>
      <c r="C116" s="338" t="s">
        <v>101</v>
      </c>
      <c r="D116" s="9" t="s">
        <v>139</v>
      </c>
      <c r="E116" s="10" t="s">
        <v>637</v>
      </c>
      <c r="F116" s="14" t="s">
        <v>141</v>
      </c>
      <c r="G116" s="10" t="s">
        <v>637</v>
      </c>
      <c r="H116" s="14" t="s">
        <v>193</v>
      </c>
      <c r="I116" s="14" t="s">
        <v>142</v>
      </c>
      <c r="J116" s="14" t="s">
        <v>147</v>
      </c>
      <c r="M116" s="269" t="s">
        <v>638</v>
      </c>
      <c r="O116" s="341" t="s">
        <v>145</v>
      </c>
    </row>
    <row r="117" spans="1:15">
      <c r="A117">
        <v>116</v>
      </c>
      <c r="B117" s="186" t="s">
        <v>13</v>
      </c>
      <c r="C117" s="338" t="s">
        <v>101</v>
      </c>
      <c r="D117" s="9" t="s">
        <v>139</v>
      </c>
      <c r="E117" s="10" t="s">
        <v>639</v>
      </c>
      <c r="F117" s="14" t="s">
        <v>141</v>
      </c>
      <c r="G117" s="10" t="s">
        <v>639</v>
      </c>
      <c r="H117" s="14" t="s">
        <v>193</v>
      </c>
      <c r="I117" s="14" t="s">
        <v>142</v>
      </c>
      <c r="J117" s="14" t="s">
        <v>147</v>
      </c>
      <c r="M117" s="269" t="s">
        <v>640</v>
      </c>
      <c r="O117" s="341" t="s">
        <v>145</v>
      </c>
    </row>
    <row r="118" spans="1:15">
      <c r="A118">
        <v>117</v>
      </c>
      <c r="B118" s="186" t="s">
        <v>13</v>
      </c>
      <c r="C118" s="338" t="s">
        <v>101</v>
      </c>
      <c r="D118" s="9" t="s">
        <v>139</v>
      </c>
      <c r="E118" s="10" t="s">
        <v>641</v>
      </c>
      <c r="F118" s="14" t="s">
        <v>141</v>
      </c>
      <c r="G118" s="10" t="s">
        <v>641</v>
      </c>
      <c r="H118" s="14" t="s">
        <v>193</v>
      </c>
      <c r="I118" s="14" t="s">
        <v>149</v>
      </c>
      <c r="J118" s="14" t="s">
        <v>143</v>
      </c>
      <c r="M118" s="269" t="s">
        <v>152</v>
      </c>
      <c r="O118" s="341" t="s">
        <v>145</v>
      </c>
    </row>
    <row r="119" spans="1:15">
      <c r="A119">
        <v>118</v>
      </c>
      <c r="B119" s="186" t="s">
        <v>13</v>
      </c>
      <c r="C119" s="338" t="s">
        <v>101</v>
      </c>
      <c r="D119" s="9" t="s">
        <v>139</v>
      </c>
      <c r="E119" s="10" t="s">
        <v>642</v>
      </c>
      <c r="F119" s="14" t="s">
        <v>197</v>
      </c>
      <c r="G119" s="10" t="s">
        <v>642</v>
      </c>
      <c r="H119" s="14" t="s">
        <v>193</v>
      </c>
      <c r="I119" s="14" t="s">
        <v>165</v>
      </c>
      <c r="J119" s="14" t="s">
        <v>166</v>
      </c>
      <c r="M119" s="269" t="s">
        <v>152</v>
      </c>
      <c r="O119" s="342" t="s">
        <v>198</v>
      </c>
    </row>
    <row r="120" spans="1:15">
      <c r="A120">
        <v>119</v>
      </c>
      <c r="B120" s="186" t="s">
        <v>13</v>
      </c>
      <c r="C120" s="338" t="s">
        <v>101</v>
      </c>
      <c r="D120" s="9" t="s">
        <v>139</v>
      </c>
      <c r="E120" s="10" t="s">
        <v>643</v>
      </c>
      <c r="F120" s="14" t="s">
        <v>141</v>
      </c>
      <c r="G120" s="10" t="s">
        <v>643</v>
      </c>
      <c r="H120" s="14" t="s">
        <v>193</v>
      </c>
      <c r="I120" s="14" t="s">
        <v>142</v>
      </c>
      <c r="J120" s="14" t="s">
        <v>147</v>
      </c>
      <c r="M120" s="269" t="s">
        <v>644</v>
      </c>
      <c r="O120" s="341" t="s">
        <v>145</v>
      </c>
    </row>
    <row r="121" spans="1:15">
      <c r="A121">
        <v>120</v>
      </c>
      <c r="B121" s="186" t="s">
        <v>13</v>
      </c>
      <c r="C121" s="338" t="s">
        <v>107</v>
      </c>
      <c r="D121" s="9" t="s">
        <v>139</v>
      </c>
      <c r="E121" s="10" t="s">
        <v>241</v>
      </c>
      <c r="F121" s="14" t="s">
        <v>141</v>
      </c>
      <c r="G121" s="10" t="s">
        <v>241</v>
      </c>
      <c r="H121" s="14"/>
      <c r="I121" s="14" t="s">
        <v>165</v>
      </c>
      <c r="J121" s="14" t="s">
        <v>166</v>
      </c>
      <c r="M121" s="269" t="s">
        <v>152</v>
      </c>
      <c r="O121" s="341" t="s">
        <v>145</v>
      </c>
    </row>
    <row r="122" spans="1:15">
      <c r="A122">
        <v>121</v>
      </c>
      <c r="B122" s="186" t="s">
        <v>13</v>
      </c>
      <c r="C122" s="338" t="s">
        <v>107</v>
      </c>
      <c r="D122" s="9" t="s">
        <v>139</v>
      </c>
      <c r="E122" s="10" t="s">
        <v>645</v>
      </c>
      <c r="F122" s="14" t="s">
        <v>141</v>
      </c>
      <c r="G122" s="10" t="s">
        <v>645</v>
      </c>
      <c r="H122" s="14" t="s">
        <v>193</v>
      </c>
      <c r="I122" s="14" t="s">
        <v>149</v>
      </c>
      <c r="J122" s="14" t="s">
        <v>147</v>
      </c>
      <c r="M122" s="269" t="s">
        <v>646</v>
      </c>
      <c r="O122" s="341" t="s">
        <v>145</v>
      </c>
    </row>
    <row r="123" spans="1:15">
      <c r="A123">
        <v>122</v>
      </c>
      <c r="B123" s="186" t="s">
        <v>13</v>
      </c>
      <c r="C123" s="338" t="s">
        <v>107</v>
      </c>
      <c r="D123" s="9" t="s">
        <v>139</v>
      </c>
      <c r="E123" s="10" t="s">
        <v>647</v>
      </c>
      <c r="F123" s="14" t="s">
        <v>141</v>
      </c>
      <c r="G123" s="10" t="s">
        <v>647</v>
      </c>
      <c r="H123" s="14" t="s">
        <v>193</v>
      </c>
      <c r="I123" s="14" t="s">
        <v>142</v>
      </c>
      <c r="J123" s="14" t="s">
        <v>166</v>
      </c>
      <c r="M123" s="269" t="s">
        <v>640</v>
      </c>
      <c r="O123" s="341" t="s">
        <v>145</v>
      </c>
    </row>
    <row r="124" spans="1:15">
      <c r="A124">
        <v>123</v>
      </c>
      <c r="B124" s="186" t="s">
        <v>13</v>
      </c>
      <c r="C124" s="338" t="s">
        <v>107</v>
      </c>
      <c r="D124" s="9" t="s">
        <v>139</v>
      </c>
      <c r="E124" s="10" t="s">
        <v>648</v>
      </c>
      <c r="F124" s="14" t="s">
        <v>141</v>
      </c>
      <c r="G124" s="10" t="s">
        <v>648</v>
      </c>
      <c r="H124" s="14" t="s">
        <v>193</v>
      </c>
      <c r="I124" s="14" t="s">
        <v>149</v>
      </c>
      <c r="J124" s="14" t="s">
        <v>143</v>
      </c>
      <c r="M124" s="269" t="s">
        <v>634</v>
      </c>
      <c r="O124" s="341" t="s">
        <v>145</v>
      </c>
    </row>
    <row r="125" spans="1:15">
      <c r="A125">
        <v>124</v>
      </c>
      <c r="B125" s="186" t="s">
        <v>13</v>
      </c>
      <c r="C125" s="338" t="s">
        <v>107</v>
      </c>
      <c r="D125" s="9" t="s">
        <v>139</v>
      </c>
      <c r="E125" s="10" t="s">
        <v>243</v>
      </c>
      <c r="F125" s="14" t="s">
        <v>141</v>
      </c>
      <c r="G125" s="10" t="s">
        <v>243</v>
      </c>
      <c r="H125" s="14" t="s">
        <v>193</v>
      </c>
      <c r="I125" s="14" t="s">
        <v>165</v>
      </c>
      <c r="J125" s="14" t="s">
        <v>166</v>
      </c>
      <c r="M125" s="343" t="s">
        <v>152</v>
      </c>
      <c r="O125" s="342" t="s">
        <v>198</v>
      </c>
    </row>
    <row r="126" spans="1:15">
      <c r="A126">
        <v>125</v>
      </c>
      <c r="B126" s="186" t="s">
        <v>14</v>
      </c>
      <c r="C126" s="338" t="s">
        <v>63</v>
      </c>
      <c r="D126" s="9" t="s">
        <v>139</v>
      </c>
      <c r="E126" s="10" t="s">
        <v>649</v>
      </c>
      <c r="F126" s="14" t="s">
        <v>141</v>
      </c>
      <c r="G126" s="10" t="s">
        <v>650</v>
      </c>
      <c r="H126" s="14" t="s">
        <v>66</v>
      </c>
      <c r="I126" s="14" t="s">
        <v>149</v>
      </c>
      <c r="J126" s="14" t="s">
        <v>143</v>
      </c>
      <c r="M126" s="12" t="s">
        <v>651</v>
      </c>
      <c r="O126" s="341" t="s">
        <v>145</v>
      </c>
    </row>
    <row r="127" spans="1:15">
      <c r="A127">
        <v>126</v>
      </c>
      <c r="B127" s="186" t="s">
        <v>14</v>
      </c>
      <c r="C127" s="339" t="s">
        <v>63</v>
      </c>
      <c r="D127" s="340" t="s">
        <v>139</v>
      </c>
      <c r="E127" s="10" t="s">
        <v>649</v>
      </c>
      <c r="F127" s="14" t="s">
        <v>141</v>
      </c>
      <c r="G127" s="10" t="s">
        <v>649</v>
      </c>
      <c r="H127" s="14" t="s">
        <v>66</v>
      </c>
      <c r="I127" s="14" t="s">
        <v>149</v>
      </c>
      <c r="J127" s="14" t="s">
        <v>143</v>
      </c>
      <c r="M127" s="12" t="s">
        <v>651</v>
      </c>
      <c r="O127" s="342" t="s">
        <v>145</v>
      </c>
    </row>
    <row r="128" spans="1:15">
      <c r="A128">
        <v>127</v>
      </c>
      <c r="B128" s="186" t="s">
        <v>14</v>
      </c>
      <c r="C128" s="338" t="s">
        <v>63</v>
      </c>
      <c r="D128" s="9" t="s">
        <v>139</v>
      </c>
      <c r="E128" s="10" t="s">
        <v>652</v>
      </c>
      <c r="F128" s="14" t="s">
        <v>141</v>
      </c>
      <c r="G128" s="10" t="s">
        <v>652</v>
      </c>
      <c r="H128" s="14" t="s">
        <v>66</v>
      </c>
      <c r="I128" s="14" t="s">
        <v>165</v>
      </c>
      <c r="J128" s="14" t="s">
        <v>166</v>
      </c>
      <c r="M128" s="269" t="s">
        <v>653</v>
      </c>
      <c r="O128" s="341" t="s">
        <v>145</v>
      </c>
    </row>
    <row r="129" spans="1:15">
      <c r="A129">
        <v>128</v>
      </c>
      <c r="B129" s="186" t="s">
        <v>14</v>
      </c>
      <c r="C129" s="338" t="s">
        <v>63</v>
      </c>
      <c r="D129" s="9" t="s">
        <v>139</v>
      </c>
      <c r="E129" s="10" t="s">
        <v>654</v>
      </c>
      <c r="F129" s="14" t="s">
        <v>173</v>
      </c>
      <c r="G129" s="10" t="s">
        <v>654</v>
      </c>
      <c r="H129" s="14" t="s">
        <v>66</v>
      </c>
      <c r="I129" s="14" t="s">
        <v>165</v>
      </c>
      <c r="J129" s="14" t="s">
        <v>143</v>
      </c>
      <c r="M129" s="269" t="s">
        <v>655</v>
      </c>
      <c r="O129" s="342" t="s">
        <v>145</v>
      </c>
    </row>
    <row r="130" spans="1:15">
      <c r="A130">
        <v>129</v>
      </c>
      <c r="B130" s="186" t="s">
        <v>14</v>
      </c>
      <c r="C130" s="338" t="s">
        <v>67</v>
      </c>
      <c r="D130" s="9" t="s">
        <v>139</v>
      </c>
      <c r="E130" s="10" t="s">
        <v>656</v>
      </c>
      <c r="F130" s="14" t="s">
        <v>141</v>
      </c>
      <c r="G130" s="10" t="s">
        <v>233</v>
      </c>
      <c r="H130" s="14" t="s">
        <v>66</v>
      </c>
      <c r="I130" s="14" t="s">
        <v>234</v>
      </c>
      <c r="J130" s="14" t="s">
        <v>235</v>
      </c>
      <c r="M130" s="12" t="s">
        <v>651</v>
      </c>
      <c r="O130" s="341" t="s">
        <v>145</v>
      </c>
    </row>
    <row r="131" spans="1:15">
      <c r="A131">
        <v>130</v>
      </c>
      <c r="B131" s="186" t="s">
        <v>14</v>
      </c>
      <c r="C131" s="338" t="s">
        <v>67</v>
      </c>
      <c r="D131" s="9" t="s">
        <v>139</v>
      </c>
      <c r="E131" s="10" t="s">
        <v>657</v>
      </c>
      <c r="F131" s="14" t="s">
        <v>141</v>
      </c>
      <c r="G131" s="10" t="s">
        <v>658</v>
      </c>
      <c r="H131" s="14" t="s">
        <v>66</v>
      </c>
      <c r="I131" s="14" t="s">
        <v>149</v>
      </c>
      <c r="J131" s="14" t="s">
        <v>143</v>
      </c>
      <c r="M131" s="12" t="s">
        <v>651</v>
      </c>
      <c r="O131" s="342" t="s">
        <v>145</v>
      </c>
    </row>
    <row r="132" spans="1:15">
      <c r="A132">
        <v>131</v>
      </c>
      <c r="B132" s="186" t="s">
        <v>14</v>
      </c>
      <c r="C132" s="338" t="s">
        <v>67</v>
      </c>
      <c r="D132" s="9" t="s">
        <v>139</v>
      </c>
      <c r="E132" s="10" t="s">
        <v>658</v>
      </c>
      <c r="F132" s="14" t="s">
        <v>141</v>
      </c>
      <c r="G132" s="10" t="s">
        <v>658</v>
      </c>
      <c r="H132" s="14" t="s">
        <v>66</v>
      </c>
      <c r="I132" s="14" t="s">
        <v>149</v>
      </c>
      <c r="J132" s="14" t="s">
        <v>143</v>
      </c>
      <c r="M132" s="12"/>
      <c r="O132" s="342" t="s">
        <v>145</v>
      </c>
    </row>
    <row r="133" spans="1:15">
      <c r="A133">
        <v>132</v>
      </c>
      <c r="B133" s="186" t="s">
        <v>14</v>
      </c>
      <c r="C133" s="338" t="s">
        <v>67</v>
      </c>
      <c r="D133" s="9" t="s">
        <v>139</v>
      </c>
      <c r="E133" s="10" t="s">
        <v>659</v>
      </c>
      <c r="F133" s="14" t="s">
        <v>141</v>
      </c>
      <c r="G133" s="10" t="s">
        <v>659</v>
      </c>
      <c r="H133" s="14" t="s">
        <v>66</v>
      </c>
      <c r="I133" s="14" t="s">
        <v>179</v>
      </c>
      <c r="J133" s="14" t="s">
        <v>166</v>
      </c>
      <c r="M133" s="269" t="s">
        <v>660</v>
      </c>
      <c r="O133" s="341" t="s">
        <v>661</v>
      </c>
    </row>
    <row r="134" spans="1:15">
      <c r="A134">
        <v>133</v>
      </c>
      <c r="B134" s="186" t="s">
        <v>14</v>
      </c>
      <c r="C134" s="338" t="s">
        <v>67</v>
      </c>
      <c r="D134" s="9" t="s">
        <v>139</v>
      </c>
      <c r="E134" s="10" t="s">
        <v>662</v>
      </c>
      <c r="F134" s="14" t="s">
        <v>141</v>
      </c>
      <c r="G134" s="10" t="s">
        <v>662</v>
      </c>
      <c r="H134" s="14" t="s">
        <v>66</v>
      </c>
      <c r="I134" s="14" t="s">
        <v>149</v>
      </c>
      <c r="J134" s="14" t="s">
        <v>143</v>
      </c>
      <c r="M134" s="269" t="s">
        <v>660</v>
      </c>
      <c r="O134" s="341" t="s">
        <v>661</v>
      </c>
    </row>
    <row r="135" spans="1:15">
      <c r="A135">
        <v>134</v>
      </c>
      <c r="B135" s="186" t="s">
        <v>14</v>
      </c>
      <c r="C135" s="338" t="s">
        <v>67</v>
      </c>
      <c r="D135" s="9" t="s">
        <v>139</v>
      </c>
      <c r="E135" s="10" t="s">
        <v>663</v>
      </c>
      <c r="F135" s="14" t="s">
        <v>173</v>
      </c>
      <c r="G135" s="10" t="s">
        <v>663</v>
      </c>
      <c r="H135" s="14" t="s">
        <v>66</v>
      </c>
      <c r="I135" s="14" t="s">
        <v>149</v>
      </c>
      <c r="J135" s="14" t="s">
        <v>143</v>
      </c>
      <c r="M135" s="269" t="s">
        <v>634</v>
      </c>
      <c r="O135" s="342" t="s">
        <v>145</v>
      </c>
    </row>
  </sheetData>
  <autoFilter xmlns:etc="http://www.wps.cn/officeDocument/2017/etCustomData" ref="A1:O135" etc:filterBottomFollowUsedRange="0">
    <extLst/>
  </autoFilter>
  <pageMargins left="0" right="0.275" top="0.354166666666667" bottom="0.118055555555556" header="0.5" footer="0.5"/>
  <pageSetup paperSize="9" scale="6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UA155"/>
  <sheetViews>
    <sheetView zoomScale="85" zoomScaleNormal="85" workbookViewId="0">
      <pane ySplit="1" topLeftCell="A58" activePane="bottomLeft" state="frozen"/>
      <selection/>
      <selection pane="bottomLeft" activeCell="J73" sqref="J73"/>
    </sheetView>
  </sheetViews>
  <sheetFormatPr defaultColWidth="8.88333333333333" defaultRowHeight="13.5"/>
  <cols>
    <col min="1" max="1" width="5.21666666666667" style="268" customWidth="1"/>
    <col min="2" max="3" width="11" style="268" customWidth="1"/>
    <col min="4" max="4" width="12" style="30" customWidth="1"/>
    <col min="5" max="5" width="18.3333333333333" style="30" customWidth="1"/>
    <col min="6" max="7" width="8.88333333333333" style="30"/>
    <col min="8" max="8" width="14.4416666666667" style="30" customWidth="1"/>
    <col min="9" max="9" width="8.88333333333333" style="30"/>
    <col min="10" max="12" width="8.88333333333333" style="30" customWidth="1"/>
    <col min="13" max="13" width="11" style="30" customWidth="1"/>
    <col min="14" max="15" width="10.2166666666667" style="30" customWidth="1"/>
    <col min="16" max="16" width="8.88333333333333" style="27"/>
    <col min="17" max="17" width="12.25" style="30" customWidth="1"/>
    <col min="18" max="16384" width="8.88333333333333" style="30"/>
  </cols>
  <sheetData>
    <row r="1" ht="22.5" spans="2:17">
      <c r="B1" s="53" t="s">
        <v>1</v>
      </c>
      <c r="C1" s="53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664</v>
      </c>
      <c r="P1" s="1" t="s">
        <v>33</v>
      </c>
      <c r="Q1" s="1" t="s">
        <v>34</v>
      </c>
    </row>
    <row r="2" spans="1:19">
      <c r="A2" s="268">
        <v>1</v>
      </c>
      <c r="B2" s="268" t="s">
        <v>13</v>
      </c>
      <c r="C2" s="268" t="s">
        <v>37</v>
      </c>
      <c r="D2" s="269" t="s">
        <v>330</v>
      </c>
      <c r="E2" s="12" t="s">
        <v>665</v>
      </c>
      <c r="F2" s="270"/>
      <c r="G2" s="270"/>
      <c r="H2" s="14" t="s">
        <v>666</v>
      </c>
      <c r="I2" s="270"/>
      <c r="J2" s="270"/>
      <c r="K2" s="270"/>
      <c r="L2" s="10" t="s">
        <v>667</v>
      </c>
      <c r="M2" s="12" t="s">
        <v>44</v>
      </c>
      <c r="N2" s="279">
        <v>45356</v>
      </c>
      <c r="O2" s="279">
        <v>45720</v>
      </c>
      <c r="P2" s="12">
        <v>300</v>
      </c>
      <c r="Q2" s="290" t="s">
        <v>361</v>
      </c>
      <c r="R2" s="291"/>
      <c r="S2" s="292"/>
    </row>
    <row r="3" spans="1:19">
      <c r="A3" s="268">
        <v>2</v>
      </c>
      <c r="B3" s="268" t="s">
        <v>13</v>
      </c>
      <c r="C3" s="268" t="s">
        <v>37</v>
      </c>
      <c r="D3" s="269" t="s">
        <v>330</v>
      </c>
      <c r="E3" s="12" t="s">
        <v>665</v>
      </c>
      <c r="F3" s="270"/>
      <c r="G3" s="270"/>
      <c r="H3" s="14" t="s">
        <v>668</v>
      </c>
      <c r="I3" s="270"/>
      <c r="J3" s="270"/>
      <c r="K3" s="270"/>
      <c r="L3" s="10" t="s">
        <v>667</v>
      </c>
      <c r="M3" s="12" t="s">
        <v>44</v>
      </c>
      <c r="N3" s="279">
        <v>45356</v>
      </c>
      <c r="O3" s="279">
        <v>45720</v>
      </c>
      <c r="P3" s="12">
        <v>300</v>
      </c>
      <c r="Q3" s="290" t="s">
        <v>361</v>
      </c>
      <c r="R3" s="291"/>
      <c r="S3" s="292"/>
    </row>
    <row r="4" ht="24" customHeight="1" spans="1:18">
      <c r="A4" s="268">
        <v>3</v>
      </c>
      <c r="B4" s="268" t="s">
        <v>14</v>
      </c>
      <c r="C4" s="268" t="s">
        <v>37</v>
      </c>
      <c r="D4" s="271" t="s">
        <v>262</v>
      </c>
      <c r="E4" s="37" t="s">
        <v>669</v>
      </c>
      <c r="F4" s="220"/>
      <c r="G4" s="220" t="s">
        <v>670</v>
      </c>
      <c r="H4" s="209" t="s">
        <v>671</v>
      </c>
      <c r="I4" s="280">
        <v>2020.5</v>
      </c>
      <c r="J4" s="220" t="s">
        <v>672</v>
      </c>
      <c r="K4" s="220">
        <v>0.001</v>
      </c>
      <c r="L4" s="37" t="s">
        <v>673</v>
      </c>
      <c r="M4" s="37" t="s">
        <v>674</v>
      </c>
      <c r="N4" s="281">
        <v>45441</v>
      </c>
      <c r="O4" s="281">
        <v>45805</v>
      </c>
      <c r="P4" s="37">
        <v>336</v>
      </c>
      <c r="Q4" s="272" t="s">
        <v>361</v>
      </c>
      <c r="R4" s="251"/>
    </row>
    <row r="5" s="30" customFormat="1" spans="1:18">
      <c r="A5" s="268">
        <v>4</v>
      </c>
      <c r="B5" s="268" t="s">
        <v>15</v>
      </c>
      <c r="C5" s="268" t="s">
        <v>37</v>
      </c>
      <c r="D5" s="269" t="s">
        <v>675</v>
      </c>
      <c r="E5" s="12" t="s">
        <v>669</v>
      </c>
      <c r="F5" s="272"/>
      <c r="G5" s="10" t="s">
        <v>670</v>
      </c>
      <c r="H5" s="10" t="s">
        <v>676</v>
      </c>
      <c r="I5" s="14">
        <v>2020.8</v>
      </c>
      <c r="J5" s="10" t="s">
        <v>672</v>
      </c>
      <c r="K5" s="10">
        <v>0.001</v>
      </c>
      <c r="L5" s="37" t="s">
        <v>673</v>
      </c>
      <c r="M5" s="12" t="s">
        <v>677</v>
      </c>
      <c r="N5" s="282">
        <v>45455</v>
      </c>
      <c r="O5" s="282">
        <v>45819</v>
      </c>
      <c r="P5" s="12">
        <v>336</v>
      </c>
      <c r="Q5" s="272" t="s">
        <v>361</v>
      </c>
      <c r="R5" s="251"/>
    </row>
    <row r="6" s="30" customFormat="1" spans="1:18">
      <c r="A6" s="268">
        <v>15</v>
      </c>
      <c r="B6" s="268" t="s">
        <v>15</v>
      </c>
      <c r="C6" s="268" t="s">
        <v>37</v>
      </c>
      <c r="D6" s="82" t="s">
        <v>675</v>
      </c>
      <c r="E6" s="141" t="s">
        <v>678</v>
      </c>
      <c r="F6" s="31"/>
      <c r="G6" s="31"/>
      <c r="H6" s="119" t="s">
        <v>679</v>
      </c>
      <c r="I6" s="32"/>
      <c r="J6" s="31"/>
      <c r="K6" s="31"/>
      <c r="L6" s="31" t="s">
        <v>667</v>
      </c>
      <c r="M6" s="29" t="s">
        <v>674</v>
      </c>
      <c r="N6" s="94">
        <v>45928</v>
      </c>
      <c r="O6" s="94">
        <v>46292</v>
      </c>
      <c r="P6" s="29">
        <v>300</v>
      </c>
      <c r="Q6" s="251"/>
      <c r="R6" s="251"/>
    </row>
    <row r="7" s="30" customFormat="1" spans="1:18">
      <c r="A7" s="268">
        <v>16</v>
      </c>
      <c r="B7" s="268" t="s">
        <v>13</v>
      </c>
      <c r="C7" s="268" t="s">
        <v>37</v>
      </c>
      <c r="D7" s="82" t="s">
        <v>330</v>
      </c>
      <c r="E7" s="141" t="s">
        <v>678</v>
      </c>
      <c r="F7" s="31" t="s">
        <v>680</v>
      </c>
      <c r="G7" s="31" t="s">
        <v>681</v>
      </c>
      <c r="H7" s="119" t="s">
        <v>679</v>
      </c>
      <c r="I7" s="32">
        <v>2010.1</v>
      </c>
      <c r="J7" s="119" t="s">
        <v>682</v>
      </c>
      <c r="K7" s="31" t="s">
        <v>683</v>
      </c>
      <c r="L7" s="31" t="s">
        <v>667</v>
      </c>
      <c r="M7" s="29" t="s">
        <v>674</v>
      </c>
      <c r="N7" s="94">
        <v>45928</v>
      </c>
      <c r="O7" s="94">
        <v>46292</v>
      </c>
      <c r="P7" s="29">
        <v>300</v>
      </c>
      <c r="Q7" s="251" t="s">
        <v>684</v>
      </c>
      <c r="R7" s="251"/>
    </row>
    <row r="8" s="30" customFormat="1" spans="1:18">
      <c r="A8" s="268">
        <v>17</v>
      </c>
      <c r="B8" s="268" t="s">
        <v>13</v>
      </c>
      <c r="C8" s="268" t="s">
        <v>37</v>
      </c>
      <c r="D8" s="82" t="s">
        <v>330</v>
      </c>
      <c r="E8" s="29" t="s">
        <v>678</v>
      </c>
      <c r="F8" s="31" t="s">
        <v>685</v>
      </c>
      <c r="G8" s="119" t="s">
        <v>681</v>
      </c>
      <c r="H8" s="31" t="s">
        <v>685</v>
      </c>
      <c r="I8" s="32">
        <v>2010.1</v>
      </c>
      <c r="J8" s="119" t="s">
        <v>682</v>
      </c>
      <c r="K8" s="31" t="s">
        <v>683</v>
      </c>
      <c r="L8" s="31" t="s">
        <v>667</v>
      </c>
      <c r="M8" s="29" t="s">
        <v>674</v>
      </c>
      <c r="N8" s="94">
        <v>45928</v>
      </c>
      <c r="O8" s="94">
        <v>46292</v>
      </c>
      <c r="P8" s="29">
        <v>300</v>
      </c>
      <c r="Q8" s="251" t="s">
        <v>686</v>
      </c>
      <c r="R8" s="251"/>
    </row>
    <row r="9" s="30" customFormat="1" spans="1:18">
      <c r="A9" s="268">
        <v>18</v>
      </c>
      <c r="B9" s="268" t="s">
        <v>15</v>
      </c>
      <c r="C9" s="268" t="s">
        <v>37</v>
      </c>
      <c r="D9" s="82" t="s">
        <v>675</v>
      </c>
      <c r="E9" s="29" t="s">
        <v>687</v>
      </c>
      <c r="F9" s="31" t="s">
        <v>688</v>
      </c>
      <c r="G9" s="31" t="s">
        <v>689</v>
      </c>
      <c r="H9" s="119" t="s">
        <v>690</v>
      </c>
      <c r="I9" s="32">
        <v>2012.01</v>
      </c>
      <c r="J9" s="283" t="s">
        <v>691</v>
      </c>
      <c r="K9" s="284" t="s">
        <v>692</v>
      </c>
      <c r="L9" s="285" t="s">
        <v>667</v>
      </c>
      <c r="M9" s="29" t="s">
        <v>674</v>
      </c>
      <c r="N9" s="94">
        <v>45928</v>
      </c>
      <c r="O9" s="94">
        <v>46292</v>
      </c>
      <c r="P9" s="29">
        <v>500</v>
      </c>
      <c r="Q9" s="251" t="s">
        <v>693</v>
      </c>
      <c r="R9" s="251"/>
    </row>
    <row r="10" s="30" customFormat="1" spans="1:18">
      <c r="A10" s="268">
        <v>19</v>
      </c>
      <c r="B10" s="268" t="s">
        <v>15</v>
      </c>
      <c r="C10" s="268" t="s">
        <v>37</v>
      </c>
      <c r="D10" s="82" t="s">
        <v>675</v>
      </c>
      <c r="E10" s="29" t="s">
        <v>694</v>
      </c>
      <c r="F10" s="31" t="s">
        <v>695</v>
      </c>
      <c r="G10" s="31" t="s">
        <v>696</v>
      </c>
      <c r="H10" s="119" t="s">
        <v>697</v>
      </c>
      <c r="I10" s="32">
        <v>2010.1</v>
      </c>
      <c r="J10" s="283" t="s">
        <v>698</v>
      </c>
      <c r="K10" s="283" t="s">
        <v>699</v>
      </c>
      <c r="L10" s="285" t="s">
        <v>667</v>
      </c>
      <c r="M10" s="29" t="s">
        <v>674</v>
      </c>
      <c r="N10" s="94">
        <v>45559</v>
      </c>
      <c r="O10" s="94">
        <v>45923</v>
      </c>
      <c r="P10" s="29">
        <v>400</v>
      </c>
      <c r="Q10" s="251"/>
      <c r="R10" s="251"/>
    </row>
    <row r="11" s="30" customFormat="1" spans="1:18">
      <c r="A11" s="268">
        <v>20</v>
      </c>
      <c r="B11" s="268" t="s">
        <v>13</v>
      </c>
      <c r="C11" s="268" t="s">
        <v>37</v>
      </c>
      <c r="D11" s="82" t="s">
        <v>330</v>
      </c>
      <c r="E11" s="29" t="s">
        <v>700</v>
      </c>
      <c r="F11" s="161" t="s">
        <v>42</v>
      </c>
      <c r="G11" s="31" t="s">
        <v>701</v>
      </c>
      <c r="H11" s="119" t="s">
        <v>702</v>
      </c>
      <c r="I11" s="31" t="s">
        <v>42</v>
      </c>
      <c r="J11" s="31" t="s">
        <v>42</v>
      </c>
      <c r="K11" s="31" t="s">
        <v>42</v>
      </c>
      <c r="L11" s="285" t="s">
        <v>667</v>
      </c>
      <c r="M11" s="29" t="s">
        <v>674</v>
      </c>
      <c r="N11" s="286">
        <v>45559</v>
      </c>
      <c r="O11" s="286">
        <v>45923</v>
      </c>
      <c r="P11" s="29">
        <v>50</v>
      </c>
      <c r="Q11" s="293" t="s">
        <v>703</v>
      </c>
      <c r="R11" s="251" t="s">
        <v>704</v>
      </c>
    </row>
    <row r="12" s="30" customFormat="1" spans="1:18">
      <c r="A12" s="268">
        <v>21</v>
      </c>
      <c r="B12" s="268" t="s">
        <v>15</v>
      </c>
      <c r="C12" s="27" t="s">
        <v>37</v>
      </c>
      <c r="D12" s="82" t="s">
        <v>675</v>
      </c>
      <c r="E12" s="29" t="s">
        <v>705</v>
      </c>
      <c r="F12" s="31" t="s">
        <v>706</v>
      </c>
      <c r="G12" s="31" t="s">
        <v>707</v>
      </c>
      <c r="H12" s="119">
        <v>10038425</v>
      </c>
      <c r="I12" s="32">
        <v>2010.1</v>
      </c>
      <c r="J12" s="31" t="s">
        <v>707</v>
      </c>
      <c r="K12" s="31" t="s">
        <v>708</v>
      </c>
      <c r="L12" s="285" t="s">
        <v>667</v>
      </c>
      <c r="M12" s="29" t="s">
        <v>674</v>
      </c>
      <c r="N12" s="94">
        <v>45560</v>
      </c>
      <c r="O12" s="94">
        <v>45924</v>
      </c>
      <c r="P12" s="29">
        <v>200</v>
      </c>
      <c r="Q12" s="251" t="s">
        <v>709</v>
      </c>
      <c r="R12" s="251"/>
    </row>
    <row r="13" s="30" customFormat="1" spans="1:18">
      <c r="A13" s="268">
        <v>22</v>
      </c>
      <c r="B13" s="268" t="s">
        <v>15</v>
      </c>
      <c r="C13" s="268" t="s">
        <v>37</v>
      </c>
      <c r="D13" s="82" t="s">
        <v>675</v>
      </c>
      <c r="E13" s="29" t="s">
        <v>710</v>
      </c>
      <c r="F13" s="31" t="s">
        <v>711</v>
      </c>
      <c r="G13" s="31" t="s">
        <v>712</v>
      </c>
      <c r="H13" s="32">
        <v>11144817</v>
      </c>
      <c r="I13" s="32">
        <v>2010.1</v>
      </c>
      <c r="J13" s="31" t="s">
        <v>712</v>
      </c>
      <c r="K13" s="31" t="s">
        <v>708</v>
      </c>
      <c r="L13" s="285" t="s">
        <v>667</v>
      </c>
      <c r="M13" s="29" t="s">
        <v>674</v>
      </c>
      <c r="N13" s="94">
        <v>45560</v>
      </c>
      <c r="O13" s="94">
        <v>45924</v>
      </c>
      <c r="P13" s="29">
        <v>200</v>
      </c>
      <c r="Q13" s="251"/>
      <c r="R13" s="251"/>
    </row>
    <row r="14" s="30" customFormat="1" spans="1:18">
      <c r="A14" s="268">
        <v>23</v>
      </c>
      <c r="B14" s="268" t="s">
        <v>15</v>
      </c>
      <c r="C14" s="268" t="s">
        <v>37</v>
      </c>
      <c r="D14" s="82" t="s">
        <v>675</v>
      </c>
      <c r="E14" s="29" t="s">
        <v>713</v>
      </c>
      <c r="F14" s="31" t="s">
        <v>714</v>
      </c>
      <c r="G14" s="31" t="s">
        <v>715</v>
      </c>
      <c r="H14" s="32">
        <v>8154411</v>
      </c>
      <c r="I14" s="32">
        <v>2010.1</v>
      </c>
      <c r="J14" s="31" t="s">
        <v>715</v>
      </c>
      <c r="K14" s="31" t="s">
        <v>708</v>
      </c>
      <c r="L14" s="285" t="s">
        <v>667</v>
      </c>
      <c r="M14" s="29" t="s">
        <v>674</v>
      </c>
      <c r="N14" s="94">
        <v>45560</v>
      </c>
      <c r="O14" s="94">
        <v>45924</v>
      </c>
      <c r="P14" s="29">
        <v>200</v>
      </c>
      <c r="Q14" s="251" t="s">
        <v>716</v>
      </c>
      <c r="R14" s="251"/>
    </row>
    <row r="15" s="30" customFormat="1" spans="1:18">
      <c r="A15" s="268">
        <v>24</v>
      </c>
      <c r="B15" s="268" t="s">
        <v>13</v>
      </c>
      <c r="C15" s="268" t="s">
        <v>37</v>
      </c>
      <c r="D15" s="82" t="s">
        <v>330</v>
      </c>
      <c r="E15" s="29" t="s">
        <v>46</v>
      </c>
      <c r="F15" s="31" t="s">
        <v>717</v>
      </c>
      <c r="G15" s="31" t="s">
        <v>718</v>
      </c>
      <c r="H15" s="119" t="s">
        <v>719</v>
      </c>
      <c r="I15" s="32">
        <v>2010.1</v>
      </c>
      <c r="J15" s="31" t="s">
        <v>42</v>
      </c>
      <c r="K15" s="31" t="s">
        <v>42</v>
      </c>
      <c r="L15" s="285" t="s">
        <v>667</v>
      </c>
      <c r="M15" s="29" t="s">
        <v>674</v>
      </c>
      <c r="N15" s="94">
        <v>45560</v>
      </c>
      <c r="O15" s="94">
        <v>45924</v>
      </c>
      <c r="P15" s="29">
        <v>280</v>
      </c>
      <c r="Q15" s="293"/>
      <c r="R15" s="251"/>
    </row>
    <row r="16" s="30" customFormat="1" spans="1:18">
      <c r="A16" s="268">
        <v>25</v>
      </c>
      <c r="B16" s="268" t="s">
        <v>15</v>
      </c>
      <c r="C16" s="268" t="s">
        <v>37</v>
      </c>
      <c r="D16" s="82" t="s">
        <v>675</v>
      </c>
      <c r="E16" s="29" t="s">
        <v>720</v>
      </c>
      <c r="F16" s="31" t="s">
        <v>721</v>
      </c>
      <c r="G16" s="31" t="s">
        <v>722</v>
      </c>
      <c r="H16" s="377" t="s">
        <v>723</v>
      </c>
      <c r="I16" s="32">
        <v>2010.1</v>
      </c>
      <c r="J16" s="31" t="s">
        <v>42</v>
      </c>
      <c r="K16" s="31" t="s">
        <v>42</v>
      </c>
      <c r="L16" s="285" t="s">
        <v>667</v>
      </c>
      <c r="M16" s="29" t="s">
        <v>674</v>
      </c>
      <c r="N16" s="94">
        <v>45928</v>
      </c>
      <c r="O16" s="94">
        <v>46292</v>
      </c>
      <c r="P16" s="29">
        <v>400</v>
      </c>
      <c r="Q16" s="251"/>
      <c r="R16" s="251"/>
    </row>
    <row r="17" s="30" customFormat="1" spans="1:18">
      <c r="A17" s="268">
        <v>26</v>
      </c>
      <c r="B17" s="268" t="s">
        <v>14</v>
      </c>
      <c r="C17" s="268" t="s">
        <v>37</v>
      </c>
      <c r="D17" s="82" t="s">
        <v>262</v>
      </c>
      <c r="E17" s="29" t="s">
        <v>720</v>
      </c>
      <c r="F17" s="31" t="s">
        <v>724</v>
      </c>
      <c r="G17" s="31" t="s">
        <v>722</v>
      </c>
      <c r="H17" s="31">
        <v>121322</v>
      </c>
      <c r="I17" s="32">
        <v>2012.01</v>
      </c>
      <c r="J17" s="31" t="s">
        <v>42</v>
      </c>
      <c r="K17" s="31" t="s">
        <v>42</v>
      </c>
      <c r="L17" s="285" t="s">
        <v>667</v>
      </c>
      <c r="M17" s="29" t="s">
        <v>674</v>
      </c>
      <c r="N17" s="94">
        <v>45928</v>
      </c>
      <c r="O17" s="94">
        <v>46292</v>
      </c>
      <c r="P17" s="29">
        <v>400</v>
      </c>
      <c r="Q17" s="251"/>
      <c r="R17" s="251"/>
    </row>
    <row r="18" s="30" customFormat="1" spans="1:18">
      <c r="A18" s="268">
        <v>27</v>
      </c>
      <c r="B18" s="268" t="s">
        <v>15</v>
      </c>
      <c r="C18" s="268" t="s">
        <v>37</v>
      </c>
      <c r="D18" s="82" t="s">
        <v>675</v>
      </c>
      <c r="E18" s="29" t="s">
        <v>70</v>
      </c>
      <c r="F18" s="31" t="s">
        <v>725</v>
      </c>
      <c r="G18" s="31" t="s">
        <v>72</v>
      </c>
      <c r="H18" s="32">
        <v>1231125585</v>
      </c>
      <c r="I18" s="32">
        <v>2010.1</v>
      </c>
      <c r="J18" s="31" t="s">
        <v>73</v>
      </c>
      <c r="K18" s="51" t="s">
        <v>74</v>
      </c>
      <c r="L18" s="285" t="s">
        <v>667</v>
      </c>
      <c r="M18" s="29" t="s">
        <v>674</v>
      </c>
      <c r="N18" s="94">
        <v>45928</v>
      </c>
      <c r="O18" s="94">
        <v>46292</v>
      </c>
      <c r="P18" s="142">
        <v>240</v>
      </c>
      <c r="Q18" s="251"/>
      <c r="R18" s="251"/>
    </row>
    <row r="19" s="30" customFormat="1" ht="24" spans="1:18">
      <c r="A19" s="268">
        <v>28</v>
      </c>
      <c r="B19" s="268" t="s">
        <v>13</v>
      </c>
      <c r="C19" s="268" t="s">
        <v>37</v>
      </c>
      <c r="D19" s="82" t="s">
        <v>330</v>
      </c>
      <c r="E19" s="29" t="s">
        <v>70</v>
      </c>
      <c r="F19" s="31" t="s">
        <v>726</v>
      </c>
      <c r="G19" s="31" t="s">
        <v>72</v>
      </c>
      <c r="H19" s="119" t="s">
        <v>727</v>
      </c>
      <c r="I19" s="32">
        <v>2012.08</v>
      </c>
      <c r="J19" s="119" t="s">
        <v>728</v>
      </c>
      <c r="K19" s="51" t="s">
        <v>729</v>
      </c>
      <c r="L19" s="285" t="s">
        <v>667</v>
      </c>
      <c r="M19" s="29" t="s">
        <v>674</v>
      </c>
      <c r="N19" s="94">
        <v>45928</v>
      </c>
      <c r="O19" s="94">
        <v>46292</v>
      </c>
      <c r="P19" s="29">
        <v>240</v>
      </c>
      <c r="Q19" s="251"/>
      <c r="R19" s="251"/>
    </row>
    <row r="20" s="30" customFormat="1" ht="24" spans="1:2575">
      <c r="A20" s="268">
        <v>29</v>
      </c>
      <c r="B20" s="268" t="s">
        <v>14</v>
      </c>
      <c r="C20" s="268" t="s">
        <v>37</v>
      </c>
      <c r="D20" s="82" t="s">
        <v>262</v>
      </c>
      <c r="E20" s="29" t="s">
        <v>70</v>
      </c>
      <c r="F20" s="31" t="s">
        <v>730</v>
      </c>
      <c r="G20" s="31" t="s">
        <v>72</v>
      </c>
      <c r="H20" s="119" t="s">
        <v>731</v>
      </c>
      <c r="I20" s="32">
        <v>2012.08</v>
      </c>
      <c r="J20" s="119" t="s">
        <v>728</v>
      </c>
      <c r="K20" s="51" t="s">
        <v>74</v>
      </c>
      <c r="L20" s="285" t="s">
        <v>667</v>
      </c>
      <c r="M20" s="29" t="s">
        <v>674</v>
      </c>
      <c r="N20" s="94">
        <v>45928</v>
      </c>
      <c r="O20" s="94">
        <v>46292</v>
      </c>
      <c r="P20" s="29">
        <v>240</v>
      </c>
      <c r="Q20" s="251"/>
      <c r="R20" s="251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  <c r="AMK20" s="27"/>
      <c r="AML20" s="27"/>
      <c r="AMM20" s="27"/>
      <c r="AMN20" s="27"/>
      <c r="AMO20" s="27"/>
      <c r="AMP20" s="27"/>
      <c r="AMQ20" s="27"/>
      <c r="AMR20" s="27"/>
      <c r="AMS20" s="27"/>
      <c r="AMT20" s="27"/>
      <c r="AMU20" s="27"/>
      <c r="AMV20" s="27"/>
      <c r="AMW20" s="27"/>
      <c r="AMX20" s="27"/>
      <c r="AMY20" s="27"/>
      <c r="AMZ20" s="27"/>
      <c r="ANA20" s="27"/>
      <c r="ANB20" s="27"/>
      <c r="ANC20" s="27"/>
      <c r="AND20" s="27"/>
      <c r="ANE20" s="27"/>
      <c r="ANF20" s="27"/>
      <c r="ANG20" s="27"/>
      <c r="ANH20" s="27"/>
      <c r="ANI20" s="27"/>
      <c r="ANJ20" s="27"/>
      <c r="ANK20" s="27"/>
      <c r="ANL20" s="27"/>
      <c r="ANM20" s="27"/>
      <c r="ANN20" s="27"/>
      <c r="ANO20" s="27"/>
      <c r="ANP20" s="27"/>
      <c r="ANQ20" s="27"/>
      <c r="ANR20" s="27"/>
      <c r="ANS20" s="27"/>
      <c r="ANT20" s="27"/>
      <c r="ANU20" s="27"/>
      <c r="ANV20" s="27"/>
      <c r="ANW20" s="27"/>
      <c r="ANX20" s="27"/>
      <c r="ANY20" s="27"/>
      <c r="ANZ20" s="27"/>
      <c r="AOA20" s="27"/>
      <c r="AOB20" s="27"/>
      <c r="AOC20" s="27"/>
      <c r="AOD20" s="27"/>
      <c r="AOE20" s="27"/>
      <c r="AOF20" s="27"/>
      <c r="AOG20" s="27"/>
      <c r="AOH20" s="27"/>
      <c r="AOI20" s="27"/>
      <c r="AOJ20" s="27"/>
      <c r="AOK20" s="27"/>
      <c r="AOL20" s="27"/>
      <c r="AOM20" s="27"/>
      <c r="AON20" s="27"/>
      <c r="AOO20" s="27"/>
      <c r="AOP20" s="27"/>
      <c r="AOQ20" s="27"/>
      <c r="AOR20" s="27"/>
      <c r="AOS20" s="27"/>
      <c r="AOT20" s="27"/>
      <c r="AOU20" s="27"/>
      <c r="AOV20" s="27"/>
      <c r="AOW20" s="27"/>
      <c r="AOX20" s="27"/>
      <c r="AOY20" s="27"/>
      <c r="AOZ20" s="27"/>
      <c r="APA20" s="27"/>
      <c r="APB20" s="27"/>
      <c r="APC20" s="27"/>
      <c r="APD20" s="27"/>
      <c r="APE20" s="27"/>
      <c r="APF20" s="27"/>
      <c r="APG20" s="27"/>
      <c r="APH20" s="27"/>
      <c r="API20" s="27"/>
      <c r="APJ20" s="27"/>
      <c r="APK20" s="27"/>
      <c r="APL20" s="27"/>
      <c r="APM20" s="27"/>
      <c r="APN20" s="27"/>
      <c r="APO20" s="27"/>
      <c r="APP20" s="27"/>
      <c r="APQ20" s="27"/>
      <c r="APR20" s="27"/>
      <c r="APS20" s="27"/>
      <c r="APT20" s="27"/>
      <c r="APU20" s="27"/>
      <c r="APV20" s="27"/>
      <c r="APW20" s="27"/>
      <c r="APX20" s="27"/>
      <c r="APY20" s="27"/>
      <c r="APZ20" s="27"/>
      <c r="AQA20" s="27"/>
      <c r="AQB20" s="27"/>
      <c r="AQC20" s="27"/>
      <c r="AQD20" s="27"/>
      <c r="AQE20" s="27"/>
      <c r="AQF20" s="27"/>
      <c r="AQG20" s="27"/>
      <c r="AQH20" s="27"/>
      <c r="AQI20" s="27"/>
      <c r="AQJ20" s="27"/>
      <c r="AQK20" s="27"/>
      <c r="AQL20" s="27"/>
      <c r="AQM20" s="27"/>
      <c r="AQN20" s="27"/>
      <c r="AQO20" s="27"/>
      <c r="AQP20" s="27"/>
      <c r="AQQ20" s="27"/>
      <c r="AQR20" s="27"/>
      <c r="AQS20" s="27"/>
      <c r="AQT20" s="27"/>
      <c r="AQU20" s="27"/>
      <c r="AQV20" s="27"/>
      <c r="AQW20" s="27"/>
      <c r="AQX20" s="27"/>
      <c r="AQY20" s="27"/>
      <c r="AQZ20" s="27"/>
      <c r="ARA20" s="27"/>
      <c r="ARB20" s="27"/>
      <c r="ARC20" s="27"/>
      <c r="ARD20" s="27"/>
      <c r="ARE20" s="27"/>
      <c r="ARF20" s="27"/>
      <c r="ARG20" s="27"/>
      <c r="ARH20" s="27"/>
      <c r="ARI20" s="27"/>
      <c r="ARJ20" s="27"/>
      <c r="ARK20" s="27"/>
      <c r="ARL20" s="27"/>
      <c r="ARM20" s="27"/>
      <c r="ARN20" s="27"/>
      <c r="ARO20" s="27"/>
      <c r="ARP20" s="27"/>
      <c r="ARQ20" s="27"/>
      <c r="ARR20" s="27"/>
      <c r="ARS20" s="27"/>
      <c r="ART20" s="27"/>
      <c r="ARU20" s="27"/>
      <c r="ARV20" s="27"/>
      <c r="ARW20" s="27"/>
      <c r="ARX20" s="27"/>
      <c r="ARY20" s="27"/>
      <c r="ARZ20" s="27"/>
      <c r="ASA20" s="27"/>
      <c r="ASB20" s="27"/>
      <c r="ASC20" s="27"/>
      <c r="ASD20" s="27"/>
      <c r="ASE20" s="27"/>
      <c r="ASF20" s="27"/>
      <c r="ASG20" s="27"/>
      <c r="ASH20" s="27"/>
      <c r="ASI20" s="27"/>
      <c r="ASJ20" s="27"/>
      <c r="ASK20" s="27"/>
      <c r="ASL20" s="27"/>
      <c r="ASM20" s="27"/>
      <c r="ASN20" s="27"/>
      <c r="ASO20" s="27"/>
      <c r="ASP20" s="27"/>
      <c r="ASQ20" s="27"/>
      <c r="ASR20" s="27"/>
      <c r="ASS20" s="27"/>
      <c r="AST20" s="27"/>
      <c r="ASU20" s="27"/>
      <c r="ASV20" s="27"/>
      <c r="ASW20" s="27"/>
      <c r="ASX20" s="27"/>
      <c r="ASY20" s="27"/>
      <c r="ASZ20" s="27"/>
      <c r="ATA20" s="27"/>
      <c r="ATB20" s="27"/>
      <c r="ATC20" s="27"/>
      <c r="ATD20" s="27"/>
      <c r="ATE20" s="27"/>
      <c r="ATF20" s="27"/>
      <c r="ATG20" s="27"/>
      <c r="ATH20" s="27"/>
      <c r="ATI20" s="27"/>
      <c r="ATJ20" s="27"/>
      <c r="ATK20" s="27"/>
      <c r="ATL20" s="27"/>
      <c r="ATM20" s="27"/>
      <c r="ATN20" s="27"/>
      <c r="ATO20" s="27"/>
      <c r="ATP20" s="27"/>
      <c r="ATQ20" s="27"/>
      <c r="ATR20" s="27"/>
      <c r="ATS20" s="27"/>
      <c r="ATT20" s="27"/>
      <c r="ATU20" s="27"/>
      <c r="ATV20" s="27"/>
      <c r="ATW20" s="27"/>
      <c r="ATX20" s="27"/>
      <c r="ATY20" s="27"/>
      <c r="ATZ20" s="27"/>
      <c r="AUA20" s="27"/>
      <c r="AUB20" s="27"/>
      <c r="AUC20" s="27"/>
      <c r="AUD20" s="27"/>
      <c r="AUE20" s="27"/>
      <c r="AUF20" s="27"/>
      <c r="AUG20" s="27"/>
      <c r="AUH20" s="27"/>
      <c r="AUI20" s="27"/>
      <c r="AUJ20" s="27"/>
      <c r="AUK20" s="27"/>
      <c r="AUL20" s="27"/>
      <c r="AUM20" s="27"/>
      <c r="AUN20" s="27"/>
      <c r="AUO20" s="27"/>
      <c r="AUP20" s="27"/>
      <c r="AUQ20" s="27"/>
      <c r="AUR20" s="27"/>
      <c r="AUS20" s="27"/>
      <c r="AUT20" s="27"/>
      <c r="AUU20" s="27"/>
      <c r="AUV20" s="27"/>
      <c r="AUW20" s="27"/>
      <c r="AUX20" s="27"/>
      <c r="AUY20" s="27"/>
      <c r="AUZ20" s="27"/>
      <c r="AVA20" s="27"/>
      <c r="AVB20" s="27"/>
      <c r="AVC20" s="27"/>
      <c r="AVD20" s="27"/>
      <c r="AVE20" s="27"/>
      <c r="AVF20" s="27"/>
      <c r="AVG20" s="27"/>
      <c r="AVH20" s="27"/>
      <c r="AVI20" s="27"/>
      <c r="AVJ20" s="27"/>
      <c r="AVK20" s="27"/>
      <c r="AVL20" s="27"/>
      <c r="AVM20" s="27"/>
      <c r="AVN20" s="27"/>
      <c r="AVO20" s="27"/>
      <c r="AVP20" s="27"/>
      <c r="AVQ20" s="27"/>
      <c r="AVR20" s="27"/>
      <c r="AVS20" s="27"/>
      <c r="AVT20" s="27"/>
      <c r="AVU20" s="27"/>
      <c r="AVV20" s="27"/>
      <c r="AVW20" s="27"/>
      <c r="AVX20" s="27"/>
      <c r="AVY20" s="27"/>
      <c r="AVZ20" s="27"/>
      <c r="AWA20" s="27"/>
      <c r="AWB20" s="27"/>
      <c r="AWC20" s="27"/>
      <c r="AWD20" s="27"/>
      <c r="AWE20" s="27"/>
      <c r="AWF20" s="27"/>
      <c r="AWG20" s="27"/>
      <c r="AWH20" s="27"/>
      <c r="AWI20" s="27"/>
      <c r="AWJ20" s="27"/>
      <c r="AWK20" s="27"/>
      <c r="AWL20" s="27"/>
      <c r="AWM20" s="27"/>
      <c r="AWN20" s="27"/>
      <c r="AWO20" s="27"/>
      <c r="AWP20" s="27"/>
      <c r="AWQ20" s="27"/>
      <c r="AWR20" s="27"/>
      <c r="AWS20" s="27"/>
      <c r="AWT20" s="27"/>
      <c r="AWU20" s="27"/>
      <c r="AWV20" s="27"/>
      <c r="AWW20" s="27"/>
      <c r="AWX20" s="27"/>
      <c r="AWY20" s="27"/>
      <c r="AWZ20" s="27"/>
      <c r="AXA20" s="27"/>
      <c r="AXB20" s="27"/>
      <c r="AXC20" s="27"/>
      <c r="AXD20" s="27"/>
      <c r="AXE20" s="27"/>
      <c r="AXF20" s="27"/>
      <c r="AXG20" s="27"/>
      <c r="AXH20" s="27"/>
      <c r="AXI20" s="27"/>
      <c r="AXJ20" s="27"/>
      <c r="AXK20" s="27"/>
      <c r="AXL20" s="27"/>
      <c r="AXM20" s="27"/>
      <c r="AXN20" s="27"/>
      <c r="AXO20" s="27"/>
      <c r="AXP20" s="27"/>
      <c r="AXQ20" s="27"/>
      <c r="AXR20" s="27"/>
      <c r="AXS20" s="27"/>
      <c r="AXT20" s="27"/>
      <c r="AXU20" s="27"/>
      <c r="AXV20" s="27"/>
      <c r="AXW20" s="27"/>
      <c r="AXX20" s="27"/>
      <c r="AXY20" s="27"/>
      <c r="AXZ20" s="27"/>
      <c r="AYA20" s="27"/>
      <c r="AYB20" s="27"/>
      <c r="AYC20" s="27"/>
      <c r="AYD20" s="27"/>
      <c r="AYE20" s="27"/>
      <c r="AYF20" s="27"/>
      <c r="AYG20" s="27"/>
      <c r="AYH20" s="27"/>
      <c r="AYI20" s="27"/>
      <c r="AYJ20" s="27"/>
      <c r="AYK20" s="27"/>
      <c r="AYL20" s="27"/>
      <c r="AYM20" s="27"/>
      <c r="AYN20" s="27"/>
      <c r="AYO20" s="27"/>
      <c r="AYP20" s="27"/>
      <c r="AYQ20" s="27"/>
      <c r="AYR20" s="27"/>
      <c r="AYS20" s="27"/>
      <c r="AYT20" s="27"/>
      <c r="AYU20" s="27"/>
      <c r="AYV20" s="27"/>
      <c r="AYW20" s="27"/>
      <c r="AYX20" s="27"/>
      <c r="AYY20" s="27"/>
      <c r="AYZ20" s="27"/>
      <c r="AZA20" s="27"/>
      <c r="AZB20" s="27"/>
      <c r="AZC20" s="27"/>
      <c r="AZD20" s="27"/>
      <c r="AZE20" s="27"/>
      <c r="AZF20" s="27"/>
      <c r="AZG20" s="27"/>
      <c r="AZH20" s="27"/>
      <c r="AZI20" s="27"/>
      <c r="AZJ20" s="27"/>
      <c r="AZK20" s="27"/>
      <c r="AZL20" s="27"/>
      <c r="AZM20" s="27"/>
      <c r="AZN20" s="27"/>
      <c r="AZO20" s="27"/>
      <c r="AZP20" s="27"/>
      <c r="AZQ20" s="27"/>
      <c r="AZR20" s="27"/>
      <c r="AZS20" s="27"/>
      <c r="AZT20" s="27"/>
      <c r="AZU20" s="27"/>
      <c r="AZV20" s="27"/>
      <c r="AZW20" s="27"/>
      <c r="AZX20" s="27"/>
      <c r="AZY20" s="27"/>
      <c r="AZZ20" s="27"/>
      <c r="BAA20" s="27"/>
      <c r="BAB20" s="27"/>
      <c r="BAC20" s="27"/>
      <c r="BAD20" s="27"/>
      <c r="BAE20" s="27"/>
      <c r="BAF20" s="27"/>
      <c r="BAG20" s="27"/>
      <c r="BAH20" s="27"/>
      <c r="BAI20" s="27"/>
      <c r="BAJ20" s="27"/>
      <c r="BAK20" s="27"/>
      <c r="BAL20" s="27"/>
      <c r="BAM20" s="27"/>
      <c r="BAN20" s="27"/>
      <c r="BAO20" s="27"/>
      <c r="BAP20" s="27"/>
      <c r="BAQ20" s="27"/>
      <c r="BAR20" s="27"/>
      <c r="BAS20" s="27"/>
      <c r="BAT20" s="27"/>
      <c r="BAU20" s="27"/>
      <c r="BAV20" s="27"/>
      <c r="BAW20" s="27"/>
      <c r="BAX20" s="27"/>
      <c r="BAY20" s="27"/>
      <c r="BAZ20" s="27"/>
      <c r="BBA20" s="27"/>
      <c r="BBB20" s="27"/>
      <c r="BBC20" s="27"/>
      <c r="BBD20" s="27"/>
      <c r="BBE20" s="27"/>
      <c r="BBF20" s="27"/>
      <c r="BBG20" s="27"/>
      <c r="BBH20" s="27"/>
      <c r="BBI20" s="27"/>
      <c r="BBJ20" s="27"/>
      <c r="BBK20" s="27"/>
      <c r="BBL20" s="27"/>
      <c r="BBM20" s="27"/>
      <c r="BBN20" s="27"/>
      <c r="BBO20" s="27"/>
      <c r="BBP20" s="27"/>
      <c r="BBQ20" s="27"/>
      <c r="BBR20" s="27"/>
      <c r="BBS20" s="27"/>
      <c r="BBT20" s="27"/>
      <c r="BBU20" s="27"/>
      <c r="BBV20" s="27"/>
      <c r="BBW20" s="27"/>
      <c r="BBX20" s="27"/>
      <c r="BBY20" s="27"/>
      <c r="BBZ20" s="27"/>
      <c r="BCA20" s="27"/>
      <c r="BCB20" s="27"/>
      <c r="BCC20" s="27"/>
      <c r="BCD20" s="27"/>
      <c r="BCE20" s="27"/>
      <c r="BCF20" s="27"/>
      <c r="BCG20" s="27"/>
      <c r="BCH20" s="27"/>
      <c r="BCI20" s="27"/>
      <c r="BCJ20" s="27"/>
      <c r="BCK20" s="27"/>
      <c r="BCL20" s="27"/>
      <c r="BCM20" s="27"/>
      <c r="BCN20" s="27"/>
      <c r="BCO20" s="27"/>
      <c r="BCP20" s="27"/>
      <c r="BCQ20" s="27"/>
      <c r="BCR20" s="27"/>
      <c r="BCS20" s="27"/>
      <c r="BCT20" s="27"/>
      <c r="BCU20" s="27"/>
      <c r="BCV20" s="27"/>
      <c r="BCW20" s="27"/>
      <c r="BCX20" s="27"/>
      <c r="BCY20" s="27"/>
      <c r="BCZ20" s="27"/>
      <c r="BDA20" s="27"/>
      <c r="BDB20" s="27"/>
      <c r="BDC20" s="27"/>
      <c r="BDD20" s="27"/>
      <c r="BDE20" s="27"/>
      <c r="BDF20" s="27"/>
      <c r="BDG20" s="27"/>
      <c r="BDH20" s="27"/>
      <c r="BDI20" s="27"/>
      <c r="BDJ20" s="27"/>
      <c r="BDK20" s="27"/>
      <c r="BDL20" s="27"/>
      <c r="BDM20" s="27"/>
      <c r="BDN20" s="27"/>
      <c r="BDO20" s="27"/>
      <c r="BDP20" s="27"/>
      <c r="BDQ20" s="27"/>
      <c r="BDR20" s="27"/>
      <c r="BDS20" s="27"/>
      <c r="BDT20" s="27"/>
      <c r="BDU20" s="27"/>
      <c r="BDV20" s="27"/>
      <c r="BDW20" s="27"/>
      <c r="BDX20" s="27"/>
      <c r="BDY20" s="27"/>
      <c r="BDZ20" s="27"/>
      <c r="BEA20" s="27"/>
      <c r="BEB20" s="27"/>
      <c r="BEC20" s="27"/>
      <c r="BED20" s="27"/>
      <c r="BEE20" s="27"/>
      <c r="BEF20" s="27"/>
      <c r="BEG20" s="27"/>
      <c r="BEH20" s="27"/>
      <c r="BEI20" s="27"/>
      <c r="BEJ20" s="27"/>
      <c r="BEK20" s="27"/>
      <c r="BEL20" s="27"/>
      <c r="BEM20" s="27"/>
      <c r="BEN20" s="27"/>
      <c r="BEO20" s="27"/>
      <c r="BEP20" s="27"/>
      <c r="BEQ20" s="27"/>
      <c r="BER20" s="27"/>
      <c r="BES20" s="27"/>
      <c r="BET20" s="27"/>
      <c r="BEU20" s="27"/>
      <c r="BEV20" s="27"/>
      <c r="BEW20" s="27"/>
      <c r="BEX20" s="27"/>
      <c r="BEY20" s="27"/>
      <c r="BEZ20" s="27"/>
      <c r="BFA20" s="27"/>
      <c r="BFB20" s="27"/>
      <c r="BFC20" s="27"/>
      <c r="BFD20" s="27"/>
      <c r="BFE20" s="27"/>
      <c r="BFF20" s="27"/>
      <c r="BFG20" s="27"/>
      <c r="BFH20" s="27"/>
      <c r="BFI20" s="27"/>
      <c r="BFJ20" s="27"/>
      <c r="BFK20" s="27"/>
      <c r="BFL20" s="27"/>
      <c r="BFM20" s="27"/>
      <c r="BFN20" s="27"/>
      <c r="BFO20" s="27"/>
      <c r="BFP20" s="27"/>
      <c r="BFQ20" s="27"/>
      <c r="BFR20" s="27"/>
      <c r="BFS20" s="27"/>
      <c r="BFT20" s="27"/>
      <c r="BFU20" s="27"/>
      <c r="BFV20" s="27"/>
      <c r="BFW20" s="27"/>
      <c r="BFX20" s="27"/>
      <c r="BFY20" s="27"/>
      <c r="BFZ20" s="27"/>
      <c r="BGA20" s="27"/>
      <c r="BGB20" s="27"/>
      <c r="BGC20" s="27"/>
      <c r="BGD20" s="27"/>
      <c r="BGE20" s="27"/>
      <c r="BGF20" s="27"/>
      <c r="BGG20" s="27"/>
      <c r="BGH20" s="27"/>
      <c r="BGI20" s="27"/>
      <c r="BGJ20" s="27"/>
      <c r="BGK20" s="27"/>
      <c r="BGL20" s="27"/>
      <c r="BGM20" s="27"/>
      <c r="BGN20" s="27"/>
      <c r="BGO20" s="27"/>
      <c r="BGP20" s="27"/>
      <c r="BGQ20" s="27"/>
      <c r="BGR20" s="27"/>
      <c r="BGS20" s="27"/>
      <c r="BGT20" s="27"/>
      <c r="BGU20" s="27"/>
      <c r="BGV20" s="27"/>
      <c r="BGW20" s="27"/>
      <c r="BGX20" s="27"/>
      <c r="BGY20" s="27"/>
      <c r="BGZ20" s="27"/>
      <c r="BHA20" s="27"/>
      <c r="BHB20" s="27"/>
      <c r="BHC20" s="27"/>
      <c r="BHD20" s="27"/>
      <c r="BHE20" s="27"/>
      <c r="BHF20" s="27"/>
      <c r="BHG20" s="27"/>
      <c r="BHH20" s="27"/>
      <c r="BHI20" s="27"/>
      <c r="BHJ20" s="27"/>
      <c r="BHK20" s="27"/>
      <c r="BHL20" s="27"/>
      <c r="BHM20" s="27"/>
      <c r="BHN20" s="27"/>
      <c r="BHO20" s="27"/>
      <c r="BHP20" s="27"/>
      <c r="BHQ20" s="27"/>
      <c r="BHR20" s="27"/>
      <c r="BHS20" s="27"/>
      <c r="BHT20" s="27"/>
      <c r="BHU20" s="27"/>
      <c r="BHV20" s="27"/>
      <c r="BHW20" s="27"/>
      <c r="BHX20" s="27"/>
      <c r="BHY20" s="27"/>
      <c r="BHZ20" s="27"/>
      <c r="BIA20" s="27"/>
      <c r="BIB20" s="27"/>
      <c r="BIC20" s="27"/>
      <c r="BID20" s="27"/>
      <c r="BIE20" s="27"/>
      <c r="BIF20" s="27"/>
      <c r="BIG20" s="27"/>
      <c r="BIH20" s="27"/>
      <c r="BII20" s="27"/>
      <c r="BIJ20" s="27"/>
      <c r="BIK20" s="27"/>
      <c r="BIL20" s="27"/>
      <c r="BIM20" s="27"/>
      <c r="BIN20" s="27"/>
      <c r="BIO20" s="27"/>
      <c r="BIP20" s="27"/>
      <c r="BIQ20" s="27"/>
      <c r="BIR20" s="27"/>
      <c r="BIS20" s="27"/>
      <c r="BIT20" s="27"/>
      <c r="BIU20" s="27"/>
      <c r="BIV20" s="27"/>
      <c r="BIW20" s="27"/>
      <c r="BIX20" s="27"/>
      <c r="BIY20" s="27"/>
      <c r="BIZ20" s="27"/>
      <c r="BJA20" s="27"/>
      <c r="BJB20" s="27"/>
      <c r="BJC20" s="27"/>
      <c r="BJD20" s="27"/>
      <c r="BJE20" s="27"/>
      <c r="BJF20" s="27"/>
      <c r="BJG20" s="27"/>
      <c r="BJH20" s="27"/>
      <c r="BJI20" s="27"/>
      <c r="BJJ20" s="27"/>
      <c r="BJK20" s="27"/>
      <c r="BJL20" s="27"/>
      <c r="BJM20" s="27"/>
      <c r="BJN20" s="27"/>
      <c r="BJO20" s="27"/>
      <c r="BJP20" s="27"/>
      <c r="BJQ20" s="27"/>
      <c r="BJR20" s="27"/>
      <c r="BJS20" s="27"/>
      <c r="BJT20" s="27"/>
      <c r="BJU20" s="27"/>
      <c r="BJV20" s="27"/>
      <c r="BJW20" s="27"/>
      <c r="BJX20" s="27"/>
      <c r="BJY20" s="27"/>
      <c r="BJZ20" s="27"/>
      <c r="BKA20" s="27"/>
      <c r="BKB20" s="27"/>
      <c r="BKC20" s="27"/>
      <c r="BKD20" s="27"/>
      <c r="BKE20" s="27"/>
      <c r="BKF20" s="27"/>
      <c r="BKG20" s="27"/>
      <c r="BKH20" s="27"/>
      <c r="BKI20" s="27"/>
      <c r="BKJ20" s="27"/>
      <c r="BKK20" s="27"/>
      <c r="BKL20" s="27"/>
      <c r="BKM20" s="27"/>
      <c r="BKN20" s="27"/>
      <c r="BKO20" s="27"/>
      <c r="BKP20" s="27"/>
      <c r="BKQ20" s="27"/>
      <c r="BKR20" s="27"/>
      <c r="BKS20" s="27"/>
      <c r="BKT20" s="27"/>
      <c r="BKU20" s="27"/>
      <c r="BKV20" s="27"/>
      <c r="BKW20" s="27"/>
      <c r="BKX20" s="27"/>
      <c r="BKY20" s="27"/>
      <c r="BKZ20" s="27"/>
      <c r="BLA20" s="27"/>
      <c r="BLB20" s="27"/>
      <c r="BLC20" s="27"/>
      <c r="BLD20" s="27"/>
      <c r="BLE20" s="27"/>
      <c r="BLF20" s="27"/>
      <c r="BLG20" s="27"/>
      <c r="BLH20" s="27"/>
      <c r="BLI20" s="27"/>
      <c r="BLJ20" s="27"/>
      <c r="BLK20" s="27"/>
      <c r="BLL20" s="27"/>
      <c r="BLM20" s="27"/>
      <c r="BLN20" s="27"/>
      <c r="BLO20" s="27"/>
      <c r="BLP20" s="27"/>
      <c r="BLQ20" s="27"/>
      <c r="BLR20" s="27"/>
      <c r="BLS20" s="27"/>
      <c r="BLT20" s="27"/>
      <c r="BLU20" s="27"/>
      <c r="BLV20" s="27"/>
      <c r="BLW20" s="27"/>
      <c r="BLX20" s="27"/>
      <c r="BLY20" s="27"/>
      <c r="BLZ20" s="27"/>
      <c r="BMA20" s="27"/>
      <c r="BMB20" s="27"/>
      <c r="BMC20" s="27"/>
      <c r="BMD20" s="27"/>
      <c r="BME20" s="27"/>
      <c r="BMF20" s="27"/>
      <c r="BMG20" s="27"/>
      <c r="BMH20" s="27"/>
      <c r="BMI20" s="27"/>
      <c r="BMJ20" s="27"/>
      <c r="BMK20" s="27"/>
      <c r="BML20" s="27"/>
      <c r="BMM20" s="27"/>
      <c r="BMN20" s="27"/>
      <c r="BMO20" s="27"/>
      <c r="BMP20" s="27"/>
      <c r="BMQ20" s="27"/>
      <c r="BMR20" s="27"/>
      <c r="BMS20" s="27"/>
      <c r="BMT20" s="27"/>
      <c r="BMU20" s="27"/>
      <c r="BMV20" s="27"/>
      <c r="BMW20" s="27"/>
      <c r="BMX20" s="27"/>
      <c r="BMY20" s="27"/>
      <c r="BMZ20" s="27"/>
      <c r="BNA20" s="27"/>
      <c r="BNB20" s="27"/>
      <c r="BNC20" s="27"/>
      <c r="BND20" s="27"/>
      <c r="BNE20" s="27"/>
      <c r="BNF20" s="27"/>
      <c r="BNG20" s="27"/>
      <c r="BNH20" s="27"/>
      <c r="BNI20" s="27"/>
      <c r="BNJ20" s="27"/>
      <c r="BNK20" s="27"/>
      <c r="BNL20" s="27"/>
      <c r="BNM20" s="27"/>
      <c r="BNN20" s="27"/>
      <c r="BNO20" s="27"/>
      <c r="BNP20" s="27"/>
      <c r="BNQ20" s="27"/>
      <c r="BNR20" s="27"/>
      <c r="BNS20" s="27"/>
      <c r="BNT20" s="27"/>
      <c r="BNU20" s="27"/>
      <c r="BNV20" s="27"/>
      <c r="BNW20" s="27"/>
      <c r="BNX20" s="27"/>
      <c r="BNY20" s="27"/>
      <c r="BNZ20" s="27"/>
      <c r="BOA20" s="27"/>
      <c r="BOB20" s="27"/>
      <c r="BOC20" s="27"/>
      <c r="BOD20" s="27"/>
      <c r="BOE20" s="27"/>
      <c r="BOF20" s="27"/>
      <c r="BOG20" s="27"/>
      <c r="BOH20" s="27"/>
      <c r="BOI20" s="27"/>
      <c r="BOJ20" s="27"/>
      <c r="BOK20" s="27"/>
      <c r="BOL20" s="27"/>
      <c r="BOM20" s="27"/>
      <c r="BON20" s="27"/>
      <c r="BOO20" s="27"/>
      <c r="BOP20" s="27"/>
      <c r="BOQ20" s="27"/>
      <c r="BOR20" s="27"/>
      <c r="BOS20" s="27"/>
      <c r="BOT20" s="27"/>
      <c r="BOU20" s="27"/>
      <c r="BOV20" s="27"/>
      <c r="BOW20" s="27"/>
      <c r="BOX20" s="27"/>
      <c r="BOY20" s="27"/>
      <c r="BOZ20" s="27"/>
      <c r="BPA20" s="27"/>
      <c r="BPB20" s="27"/>
      <c r="BPC20" s="27"/>
      <c r="BPD20" s="27"/>
      <c r="BPE20" s="27"/>
      <c r="BPF20" s="27"/>
      <c r="BPG20" s="27"/>
      <c r="BPH20" s="27"/>
      <c r="BPI20" s="27"/>
      <c r="BPJ20" s="27"/>
      <c r="BPK20" s="27"/>
      <c r="BPL20" s="27"/>
      <c r="BPM20" s="27"/>
      <c r="BPN20" s="27"/>
      <c r="BPO20" s="27"/>
      <c r="BPP20" s="27"/>
      <c r="BPQ20" s="27"/>
      <c r="BPR20" s="27"/>
      <c r="BPS20" s="27"/>
      <c r="BPT20" s="27"/>
      <c r="BPU20" s="27"/>
      <c r="BPV20" s="27"/>
      <c r="BPW20" s="27"/>
      <c r="BPX20" s="27"/>
      <c r="BPY20" s="27"/>
      <c r="BPZ20" s="27"/>
      <c r="BQA20" s="27"/>
      <c r="BQB20" s="27"/>
      <c r="BQC20" s="27"/>
      <c r="BQD20" s="27"/>
      <c r="BQE20" s="27"/>
      <c r="BQF20" s="27"/>
      <c r="BQG20" s="27"/>
      <c r="BQH20" s="27"/>
      <c r="BQI20" s="27"/>
      <c r="BQJ20" s="27"/>
      <c r="BQK20" s="27"/>
      <c r="BQL20" s="27"/>
      <c r="BQM20" s="27"/>
      <c r="BQN20" s="27"/>
      <c r="BQO20" s="27"/>
      <c r="BQP20" s="27"/>
      <c r="BQQ20" s="27"/>
      <c r="BQR20" s="27"/>
      <c r="BQS20" s="27"/>
      <c r="BQT20" s="27"/>
      <c r="BQU20" s="27"/>
      <c r="BQV20" s="27"/>
      <c r="BQW20" s="27"/>
      <c r="BQX20" s="27"/>
      <c r="BQY20" s="27"/>
      <c r="BQZ20" s="27"/>
      <c r="BRA20" s="27"/>
      <c r="BRB20" s="27"/>
      <c r="BRC20" s="27"/>
      <c r="BRD20" s="27"/>
      <c r="BRE20" s="27"/>
      <c r="BRF20" s="27"/>
      <c r="BRG20" s="27"/>
      <c r="BRH20" s="27"/>
      <c r="BRI20" s="27"/>
      <c r="BRJ20" s="27"/>
      <c r="BRK20" s="27"/>
      <c r="BRL20" s="27"/>
      <c r="BRM20" s="27"/>
      <c r="BRN20" s="27"/>
      <c r="BRO20" s="27"/>
      <c r="BRP20" s="27"/>
      <c r="BRQ20" s="27"/>
      <c r="BRR20" s="27"/>
      <c r="BRS20" s="27"/>
      <c r="BRT20" s="27"/>
      <c r="BRU20" s="27"/>
      <c r="BRV20" s="27"/>
      <c r="BRW20" s="27"/>
      <c r="BRX20" s="27"/>
      <c r="BRY20" s="27"/>
      <c r="BRZ20" s="27"/>
      <c r="BSA20" s="27"/>
      <c r="BSB20" s="27"/>
      <c r="BSC20" s="27"/>
      <c r="BSD20" s="27"/>
      <c r="BSE20" s="27"/>
      <c r="BSF20" s="27"/>
      <c r="BSG20" s="27"/>
      <c r="BSH20" s="27"/>
      <c r="BSI20" s="27"/>
      <c r="BSJ20" s="27"/>
      <c r="BSK20" s="27"/>
      <c r="BSL20" s="27"/>
      <c r="BSM20" s="27"/>
      <c r="BSN20" s="27"/>
      <c r="BSO20" s="27"/>
      <c r="BSP20" s="27"/>
      <c r="BSQ20" s="27"/>
      <c r="BSR20" s="27"/>
      <c r="BSS20" s="27"/>
      <c r="BST20" s="27"/>
      <c r="BSU20" s="27"/>
      <c r="BSV20" s="27"/>
      <c r="BSW20" s="27"/>
      <c r="BSX20" s="27"/>
      <c r="BSY20" s="27"/>
      <c r="BSZ20" s="27"/>
      <c r="BTA20" s="27"/>
      <c r="BTB20" s="27"/>
      <c r="BTC20" s="27"/>
      <c r="BTD20" s="27"/>
      <c r="BTE20" s="27"/>
      <c r="BTF20" s="27"/>
      <c r="BTG20" s="27"/>
      <c r="BTH20" s="27"/>
      <c r="BTI20" s="27"/>
      <c r="BTJ20" s="27"/>
      <c r="BTK20" s="27"/>
      <c r="BTL20" s="27"/>
      <c r="BTM20" s="27"/>
      <c r="BTN20" s="27"/>
      <c r="BTO20" s="27"/>
      <c r="BTP20" s="27"/>
      <c r="BTQ20" s="27"/>
      <c r="BTR20" s="27"/>
      <c r="BTS20" s="27"/>
      <c r="BTT20" s="27"/>
      <c r="BTU20" s="27"/>
      <c r="BTV20" s="27"/>
      <c r="BTW20" s="27"/>
      <c r="BTX20" s="27"/>
      <c r="BTY20" s="27"/>
      <c r="BTZ20" s="27"/>
      <c r="BUA20" s="27"/>
      <c r="BUB20" s="27"/>
      <c r="BUC20" s="27"/>
      <c r="BUD20" s="27"/>
      <c r="BUE20" s="27"/>
      <c r="BUF20" s="27"/>
      <c r="BUG20" s="27"/>
      <c r="BUH20" s="27"/>
      <c r="BUI20" s="27"/>
      <c r="BUJ20" s="27"/>
      <c r="BUK20" s="27"/>
      <c r="BUL20" s="27"/>
      <c r="BUM20" s="27"/>
      <c r="BUN20" s="27"/>
      <c r="BUO20" s="27"/>
      <c r="BUP20" s="27"/>
      <c r="BUQ20" s="27"/>
      <c r="BUR20" s="27"/>
      <c r="BUS20" s="27"/>
      <c r="BUT20" s="27"/>
      <c r="BUU20" s="27"/>
      <c r="BUV20" s="27"/>
      <c r="BUW20" s="27"/>
      <c r="BUX20" s="27"/>
      <c r="BUY20" s="27"/>
      <c r="BUZ20" s="27"/>
      <c r="BVA20" s="27"/>
      <c r="BVB20" s="27"/>
      <c r="BVC20" s="27"/>
      <c r="BVD20" s="27"/>
      <c r="BVE20" s="27"/>
      <c r="BVF20" s="27"/>
      <c r="BVG20" s="27"/>
      <c r="BVH20" s="27"/>
      <c r="BVI20" s="27"/>
      <c r="BVJ20" s="27"/>
      <c r="BVK20" s="27"/>
      <c r="BVL20" s="27"/>
      <c r="BVM20" s="27"/>
      <c r="BVN20" s="27"/>
      <c r="BVO20" s="27"/>
      <c r="BVP20" s="27"/>
      <c r="BVQ20" s="27"/>
      <c r="BVR20" s="27"/>
      <c r="BVS20" s="27"/>
      <c r="BVT20" s="27"/>
      <c r="BVU20" s="27"/>
      <c r="BVV20" s="27"/>
      <c r="BVW20" s="27"/>
      <c r="BVX20" s="27"/>
      <c r="BVY20" s="27"/>
      <c r="BVZ20" s="27"/>
      <c r="BWA20" s="27"/>
      <c r="BWB20" s="27"/>
      <c r="BWC20" s="27"/>
      <c r="BWD20" s="27"/>
      <c r="BWE20" s="27"/>
      <c r="BWF20" s="27"/>
      <c r="BWG20" s="27"/>
      <c r="BWH20" s="27"/>
      <c r="BWI20" s="27"/>
      <c r="BWJ20" s="27"/>
      <c r="BWK20" s="27"/>
      <c r="BWL20" s="27"/>
      <c r="BWM20" s="27"/>
      <c r="BWN20" s="27"/>
      <c r="BWO20" s="27"/>
      <c r="BWP20" s="27"/>
      <c r="BWQ20" s="27"/>
      <c r="BWR20" s="27"/>
      <c r="BWS20" s="27"/>
      <c r="BWT20" s="27"/>
      <c r="BWU20" s="27"/>
      <c r="BWV20" s="27"/>
      <c r="BWW20" s="27"/>
      <c r="BWX20" s="27"/>
      <c r="BWY20" s="27"/>
      <c r="BWZ20" s="27"/>
      <c r="BXA20" s="27"/>
      <c r="BXB20" s="27"/>
      <c r="BXC20" s="27"/>
      <c r="BXD20" s="27"/>
      <c r="BXE20" s="27"/>
      <c r="BXF20" s="27"/>
      <c r="BXG20" s="27"/>
      <c r="BXH20" s="27"/>
      <c r="BXI20" s="27"/>
      <c r="BXJ20" s="27"/>
      <c r="BXK20" s="27"/>
      <c r="BXL20" s="27"/>
      <c r="BXM20" s="27"/>
      <c r="BXN20" s="27"/>
      <c r="BXO20" s="27"/>
      <c r="BXP20" s="27"/>
      <c r="BXQ20" s="27"/>
      <c r="BXR20" s="27"/>
      <c r="BXS20" s="27"/>
      <c r="BXT20" s="27"/>
      <c r="BXU20" s="27"/>
      <c r="BXV20" s="27"/>
      <c r="BXW20" s="27"/>
      <c r="BXX20" s="27"/>
      <c r="BXY20" s="27"/>
      <c r="BXZ20" s="27"/>
      <c r="BYA20" s="27"/>
      <c r="BYB20" s="27"/>
      <c r="BYC20" s="27"/>
      <c r="BYD20" s="27"/>
      <c r="BYE20" s="27"/>
      <c r="BYF20" s="27"/>
      <c r="BYG20" s="27"/>
      <c r="BYH20" s="27"/>
      <c r="BYI20" s="27"/>
      <c r="BYJ20" s="27"/>
      <c r="BYK20" s="27"/>
      <c r="BYL20" s="27"/>
      <c r="BYM20" s="27"/>
      <c r="BYN20" s="27"/>
      <c r="BYO20" s="27"/>
      <c r="BYP20" s="27"/>
      <c r="BYQ20" s="27"/>
      <c r="BYR20" s="27"/>
      <c r="BYS20" s="27"/>
      <c r="BYT20" s="27"/>
      <c r="BYU20" s="27"/>
      <c r="BYV20" s="27"/>
      <c r="BYW20" s="27"/>
      <c r="BYX20" s="27"/>
      <c r="BYY20" s="27"/>
      <c r="BYZ20" s="27"/>
      <c r="BZA20" s="27"/>
      <c r="BZB20" s="27"/>
      <c r="BZC20" s="27"/>
      <c r="BZD20" s="27"/>
      <c r="BZE20" s="27"/>
      <c r="BZF20" s="27"/>
      <c r="BZG20" s="27"/>
      <c r="BZH20" s="27"/>
      <c r="BZI20" s="27"/>
      <c r="BZJ20" s="27"/>
      <c r="BZK20" s="27"/>
      <c r="BZL20" s="27"/>
      <c r="BZM20" s="27"/>
      <c r="BZN20" s="27"/>
      <c r="BZO20" s="27"/>
      <c r="BZP20" s="27"/>
      <c r="BZQ20" s="27"/>
      <c r="BZR20" s="27"/>
      <c r="BZS20" s="27"/>
      <c r="BZT20" s="27"/>
      <c r="BZU20" s="27"/>
      <c r="BZV20" s="27"/>
      <c r="BZW20" s="27"/>
      <c r="BZX20" s="27"/>
      <c r="BZY20" s="27"/>
      <c r="BZZ20" s="27"/>
      <c r="CAA20" s="27"/>
      <c r="CAB20" s="27"/>
      <c r="CAC20" s="27"/>
      <c r="CAD20" s="27"/>
      <c r="CAE20" s="27"/>
      <c r="CAF20" s="27"/>
      <c r="CAG20" s="27"/>
      <c r="CAH20" s="27"/>
      <c r="CAI20" s="27"/>
      <c r="CAJ20" s="27"/>
      <c r="CAK20" s="27"/>
      <c r="CAL20" s="27"/>
      <c r="CAM20" s="27"/>
      <c r="CAN20" s="27"/>
      <c r="CAO20" s="27"/>
      <c r="CAP20" s="27"/>
      <c r="CAQ20" s="27"/>
      <c r="CAR20" s="27"/>
      <c r="CAS20" s="27"/>
      <c r="CAT20" s="27"/>
      <c r="CAU20" s="27"/>
      <c r="CAV20" s="27"/>
      <c r="CAW20" s="27"/>
      <c r="CAX20" s="27"/>
      <c r="CAY20" s="27"/>
      <c r="CAZ20" s="27"/>
      <c r="CBA20" s="27"/>
      <c r="CBB20" s="27"/>
      <c r="CBC20" s="27"/>
      <c r="CBD20" s="27"/>
      <c r="CBE20" s="27"/>
      <c r="CBF20" s="27"/>
      <c r="CBG20" s="27"/>
      <c r="CBH20" s="27"/>
      <c r="CBI20" s="27"/>
      <c r="CBJ20" s="27"/>
      <c r="CBK20" s="27"/>
      <c r="CBL20" s="27"/>
      <c r="CBM20" s="27"/>
      <c r="CBN20" s="27"/>
      <c r="CBO20" s="27"/>
      <c r="CBP20" s="27"/>
      <c r="CBQ20" s="27"/>
      <c r="CBR20" s="27"/>
      <c r="CBS20" s="27"/>
      <c r="CBT20" s="27"/>
      <c r="CBU20" s="27"/>
      <c r="CBV20" s="27"/>
      <c r="CBW20" s="27"/>
      <c r="CBX20" s="27"/>
      <c r="CBY20" s="27"/>
      <c r="CBZ20" s="27"/>
      <c r="CCA20" s="27"/>
      <c r="CCB20" s="27"/>
      <c r="CCC20" s="27"/>
      <c r="CCD20" s="27"/>
      <c r="CCE20" s="27"/>
      <c r="CCF20" s="27"/>
      <c r="CCG20" s="27"/>
      <c r="CCH20" s="27"/>
      <c r="CCI20" s="27"/>
      <c r="CCJ20" s="27"/>
      <c r="CCK20" s="27"/>
      <c r="CCL20" s="27"/>
      <c r="CCM20" s="27"/>
      <c r="CCN20" s="27"/>
      <c r="CCO20" s="27"/>
      <c r="CCP20" s="27"/>
      <c r="CCQ20" s="27"/>
      <c r="CCR20" s="27"/>
      <c r="CCS20" s="27"/>
      <c r="CCT20" s="27"/>
      <c r="CCU20" s="27"/>
      <c r="CCV20" s="27"/>
      <c r="CCW20" s="27"/>
      <c r="CCX20" s="27"/>
      <c r="CCY20" s="27"/>
      <c r="CCZ20" s="27"/>
      <c r="CDA20" s="27"/>
      <c r="CDB20" s="27"/>
      <c r="CDC20" s="27"/>
      <c r="CDD20" s="27"/>
      <c r="CDE20" s="27"/>
      <c r="CDF20" s="27"/>
      <c r="CDG20" s="27"/>
      <c r="CDH20" s="27"/>
      <c r="CDI20" s="27"/>
      <c r="CDJ20" s="27"/>
      <c r="CDK20" s="27"/>
      <c r="CDL20" s="27"/>
      <c r="CDM20" s="27"/>
      <c r="CDN20" s="27"/>
      <c r="CDO20" s="27"/>
      <c r="CDP20" s="27"/>
      <c r="CDQ20" s="27"/>
      <c r="CDR20" s="27"/>
      <c r="CDS20" s="27"/>
      <c r="CDT20" s="27"/>
      <c r="CDU20" s="27"/>
      <c r="CDV20" s="27"/>
      <c r="CDW20" s="27"/>
      <c r="CDX20" s="27"/>
      <c r="CDY20" s="27"/>
      <c r="CDZ20" s="27"/>
      <c r="CEA20" s="27"/>
      <c r="CEB20" s="27"/>
      <c r="CEC20" s="27"/>
      <c r="CED20" s="27"/>
      <c r="CEE20" s="27"/>
      <c r="CEF20" s="27"/>
      <c r="CEG20" s="27"/>
      <c r="CEH20" s="27"/>
      <c r="CEI20" s="27"/>
      <c r="CEJ20" s="27"/>
      <c r="CEK20" s="27"/>
      <c r="CEL20" s="27"/>
      <c r="CEM20" s="27"/>
      <c r="CEN20" s="27"/>
      <c r="CEO20" s="27"/>
      <c r="CEP20" s="27"/>
      <c r="CEQ20" s="27"/>
      <c r="CER20" s="27"/>
      <c r="CES20" s="27"/>
      <c r="CET20" s="27"/>
      <c r="CEU20" s="27"/>
      <c r="CEV20" s="27"/>
      <c r="CEW20" s="27"/>
      <c r="CEX20" s="27"/>
      <c r="CEY20" s="27"/>
      <c r="CEZ20" s="27"/>
      <c r="CFA20" s="27"/>
      <c r="CFB20" s="27"/>
      <c r="CFC20" s="27"/>
      <c r="CFD20" s="27"/>
      <c r="CFE20" s="27"/>
      <c r="CFF20" s="27"/>
      <c r="CFG20" s="27"/>
      <c r="CFH20" s="27"/>
      <c r="CFI20" s="27"/>
      <c r="CFJ20" s="27"/>
      <c r="CFK20" s="27"/>
      <c r="CFL20" s="27"/>
      <c r="CFM20" s="27"/>
      <c r="CFN20" s="27"/>
      <c r="CFO20" s="27"/>
      <c r="CFP20" s="27"/>
      <c r="CFQ20" s="27"/>
      <c r="CFR20" s="27"/>
      <c r="CFS20" s="27"/>
      <c r="CFT20" s="27"/>
      <c r="CFU20" s="27"/>
      <c r="CFV20" s="27"/>
      <c r="CFW20" s="27"/>
      <c r="CFX20" s="27"/>
      <c r="CFY20" s="27"/>
      <c r="CFZ20" s="27"/>
      <c r="CGA20" s="27"/>
      <c r="CGB20" s="27"/>
      <c r="CGC20" s="27"/>
      <c r="CGD20" s="27"/>
      <c r="CGE20" s="27"/>
      <c r="CGF20" s="27"/>
      <c r="CGG20" s="27"/>
      <c r="CGH20" s="27"/>
      <c r="CGI20" s="27"/>
      <c r="CGJ20" s="27"/>
      <c r="CGK20" s="27"/>
      <c r="CGL20" s="27"/>
      <c r="CGM20" s="27"/>
      <c r="CGN20" s="27"/>
      <c r="CGO20" s="27"/>
      <c r="CGP20" s="27"/>
      <c r="CGQ20" s="27"/>
      <c r="CGR20" s="27"/>
      <c r="CGS20" s="27"/>
      <c r="CGT20" s="27"/>
      <c r="CGU20" s="27"/>
      <c r="CGV20" s="27"/>
      <c r="CGW20" s="27"/>
      <c r="CGX20" s="27"/>
      <c r="CGY20" s="27"/>
      <c r="CGZ20" s="27"/>
      <c r="CHA20" s="27"/>
      <c r="CHB20" s="27"/>
      <c r="CHC20" s="27"/>
      <c r="CHD20" s="27"/>
      <c r="CHE20" s="27"/>
      <c r="CHF20" s="27"/>
      <c r="CHG20" s="27"/>
      <c r="CHH20" s="27"/>
      <c r="CHI20" s="27"/>
      <c r="CHJ20" s="27"/>
      <c r="CHK20" s="27"/>
      <c r="CHL20" s="27"/>
      <c r="CHM20" s="27"/>
      <c r="CHN20" s="27"/>
      <c r="CHO20" s="27"/>
      <c r="CHP20" s="27"/>
      <c r="CHQ20" s="27"/>
      <c r="CHR20" s="27"/>
      <c r="CHS20" s="27"/>
      <c r="CHT20" s="27"/>
      <c r="CHU20" s="27"/>
      <c r="CHV20" s="27"/>
      <c r="CHW20" s="27"/>
      <c r="CHX20" s="27"/>
      <c r="CHY20" s="27"/>
      <c r="CHZ20" s="27"/>
      <c r="CIA20" s="27"/>
      <c r="CIB20" s="27"/>
      <c r="CIC20" s="27"/>
      <c r="CID20" s="27"/>
      <c r="CIE20" s="27"/>
      <c r="CIF20" s="27"/>
      <c r="CIG20" s="27"/>
      <c r="CIH20" s="27"/>
      <c r="CII20" s="27"/>
      <c r="CIJ20" s="27"/>
      <c r="CIK20" s="27"/>
      <c r="CIL20" s="27"/>
      <c r="CIM20" s="27"/>
      <c r="CIN20" s="27"/>
      <c r="CIO20" s="27"/>
      <c r="CIP20" s="27"/>
      <c r="CIQ20" s="27"/>
      <c r="CIR20" s="27"/>
      <c r="CIS20" s="27"/>
      <c r="CIT20" s="27"/>
      <c r="CIU20" s="27"/>
      <c r="CIV20" s="27"/>
      <c r="CIW20" s="27"/>
      <c r="CIX20" s="27"/>
      <c r="CIY20" s="27"/>
      <c r="CIZ20" s="27"/>
      <c r="CJA20" s="27"/>
      <c r="CJB20" s="27"/>
      <c r="CJC20" s="27"/>
      <c r="CJD20" s="27"/>
      <c r="CJE20" s="27"/>
      <c r="CJF20" s="27"/>
      <c r="CJG20" s="27"/>
      <c r="CJH20" s="27"/>
      <c r="CJI20" s="27"/>
      <c r="CJJ20" s="27"/>
      <c r="CJK20" s="27"/>
      <c r="CJL20" s="27"/>
      <c r="CJM20" s="27"/>
      <c r="CJN20" s="27"/>
      <c r="CJO20" s="27"/>
      <c r="CJP20" s="27"/>
      <c r="CJQ20" s="27"/>
      <c r="CJR20" s="27"/>
      <c r="CJS20" s="27"/>
      <c r="CJT20" s="27"/>
      <c r="CJU20" s="27"/>
      <c r="CJV20" s="27"/>
      <c r="CJW20" s="27"/>
      <c r="CJX20" s="27"/>
      <c r="CJY20" s="27"/>
      <c r="CJZ20" s="27"/>
      <c r="CKA20" s="27"/>
      <c r="CKB20" s="27"/>
      <c r="CKC20" s="27"/>
      <c r="CKD20" s="27"/>
      <c r="CKE20" s="27"/>
      <c r="CKF20" s="27"/>
      <c r="CKG20" s="27"/>
      <c r="CKH20" s="27"/>
      <c r="CKI20" s="27"/>
      <c r="CKJ20" s="27"/>
      <c r="CKK20" s="27"/>
      <c r="CKL20" s="27"/>
      <c r="CKM20" s="27"/>
      <c r="CKN20" s="27"/>
      <c r="CKO20" s="27"/>
      <c r="CKP20" s="27"/>
      <c r="CKQ20" s="27"/>
      <c r="CKR20" s="27"/>
      <c r="CKS20" s="27"/>
      <c r="CKT20" s="27"/>
      <c r="CKU20" s="27"/>
      <c r="CKV20" s="27"/>
      <c r="CKW20" s="27"/>
      <c r="CKX20" s="27"/>
      <c r="CKY20" s="27"/>
      <c r="CKZ20" s="27"/>
      <c r="CLA20" s="27"/>
      <c r="CLB20" s="27"/>
      <c r="CLC20" s="27"/>
      <c r="CLD20" s="27"/>
      <c r="CLE20" s="27"/>
      <c r="CLF20" s="27"/>
      <c r="CLG20" s="27"/>
      <c r="CLH20" s="27"/>
      <c r="CLI20" s="27"/>
      <c r="CLJ20" s="27"/>
      <c r="CLK20" s="27"/>
      <c r="CLL20" s="27"/>
      <c r="CLM20" s="27"/>
      <c r="CLN20" s="27"/>
      <c r="CLO20" s="27"/>
      <c r="CLP20" s="27"/>
      <c r="CLQ20" s="27"/>
      <c r="CLR20" s="27"/>
      <c r="CLS20" s="27"/>
      <c r="CLT20" s="27"/>
      <c r="CLU20" s="27"/>
      <c r="CLV20" s="27"/>
      <c r="CLW20" s="27"/>
      <c r="CLX20" s="27"/>
      <c r="CLY20" s="27"/>
      <c r="CLZ20" s="27"/>
      <c r="CMA20" s="27"/>
      <c r="CMB20" s="27"/>
      <c r="CMC20" s="27"/>
      <c r="CMD20" s="27"/>
      <c r="CME20" s="27"/>
      <c r="CMF20" s="27"/>
      <c r="CMG20" s="27"/>
      <c r="CMH20" s="27"/>
      <c r="CMI20" s="27"/>
      <c r="CMJ20" s="27"/>
      <c r="CMK20" s="27"/>
      <c r="CML20" s="27"/>
      <c r="CMM20" s="27"/>
      <c r="CMN20" s="27"/>
      <c r="CMO20" s="27"/>
      <c r="CMP20" s="27"/>
      <c r="CMQ20" s="27"/>
      <c r="CMR20" s="27"/>
      <c r="CMS20" s="27"/>
      <c r="CMT20" s="27"/>
      <c r="CMU20" s="27"/>
      <c r="CMV20" s="27"/>
      <c r="CMW20" s="27"/>
      <c r="CMX20" s="27"/>
      <c r="CMY20" s="27"/>
      <c r="CMZ20" s="27"/>
      <c r="CNA20" s="27"/>
      <c r="CNB20" s="27"/>
      <c r="CNC20" s="27"/>
      <c r="CND20" s="27"/>
      <c r="CNE20" s="27"/>
      <c r="CNF20" s="27"/>
      <c r="CNG20" s="27"/>
      <c r="CNH20" s="27"/>
      <c r="CNI20" s="27"/>
      <c r="CNJ20" s="27"/>
      <c r="CNK20" s="27"/>
      <c r="CNL20" s="27"/>
      <c r="CNM20" s="27"/>
      <c r="CNN20" s="27"/>
      <c r="CNO20" s="27"/>
      <c r="CNP20" s="27"/>
      <c r="CNQ20" s="27"/>
      <c r="CNR20" s="27"/>
      <c r="CNS20" s="27"/>
      <c r="CNT20" s="27"/>
      <c r="CNU20" s="27"/>
      <c r="CNV20" s="27"/>
      <c r="CNW20" s="27"/>
      <c r="CNX20" s="27"/>
      <c r="CNY20" s="27"/>
      <c r="CNZ20" s="27"/>
      <c r="COA20" s="27"/>
      <c r="COB20" s="27"/>
      <c r="COC20" s="27"/>
      <c r="COD20" s="27"/>
      <c r="COE20" s="27"/>
      <c r="COF20" s="27"/>
      <c r="COG20" s="27"/>
      <c r="COH20" s="27"/>
      <c r="COI20" s="27"/>
      <c r="COJ20" s="27"/>
      <c r="COK20" s="27"/>
      <c r="COL20" s="27"/>
      <c r="COM20" s="27"/>
      <c r="CON20" s="27"/>
      <c r="COO20" s="27"/>
      <c r="COP20" s="27"/>
      <c r="COQ20" s="27"/>
      <c r="COR20" s="27"/>
      <c r="COS20" s="27"/>
      <c r="COT20" s="27"/>
      <c r="COU20" s="27"/>
      <c r="COV20" s="27"/>
      <c r="COW20" s="27"/>
      <c r="COX20" s="27"/>
      <c r="COY20" s="27"/>
      <c r="COZ20" s="27"/>
      <c r="CPA20" s="27"/>
      <c r="CPB20" s="27"/>
      <c r="CPC20" s="27"/>
      <c r="CPD20" s="27"/>
      <c r="CPE20" s="27"/>
      <c r="CPF20" s="27"/>
      <c r="CPG20" s="27"/>
      <c r="CPH20" s="27"/>
      <c r="CPI20" s="27"/>
      <c r="CPJ20" s="27"/>
      <c r="CPK20" s="27"/>
      <c r="CPL20" s="27"/>
      <c r="CPM20" s="27"/>
      <c r="CPN20" s="27"/>
      <c r="CPO20" s="27"/>
      <c r="CPP20" s="27"/>
      <c r="CPQ20" s="27"/>
      <c r="CPR20" s="27"/>
      <c r="CPS20" s="27"/>
      <c r="CPT20" s="27"/>
      <c r="CPU20" s="27"/>
      <c r="CPV20" s="27"/>
      <c r="CPW20" s="27"/>
      <c r="CPX20" s="27"/>
      <c r="CPY20" s="27"/>
      <c r="CPZ20" s="27"/>
      <c r="CQA20" s="27"/>
      <c r="CQB20" s="27"/>
      <c r="CQC20" s="27"/>
      <c r="CQD20" s="27"/>
      <c r="CQE20" s="27"/>
      <c r="CQF20" s="27"/>
      <c r="CQG20" s="27"/>
      <c r="CQH20" s="27"/>
      <c r="CQI20" s="27"/>
      <c r="CQJ20" s="27"/>
      <c r="CQK20" s="27"/>
      <c r="CQL20" s="27"/>
      <c r="CQM20" s="27"/>
      <c r="CQN20" s="27"/>
      <c r="CQO20" s="27"/>
      <c r="CQP20" s="27"/>
      <c r="CQQ20" s="27"/>
      <c r="CQR20" s="27"/>
      <c r="CQS20" s="27"/>
      <c r="CQT20" s="27"/>
      <c r="CQU20" s="27"/>
      <c r="CQV20" s="27"/>
      <c r="CQW20" s="27"/>
      <c r="CQX20" s="27"/>
      <c r="CQY20" s="27"/>
      <c r="CQZ20" s="27"/>
      <c r="CRA20" s="27"/>
      <c r="CRB20" s="27"/>
      <c r="CRC20" s="27"/>
      <c r="CRD20" s="27"/>
      <c r="CRE20" s="27"/>
      <c r="CRF20" s="27"/>
      <c r="CRG20" s="27"/>
      <c r="CRH20" s="27"/>
      <c r="CRI20" s="27"/>
      <c r="CRJ20" s="27"/>
      <c r="CRK20" s="27"/>
      <c r="CRL20" s="27"/>
      <c r="CRM20" s="27"/>
      <c r="CRN20" s="27"/>
      <c r="CRO20" s="27"/>
      <c r="CRP20" s="27"/>
      <c r="CRQ20" s="27"/>
      <c r="CRR20" s="27"/>
      <c r="CRS20" s="27"/>
      <c r="CRT20" s="27"/>
      <c r="CRU20" s="27"/>
      <c r="CRV20" s="27"/>
      <c r="CRW20" s="27"/>
      <c r="CRX20" s="27"/>
      <c r="CRY20" s="27"/>
      <c r="CRZ20" s="27"/>
      <c r="CSA20" s="27"/>
      <c r="CSB20" s="27"/>
      <c r="CSC20" s="27"/>
      <c r="CSD20" s="27"/>
      <c r="CSE20" s="27"/>
      <c r="CSF20" s="27"/>
      <c r="CSG20" s="27"/>
      <c r="CSH20" s="27"/>
      <c r="CSI20" s="27"/>
      <c r="CSJ20" s="27"/>
      <c r="CSK20" s="27"/>
      <c r="CSL20" s="27"/>
      <c r="CSM20" s="27"/>
      <c r="CSN20" s="27"/>
      <c r="CSO20" s="27"/>
      <c r="CSP20" s="27"/>
      <c r="CSQ20" s="27"/>
      <c r="CSR20" s="27"/>
      <c r="CSS20" s="27"/>
      <c r="CST20" s="27"/>
      <c r="CSU20" s="27"/>
      <c r="CSV20" s="27"/>
      <c r="CSW20" s="27"/>
      <c r="CSX20" s="27"/>
      <c r="CSY20" s="27"/>
      <c r="CSZ20" s="27"/>
      <c r="CTA20" s="27"/>
      <c r="CTB20" s="27"/>
      <c r="CTC20" s="27"/>
      <c r="CTD20" s="27"/>
      <c r="CTE20" s="27"/>
      <c r="CTF20" s="27"/>
      <c r="CTG20" s="27"/>
      <c r="CTH20" s="27"/>
      <c r="CTI20" s="27"/>
      <c r="CTJ20" s="27"/>
      <c r="CTK20" s="27"/>
      <c r="CTL20" s="27"/>
      <c r="CTM20" s="27"/>
      <c r="CTN20" s="27"/>
      <c r="CTO20" s="27"/>
      <c r="CTP20" s="27"/>
      <c r="CTQ20" s="27"/>
      <c r="CTR20" s="27"/>
      <c r="CTS20" s="27"/>
      <c r="CTT20" s="27"/>
      <c r="CTU20" s="27"/>
      <c r="CTV20" s="27"/>
      <c r="CTW20" s="27"/>
      <c r="CTX20" s="27"/>
      <c r="CTY20" s="27"/>
      <c r="CTZ20" s="27"/>
      <c r="CUA20" s="27"/>
    </row>
    <row r="21" s="30" customFormat="1" spans="1:2575">
      <c r="A21" s="268">
        <v>30</v>
      </c>
      <c r="B21" s="268" t="s">
        <v>15</v>
      </c>
      <c r="C21" s="268" t="s">
        <v>54</v>
      </c>
      <c r="D21" s="82" t="s">
        <v>675</v>
      </c>
      <c r="E21" s="118" t="s">
        <v>732</v>
      </c>
      <c r="F21" s="31" t="s">
        <v>733</v>
      </c>
      <c r="G21" s="31" t="s">
        <v>734</v>
      </c>
      <c r="H21" s="119" t="s">
        <v>735</v>
      </c>
      <c r="I21" s="32">
        <v>2010.1</v>
      </c>
      <c r="J21" s="31" t="s">
        <v>42</v>
      </c>
      <c r="K21" s="31" t="s">
        <v>42</v>
      </c>
      <c r="L21" s="285" t="s">
        <v>667</v>
      </c>
      <c r="M21" s="29" t="s">
        <v>674</v>
      </c>
      <c r="N21" s="94">
        <v>45574</v>
      </c>
      <c r="O21" s="94">
        <v>45938</v>
      </c>
      <c r="P21" s="29">
        <v>500</v>
      </c>
      <c r="Q21" s="133"/>
      <c r="R21" s="133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7"/>
      <c r="AMG21" s="27"/>
      <c r="AMH21" s="27"/>
      <c r="AMI21" s="27"/>
      <c r="AMJ21" s="27"/>
      <c r="AMK21" s="27"/>
      <c r="AML21" s="27"/>
      <c r="AMM21" s="27"/>
      <c r="AMN21" s="27"/>
      <c r="AMO21" s="27"/>
      <c r="AMP21" s="27"/>
      <c r="AMQ21" s="27"/>
      <c r="AMR21" s="27"/>
      <c r="AMS21" s="27"/>
      <c r="AMT21" s="27"/>
      <c r="AMU21" s="27"/>
      <c r="AMV21" s="27"/>
      <c r="AMW21" s="27"/>
      <c r="AMX21" s="27"/>
      <c r="AMY21" s="27"/>
      <c r="AMZ21" s="27"/>
      <c r="ANA21" s="27"/>
      <c r="ANB21" s="27"/>
      <c r="ANC21" s="27"/>
      <c r="AND21" s="27"/>
      <c r="ANE21" s="27"/>
      <c r="ANF21" s="27"/>
      <c r="ANG21" s="27"/>
      <c r="ANH21" s="27"/>
      <c r="ANI21" s="27"/>
      <c r="ANJ21" s="27"/>
      <c r="ANK21" s="27"/>
      <c r="ANL21" s="27"/>
      <c r="ANM21" s="27"/>
      <c r="ANN21" s="27"/>
      <c r="ANO21" s="27"/>
      <c r="ANP21" s="27"/>
      <c r="ANQ21" s="27"/>
      <c r="ANR21" s="27"/>
      <c r="ANS21" s="27"/>
      <c r="ANT21" s="27"/>
      <c r="ANU21" s="27"/>
      <c r="ANV21" s="27"/>
      <c r="ANW21" s="27"/>
      <c r="ANX21" s="27"/>
      <c r="ANY21" s="27"/>
      <c r="ANZ21" s="27"/>
      <c r="AOA21" s="27"/>
      <c r="AOB21" s="27"/>
      <c r="AOC21" s="27"/>
      <c r="AOD21" s="27"/>
      <c r="AOE21" s="27"/>
      <c r="AOF21" s="27"/>
      <c r="AOG21" s="27"/>
      <c r="AOH21" s="27"/>
      <c r="AOI21" s="27"/>
      <c r="AOJ21" s="27"/>
      <c r="AOK21" s="27"/>
      <c r="AOL21" s="27"/>
      <c r="AOM21" s="27"/>
      <c r="AON21" s="27"/>
      <c r="AOO21" s="27"/>
      <c r="AOP21" s="27"/>
      <c r="AOQ21" s="27"/>
      <c r="AOR21" s="27"/>
      <c r="AOS21" s="27"/>
      <c r="AOT21" s="27"/>
      <c r="AOU21" s="27"/>
      <c r="AOV21" s="27"/>
      <c r="AOW21" s="27"/>
      <c r="AOX21" s="27"/>
      <c r="AOY21" s="27"/>
      <c r="AOZ21" s="27"/>
      <c r="APA21" s="27"/>
      <c r="APB21" s="27"/>
      <c r="APC21" s="27"/>
      <c r="APD21" s="27"/>
      <c r="APE21" s="27"/>
      <c r="APF21" s="27"/>
      <c r="APG21" s="27"/>
      <c r="APH21" s="27"/>
      <c r="API21" s="27"/>
      <c r="APJ21" s="27"/>
      <c r="APK21" s="27"/>
      <c r="APL21" s="27"/>
      <c r="APM21" s="27"/>
      <c r="APN21" s="27"/>
      <c r="APO21" s="27"/>
      <c r="APP21" s="27"/>
      <c r="APQ21" s="27"/>
      <c r="APR21" s="27"/>
      <c r="APS21" s="27"/>
      <c r="APT21" s="27"/>
      <c r="APU21" s="27"/>
      <c r="APV21" s="27"/>
      <c r="APW21" s="27"/>
      <c r="APX21" s="27"/>
      <c r="APY21" s="27"/>
      <c r="APZ21" s="27"/>
      <c r="AQA21" s="27"/>
      <c r="AQB21" s="27"/>
      <c r="AQC21" s="27"/>
      <c r="AQD21" s="27"/>
      <c r="AQE21" s="27"/>
      <c r="AQF21" s="27"/>
      <c r="AQG21" s="27"/>
      <c r="AQH21" s="27"/>
      <c r="AQI21" s="27"/>
      <c r="AQJ21" s="27"/>
      <c r="AQK21" s="27"/>
      <c r="AQL21" s="27"/>
      <c r="AQM21" s="27"/>
      <c r="AQN21" s="27"/>
      <c r="AQO21" s="27"/>
      <c r="AQP21" s="27"/>
      <c r="AQQ21" s="27"/>
      <c r="AQR21" s="27"/>
      <c r="AQS21" s="27"/>
      <c r="AQT21" s="27"/>
      <c r="AQU21" s="27"/>
      <c r="AQV21" s="27"/>
      <c r="AQW21" s="27"/>
      <c r="AQX21" s="27"/>
      <c r="AQY21" s="27"/>
      <c r="AQZ21" s="27"/>
      <c r="ARA21" s="27"/>
      <c r="ARB21" s="27"/>
      <c r="ARC21" s="27"/>
      <c r="ARD21" s="27"/>
      <c r="ARE21" s="27"/>
      <c r="ARF21" s="27"/>
      <c r="ARG21" s="27"/>
      <c r="ARH21" s="27"/>
      <c r="ARI21" s="27"/>
      <c r="ARJ21" s="27"/>
      <c r="ARK21" s="27"/>
      <c r="ARL21" s="27"/>
      <c r="ARM21" s="27"/>
      <c r="ARN21" s="27"/>
      <c r="ARO21" s="27"/>
      <c r="ARP21" s="27"/>
      <c r="ARQ21" s="27"/>
      <c r="ARR21" s="27"/>
      <c r="ARS21" s="27"/>
      <c r="ART21" s="27"/>
      <c r="ARU21" s="27"/>
      <c r="ARV21" s="27"/>
      <c r="ARW21" s="27"/>
      <c r="ARX21" s="27"/>
      <c r="ARY21" s="27"/>
      <c r="ARZ21" s="27"/>
      <c r="ASA21" s="27"/>
      <c r="ASB21" s="27"/>
      <c r="ASC21" s="27"/>
      <c r="ASD21" s="27"/>
      <c r="ASE21" s="27"/>
      <c r="ASF21" s="27"/>
      <c r="ASG21" s="27"/>
      <c r="ASH21" s="27"/>
      <c r="ASI21" s="27"/>
      <c r="ASJ21" s="27"/>
      <c r="ASK21" s="27"/>
      <c r="ASL21" s="27"/>
      <c r="ASM21" s="27"/>
      <c r="ASN21" s="27"/>
      <c r="ASO21" s="27"/>
      <c r="ASP21" s="27"/>
      <c r="ASQ21" s="27"/>
      <c r="ASR21" s="27"/>
      <c r="ASS21" s="27"/>
      <c r="AST21" s="27"/>
      <c r="ASU21" s="27"/>
      <c r="ASV21" s="27"/>
      <c r="ASW21" s="27"/>
      <c r="ASX21" s="27"/>
      <c r="ASY21" s="27"/>
      <c r="ASZ21" s="27"/>
      <c r="ATA21" s="27"/>
      <c r="ATB21" s="27"/>
      <c r="ATC21" s="27"/>
      <c r="ATD21" s="27"/>
      <c r="ATE21" s="27"/>
      <c r="ATF21" s="27"/>
      <c r="ATG21" s="27"/>
      <c r="ATH21" s="27"/>
      <c r="ATI21" s="27"/>
      <c r="ATJ21" s="27"/>
      <c r="ATK21" s="27"/>
      <c r="ATL21" s="27"/>
      <c r="ATM21" s="27"/>
      <c r="ATN21" s="27"/>
      <c r="ATO21" s="27"/>
      <c r="ATP21" s="27"/>
      <c r="ATQ21" s="27"/>
      <c r="ATR21" s="27"/>
      <c r="ATS21" s="27"/>
      <c r="ATT21" s="27"/>
      <c r="ATU21" s="27"/>
      <c r="ATV21" s="27"/>
      <c r="ATW21" s="27"/>
      <c r="ATX21" s="27"/>
      <c r="ATY21" s="27"/>
      <c r="ATZ21" s="27"/>
      <c r="AUA21" s="27"/>
      <c r="AUB21" s="27"/>
      <c r="AUC21" s="27"/>
      <c r="AUD21" s="27"/>
      <c r="AUE21" s="27"/>
      <c r="AUF21" s="27"/>
      <c r="AUG21" s="27"/>
      <c r="AUH21" s="27"/>
      <c r="AUI21" s="27"/>
      <c r="AUJ21" s="27"/>
      <c r="AUK21" s="27"/>
      <c r="AUL21" s="27"/>
      <c r="AUM21" s="27"/>
      <c r="AUN21" s="27"/>
      <c r="AUO21" s="27"/>
      <c r="AUP21" s="27"/>
      <c r="AUQ21" s="27"/>
      <c r="AUR21" s="27"/>
      <c r="AUS21" s="27"/>
      <c r="AUT21" s="27"/>
      <c r="AUU21" s="27"/>
      <c r="AUV21" s="27"/>
      <c r="AUW21" s="27"/>
      <c r="AUX21" s="27"/>
      <c r="AUY21" s="27"/>
      <c r="AUZ21" s="27"/>
      <c r="AVA21" s="27"/>
      <c r="AVB21" s="27"/>
      <c r="AVC21" s="27"/>
      <c r="AVD21" s="27"/>
      <c r="AVE21" s="27"/>
      <c r="AVF21" s="27"/>
      <c r="AVG21" s="27"/>
      <c r="AVH21" s="27"/>
      <c r="AVI21" s="27"/>
      <c r="AVJ21" s="27"/>
      <c r="AVK21" s="27"/>
      <c r="AVL21" s="27"/>
      <c r="AVM21" s="27"/>
      <c r="AVN21" s="27"/>
      <c r="AVO21" s="27"/>
      <c r="AVP21" s="27"/>
      <c r="AVQ21" s="27"/>
      <c r="AVR21" s="27"/>
      <c r="AVS21" s="27"/>
      <c r="AVT21" s="27"/>
      <c r="AVU21" s="27"/>
      <c r="AVV21" s="27"/>
      <c r="AVW21" s="27"/>
      <c r="AVX21" s="27"/>
      <c r="AVY21" s="27"/>
      <c r="AVZ21" s="27"/>
      <c r="AWA21" s="27"/>
      <c r="AWB21" s="27"/>
      <c r="AWC21" s="27"/>
      <c r="AWD21" s="27"/>
      <c r="AWE21" s="27"/>
      <c r="AWF21" s="27"/>
      <c r="AWG21" s="27"/>
      <c r="AWH21" s="27"/>
      <c r="AWI21" s="27"/>
      <c r="AWJ21" s="27"/>
      <c r="AWK21" s="27"/>
      <c r="AWL21" s="27"/>
      <c r="AWM21" s="27"/>
      <c r="AWN21" s="27"/>
      <c r="AWO21" s="27"/>
      <c r="AWP21" s="27"/>
      <c r="AWQ21" s="27"/>
      <c r="AWR21" s="27"/>
      <c r="AWS21" s="27"/>
      <c r="AWT21" s="27"/>
      <c r="AWU21" s="27"/>
      <c r="AWV21" s="27"/>
      <c r="AWW21" s="27"/>
      <c r="AWX21" s="27"/>
      <c r="AWY21" s="27"/>
      <c r="AWZ21" s="27"/>
      <c r="AXA21" s="27"/>
      <c r="AXB21" s="27"/>
      <c r="AXC21" s="27"/>
      <c r="AXD21" s="27"/>
      <c r="AXE21" s="27"/>
      <c r="AXF21" s="27"/>
      <c r="AXG21" s="27"/>
      <c r="AXH21" s="27"/>
      <c r="AXI21" s="27"/>
      <c r="AXJ21" s="27"/>
      <c r="AXK21" s="27"/>
      <c r="AXL21" s="27"/>
      <c r="AXM21" s="27"/>
      <c r="AXN21" s="27"/>
      <c r="AXO21" s="27"/>
      <c r="AXP21" s="27"/>
      <c r="AXQ21" s="27"/>
      <c r="AXR21" s="27"/>
      <c r="AXS21" s="27"/>
      <c r="AXT21" s="27"/>
      <c r="AXU21" s="27"/>
      <c r="AXV21" s="27"/>
      <c r="AXW21" s="27"/>
      <c r="AXX21" s="27"/>
      <c r="AXY21" s="27"/>
      <c r="AXZ21" s="27"/>
      <c r="AYA21" s="27"/>
      <c r="AYB21" s="27"/>
      <c r="AYC21" s="27"/>
      <c r="AYD21" s="27"/>
      <c r="AYE21" s="27"/>
      <c r="AYF21" s="27"/>
      <c r="AYG21" s="27"/>
      <c r="AYH21" s="27"/>
      <c r="AYI21" s="27"/>
      <c r="AYJ21" s="27"/>
      <c r="AYK21" s="27"/>
      <c r="AYL21" s="27"/>
      <c r="AYM21" s="27"/>
      <c r="AYN21" s="27"/>
      <c r="AYO21" s="27"/>
      <c r="AYP21" s="27"/>
      <c r="AYQ21" s="27"/>
      <c r="AYR21" s="27"/>
      <c r="AYS21" s="27"/>
      <c r="AYT21" s="27"/>
      <c r="AYU21" s="27"/>
      <c r="AYV21" s="27"/>
      <c r="AYW21" s="27"/>
      <c r="AYX21" s="27"/>
      <c r="AYY21" s="27"/>
      <c r="AYZ21" s="27"/>
      <c r="AZA21" s="27"/>
      <c r="AZB21" s="27"/>
      <c r="AZC21" s="27"/>
      <c r="AZD21" s="27"/>
      <c r="AZE21" s="27"/>
      <c r="AZF21" s="27"/>
      <c r="AZG21" s="27"/>
      <c r="AZH21" s="27"/>
      <c r="AZI21" s="27"/>
      <c r="AZJ21" s="27"/>
      <c r="AZK21" s="27"/>
      <c r="AZL21" s="27"/>
      <c r="AZM21" s="27"/>
      <c r="AZN21" s="27"/>
      <c r="AZO21" s="27"/>
      <c r="AZP21" s="27"/>
      <c r="AZQ21" s="27"/>
      <c r="AZR21" s="27"/>
      <c r="AZS21" s="27"/>
      <c r="AZT21" s="27"/>
      <c r="AZU21" s="27"/>
      <c r="AZV21" s="27"/>
      <c r="AZW21" s="27"/>
      <c r="AZX21" s="27"/>
      <c r="AZY21" s="27"/>
      <c r="AZZ21" s="27"/>
      <c r="BAA21" s="27"/>
      <c r="BAB21" s="27"/>
      <c r="BAC21" s="27"/>
      <c r="BAD21" s="27"/>
      <c r="BAE21" s="27"/>
      <c r="BAF21" s="27"/>
      <c r="BAG21" s="27"/>
      <c r="BAH21" s="27"/>
      <c r="BAI21" s="27"/>
      <c r="BAJ21" s="27"/>
      <c r="BAK21" s="27"/>
      <c r="BAL21" s="27"/>
      <c r="BAM21" s="27"/>
      <c r="BAN21" s="27"/>
      <c r="BAO21" s="27"/>
      <c r="BAP21" s="27"/>
      <c r="BAQ21" s="27"/>
      <c r="BAR21" s="27"/>
      <c r="BAS21" s="27"/>
      <c r="BAT21" s="27"/>
      <c r="BAU21" s="27"/>
      <c r="BAV21" s="27"/>
      <c r="BAW21" s="27"/>
      <c r="BAX21" s="27"/>
      <c r="BAY21" s="27"/>
      <c r="BAZ21" s="27"/>
      <c r="BBA21" s="27"/>
      <c r="BBB21" s="27"/>
      <c r="BBC21" s="27"/>
      <c r="BBD21" s="27"/>
      <c r="BBE21" s="27"/>
      <c r="BBF21" s="27"/>
      <c r="BBG21" s="27"/>
      <c r="BBH21" s="27"/>
      <c r="BBI21" s="27"/>
      <c r="BBJ21" s="27"/>
      <c r="BBK21" s="27"/>
      <c r="BBL21" s="27"/>
      <c r="BBM21" s="27"/>
      <c r="BBN21" s="27"/>
      <c r="BBO21" s="27"/>
      <c r="BBP21" s="27"/>
      <c r="BBQ21" s="27"/>
      <c r="BBR21" s="27"/>
      <c r="BBS21" s="27"/>
      <c r="BBT21" s="27"/>
      <c r="BBU21" s="27"/>
      <c r="BBV21" s="27"/>
      <c r="BBW21" s="27"/>
      <c r="BBX21" s="27"/>
      <c r="BBY21" s="27"/>
      <c r="BBZ21" s="27"/>
      <c r="BCA21" s="27"/>
      <c r="BCB21" s="27"/>
      <c r="BCC21" s="27"/>
      <c r="BCD21" s="27"/>
      <c r="BCE21" s="27"/>
      <c r="BCF21" s="27"/>
      <c r="BCG21" s="27"/>
      <c r="BCH21" s="27"/>
      <c r="BCI21" s="27"/>
      <c r="BCJ21" s="27"/>
      <c r="BCK21" s="27"/>
      <c r="BCL21" s="27"/>
      <c r="BCM21" s="27"/>
      <c r="BCN21" s="27"/>
      <c r="BCO21" s="27"/>
      <c r="BCP21" s="27"/>
      <c r="BCQ21" s="27"/>
      <c r="BCR21" s="27"/>
      <c r="BCS21" s="27"/>
      <c r="BCT21" s="27"/>
      <c r="BCU21" s="27"/>
      <c r="BCV21" s="27"/>
      <c r="BCW21" s="27"/>
      <c r="BCX21" s="27"/>
      <c r="BCY21" s="27"/>
      <c r="BCZ21" s="27"/>
      <c r="BDA21" s="27"/>
      <c r="BDB21" s="27"/>
      <c r="BDC21" s="27"/>
      <c r="BDD21" s="27"/>
      <c r="BDE21" s="27"/>
      <c r="BDF21" s="27"/>
      <c r="BDG21" s="27"/>
      <c r="BDH21" s="27"/>
      <c r="BDI21" s="27"/>
      <c r="BDJ21" s="27"/>
      <c r="BDK21" s="27"/>
      <c r="BDL21" s="27"/>
      <c r="BDM21" s="27"/>
      <c r="BDN21" s="27"/>
      <c r="BDO21" s="27"/>
      <c r="BDP21" s="27"/>
      <c r="BDQ21" s="27"/>
      <c r="BDR21" s="27"/>
      <c r="BDS21" s="27"/>
      <c r="BDT21" s="27"/>
      <c r="BDU21" s="27"/>
      <c r="BDV21" s="27"/>
      <c r="BDW21" s="27"/>
      <c r="BDX21" s="27"/>
      <c r="BDY21" s="27"/>
      <c r="BDZ21" s="27"/>
      <c r="BEA21" s="27"/>
      <c r="BEB21" s="27"/>
      <c r="BEC21" s="27"/>
      <c r="BED21" s="27"/>
      <c r="BEE21" s="27"/>
      <c r="BEF21" s="27"/>
      <c r="BEG21" s="27"/>
      <c r="BEH21" s="27"/>
      <c r="BEI21" s="27"/>
      <c r="BEJ21" s="27"/>
      <c r="BEK21" s="27"/>
      <c r="BEL21" s="27"/>
      <c r="BEM21" s="27"/>
      <c r="BEN21" s="27"/>
      <c r="BEO21" s="27"/>
      <c r="BEP21" s="27"/>
      <c r="BEQ21" s="27"/>
      <c r="BER21" s="27"/>
      <c r="BES21" s="27"/>
      <c r="BET21" s="27"/>
      <c r="BEU21" s="27"/>
      <c r="BEV21" s="27"/>
      <c r="BEW21" s="27"/>
      <c r="BEX21" s="27"/>
      <c r="BEY21" s="27"/>
      <c r="BEZ21" s="27"/>
      <c r="BFA21" s="27"/>
      <c r="BFB21" s="27"/>
      <c r="BFC21" s="27"/>
      <c r="BFD21" s="27"/>
      <c r="BFE21" s="27"/>
      <c r="BFF21" s="27"/>
      <c r="BFG21" s="27"/>
      <c r="BFH21" s="27"/>
      <c r="BFI21" s="27"/>
      <c r="BFJ21" s="27"/>
      <c r="BFK21" s="27"/>
      <c r="BFL21" s="27"/>
      <c r="BFM21" s="27"/>
      <c r="BFN21" s="27"/>
      <c r="BFO21" s="27"/>
      <c r="BFP21" s="27"/>
      <c r="BFQ21" s="27"/>
      <c r="BFR21" s="27"/>
      <c r="BFS21" s="27"/>
      <c r="BFT21" s="27"/>
      <c r="BFU21" s="27"/>
      <c r="BFV21" s="27"/>
      <c r="BFW21" s="27"/>
      <c r="BFX21" s="27"/>
      <c r="BFY21" s="27"/>
      <c r="BFZ21" s="27"/>
      <c r="BGA21" s="27"/>
      <c r="BGB21" s="27"/>
      <c r="BGC21" s="27"/>
      <c r="BGD21" s="27"/>
      <c r="BGE21" s="27"/>
      <c r="BGF21" s="27"/>
      <c r="BGG21" s="27"/>
      <c r="BGH21" s="27"/>
      <c r="BGI21" s="27"/>
      <c r="BGJ21" s="27"/>
      <c r="BGK21" s="27"/>
      <c r="BGL21" s="27"/>
      <c r="BGM21" s="27"/>
      <c r="BGN21" s="27"/>
      <c r="BGO21" s="27"/>
      <c r="BGP21" s="27"/>
      <c r="BGQ21" s="27"/>
      <c r="BGR21" s="27"/>
      <c r="BGS21" s="27"/>
      <c r="BGT21" s="27"/>
      <c r="BGU21" s="27"/>
      <c r="BGV21" s="27"/>
      <c r="BGW21" s="27"/>
      <c r="BGX21" s="27"/>
      <c r="BGY21" s="27"/>
      <c r="BGZ21" s="27"/>
      <c r="BHA21" s="27"/>
      <c r="BHB21" s="27"/>
      <c r="BHC21" s="27"/>
      <c r="BHD21" s="27"/>
      <c r="BHE21" s="27"/>
      <c r="BHF21" s="27"/>
      <c r="BHG21" s="27"/>
      <c r="BHH21" s="27"/>
      <c r="BHI21" s="27"/>
      <c r="BHJ21" s="27"/>
      <c r="BHK21" s="27"/>
      <c r="BHL21" s="27"/>
      <c r="BHM21" s="27"/>
      <c r="BHN21" s="27"/>
      <c r="BHO21" s="27"/>
      <c r="BHP21" s="27"/>
      <c r="BHQ21" s="27"/>
      <c r="BHR21" s="27"/>
      <c r="BHS21" s="27"/>
      <c r="BHT21" s="27"/>
      <c r="BHU21" s="27"/>
      <c r="BHV21" s="27"/>
      <c r="BHW21" s="27"/>
      <c r="BHX21" s="27"/>
      <c r="BHY21" s="27"/>
      <c r="BHZ21" s="27"/>
      <c r="BIA21" s="27"/>
      <c r="BIB21" s="27"/>
      <c r="BIC21" s="27"/>
      <c r="BID21" s="27"/>
      <c r="BIE21" s="27"/>
      <c r="BIF21" s="27"/>
      <c r="BIG21" s="27"/>
      <c r="BIH21" s="27"/>
      <c r="BII21" s="27"/>
      <c r="BIJ21" s="27"/>
      <c r="BIK21" s="27"/>
      <c r="BIL21" s="27"/>
      <c r="BIM21" s="27"/>
      <c r="BIN21" s="27"/>
      <c r="BIO21" s="27"/>
      <c r="BIP21" s="27"/>
      <c r="BIQ21" s="27"/>
      <c r="BIR21" s="27"/>
      <c r="BIS21" s="27"/>
      <c r="BIT21" s="27"/>
      <c r="BIU21" s="27"/>
      <c r="BIV21" s="27"/>
      <c r="BIW21" s="27"/>
      <c r="BIX21" s="27"/>
      <c r="BIY21" s="27"/>
      <c r="BIZ21" s="27"/>
      <c r="BJA21" s="27"/>
      <c r="BJB21" s="27"/>
      <c r="BJC21" s="27"/>
      <c r="BJD21" s="27"/>
      <c r="BJE21" s="27"/>
      <c r="BJF21" s="27"/>
      <c r="BJG21" s="27"/>
      <c r="BJH21" s="27"/>
      <c r="BJI21" s="27"/>
      <c r="BJJ21" s="27"/>
      <c r="BJK21" s="27"/>
      <c r="BJL21" s="27"/>
      <c r="BJM21" s="27"/>
      <c r="BJN21" s="27"/>
      <c r="BJO21" s="27"/>
      <c r="BJP21" s="27"/>
      <c r="BJQ21" s="27"/>
      <c r="BJR21" s="27"/>
      <c r="BJS21" s="27"/>
      <c r="BJT21" s="27"/>
      <c r="BJU21" s="27"/>
      <c r="BJV21" s="27"/>
      <c r="BJW21" s="27"/>
      <c r="BJX21" s="27"/>
      <c r="BJY21" s="27"/>
      <c r="BJZ21" s="27"/>
      <c r="BKA21" s="27"/>
      <c r="BKB21" s="27"/>
      <c r="BKC21" s="27"/>
      <c r="BKD21" s="27"/>
      <c r="BKE21" s="27"/>
      <c r="BKF21" s="27"/>
      <c r="BKG21" s="27"/>
      <c r="BKH21" s="27"/>
      <c r="BKI21" s="27"/>
      <c r="BKJ21" s="27"/>
      <c r="BKK21" s="27"/>
      <c r="BKL21" s="27"/>
      <c r="BKM21" s="27"/>
      <c r="BKN21" s="27"/>
      <c r="BKO21" s="27"/>
      <c r="BKP21" s="27"/>
      <c r="BKQ21" s="27"/>
      <c r="BKR21" s="27"/>
      <c r="BKS21" s="27"/>
      <c r="BKT21" s="27"/>
      <c r="BKU21" s="27"/>
      <c r="BKV21" s="27"/>
      <c r="BKW21" s="27"/>
      <c r="BKX21" s="27"/>
      <c r="BKY21" s="27"/>
      <c r="BKZ21" s="27"/>
      <c r="BLA21" s="27"/>
      <c r="BLB21" s="27"/>
      <c r="BLC21" s="27"/>
      <c r="BLD21" s="27"/>
      <c r="BLE21" s="27"/>
      <c r="BLF21" s="27"/>
      <c r="BLG21" s="27"/>
      <c r="BLH21" s="27"/>
      <c r="BLI21" s="27"/>
      <c r="BLJ21" s="27"/>
      <c r="BLK21" s="27"/>
      <c r="BLL21" s="27"/>
      <c r="BLM21" s="27"/>
      <c r="BLN21" s="27"/>
      <c r="BLO21" s="27"/>
      <c r="BLP21" s="27"/>
      <c r="BLQ21" s="27"/>
      <c r="BLR21" s="27"/>
      <c r="BLS21" s="27"/>
      <c r="BLT21" s="27"/>
      <c r="BLU21" s="27"/>
      <c r="BLV21" s="27"/>
      <c r="BLW21" s="27"/>
      <c r="BLX21" s="27"/>
      <c r="BLY21" s="27"/>
      <c r="BLZ21" s="27"/>
      <c r="BMA21" s="27"/>
      <c r="BMB21" s="27"/>
      <c r="BMC21" s="27"/>
      <c r="BMD21" s="27"/>
      <c r="BME21" s="27"/>
      <c r="BMF21" s="27"/>
      <c r="BMG21" s="27"/>
      <c r="BMH21" s="27"/>
      <c r="BMI21" s="27"/>
      <c r="BMJ21" s="27"/>
      <c r="BMK21" s="27"/>
      <c r="BML21" s="27"/>
      <c r="BMM21" s="27"/>
      <c r="BMN21" s="27"/>
      <c r="BMO21" s="27"/>
      <c r="BMP21" s="27"/>
      <c r="BMQ21" s="27"/>
      <c r="BMR21" s="27"/>
      <c r="BMS21" s="27"/>
      <c r="BMT21" s="27"/>
      <c r="BMU21" s="27"/>
      <c r="BMV21" s="27"/>
      <c r="BMW21" s="27"/>
      <c r="BMX21" s="27"/>
      <c r="BMY21" s="27"/>
      <c r="BMZ21" s="27"/>
      <c r="BNA21" s="27"/>
      <c r="BNB21" s="27"/>
      <c r="BNC21" s="27"/>
      <c r="BND21" s="27"/>
      <c r="BNE21" s="27"/>
      <c r="BNF21" s="27"/>
      <c r="BNG21" s="27"/>
      <c r="BNH21" s="27"/>
      <c r="BNI21" s="27"/>
      <c r="BNJ21" s="27"/>
      <c r="BNK21" s="27"/>
      <c r="BNL21" s="27"/>
      <c r="BNM21" s="27"/>
      <c r="BNN21" s="27"/>
      <c r="BNO21" s="27"/>
      <c r="BNP21" s="27"/>
      <c r="BNQ21" s="27"/>
      <c r="BNR21" s="27"/>
      <c r="BNS21" s="27"/>
      <c r="BNT21" s="27"/>
      <c r="BNU21" s="27"/>
      <c r="BNV21" s="27"/>
      <c r="BNW21" s="27"/>
      <c r="BNX21" s="27"/>
      <c r="BNY21" s="27"/>
      <c r="BNZ21" s="27"/>
      <c r="BOA21" s="27"/>
      <c r="BOB21" s="27"/>
      <c r="BOC21" s="27"/>
      <c r="BOD21" s="27"/>
      <c r="BOE21" s="27"/>
      <c r="BOF21" s="27"/>
      <c r="BOG21" s="27"/>
      <c r="BOH21" s="27"/>
      <c r="BOI21" s="27"/>
      <c r="BOJ21" s="27"/>
      <c r="BOK21" s="27"/>
      <c r="BOL21" s="27"/>
      <c r="BOM21" s="27"/>
      <c r="BON21" s="27"/>
      <c r="BOO21" s="27"/>
      <c r="BOP21" s="27"/>
      <c r="BOQ21" s="27"/>
      <c r="BOR21" s="27"/>
      <c r="BOS21" s="27"/>
      <c r="BOT21" s="27"/>
      <c r="BOU21" s="27"/>
      <c r="BOV21" s="27"/>
      <c r="BOW21" s="27"/>
      <c r="BOX21" s="27"/>
      <c r="BOY21" s="27"/>
      <c r="BOZ21" s="27"/>
      <c r="BPA21" s="27"/>
      <c r="BPB21" s="27"/>
      <c r="BPC21" s="27"/>
      <c r="BPD21" s="27"/>
      <c r="BPE21" s="27"/>
      <c r="BPF21" s="27"/>
      <c r="BPG21" s="27"/>
      <c r="BPH21" s="27"/>
      <c r="BPI21" s="27"/>
      <c r="BPJ21" s="27"/>
      <c r="BPK21" s="27"/>
      <c r="BPL21" s="27"/>
      <c r="BPM21" s="27"/>
      <c r="BPN21" s="27"/>
      <c r="BPO21" s="27"/>
      <c r="BPP21" s="27"/>
      <c r="BPQ21" s="27"/>
      <c r="BPR21" s="27"/>
      <c r="BPS21" s="27"/>
      <c r="BPT21" s="27"/>
      <c r="BPU21" s="27"/>
      <c r="BPV21" s="27"/>
      <c r="BPW21" s="27"/>
      <c r="BPX21" s="27"/>
      <c r="BPY21" s="27"/>
      <c r="BPZ21" s="27"/>
      <c r="BQA21" s="27"/>
      <c r="BQB21" s="27"/>
      <c r="BQC21" s="27"/>
      <c r="BQD21" s="27"/>
      <c r="BQE21" s="27"/>
      <c r="BQF21" s="27"/>
      <c r="BQG21" s="27"/>
      <c r="BQH21" s="27"/>
      <c r="BQI21" s="27"/>
      <c r="BQJ21" s="27"/>
      <c r="BQK21" s="27"/>
      <c r="BQL21" s="27"/>
      <c r="BQM21" s="27"/>
      <c r="BQN21" s="27"/>
      <c r="BQO21" s="27"/>
      <c r="BQP21" s="27"/>
      <c r="BQQ21" s="27"/>
      <c r="BQR21" s="27"/>
      <c r="BQS21" s="27"/>
      <c r="BQT21" s="27"/>
      <c r="BQU21" s="27"/>
      <c r="BQV21" s="27"/>
      <c r="BQW21" s="27"/>
      <c r="BQX21" s="27"/>
      <c r="BQY21" s="27"/>
      <c r="BQZ21" s="27"/>
      <c r="BRA21" s="27"/>
      <c r="BRB21" s="27"/>
      <c r="BRC21" s="27"/>
      <c r="BRD21" s="27"/>
      <c r="BRE21" s="27"/>
      <c r="BRF21" s="27"/>
      <c r="BRG21" s="27"/>
      <c r="BRH21" s="27"/>
      <c r="BRI21" s="27"/>
      <c r="BRJ21" s="27"/>
      <c r="BRK21" s="27"/>
      <c r="BRL21" s="27"/>
      <c r="BRM21" s="27"/>
      <c r="BRN21" s="27"/>
      <c r="BRO21" s="27"/>
      <c r="BRP21" s="27"/>
      <c r="BRQ21" s="27"/>
      <c r="BRR21" s="27"/>
      <c r="BRS21" s="27"/>
      <c r="BRT21" s="27"/>
      <c r="BRU21" s="27"/>
      <c r="BRV21" s="27"/>
      <c r="BRW21" s="27"/>
      <c r="BRX21" s="27"/>
      <c r="BRY21" s="27"/>
      <c r="BRZ21" s="27"/>
      <c r="BSA21" s="27"/>
      <c r="BSB21" s="27"/>
      <c r="BSC21" s="27"/>
      <c r="BSD21" s="27"/>
      <c r="BSE21" s="27"/>
      <c r="BSF21" s="27"/>
      <c r="BSG21" s="27"/>
      <c r="BSH21" s="27"/>
      <c r="BSI21" s="27"/>
      <c r="BSJ21" s="27"/>
      <c r="BSK21" s="27"/>
      <c r="BSL21" s="27"/>
      <c r="BSM21" s="27"/>
      <c r="BSN21" s="27"/>
      <c r="BSO21" s="27"/>
      <c r="BSP21" s="27"/>
      <c r="BSQ21" s="27"/>
      <c r="BSR21" s="27"/>
      <c r="BSS21" s="27"/>
      <c r="BST21" s="27"/>
      <c r="BSU21" s="27"/>
      <c r="BSV21" s="27"/>
      <c r="BSW21" s="27"/>
      <c r="BSX21" s="27"/>
      <c r="BSY21" s="27"/>
      <c r="BSZ21" s="27"/>
      <c r="BTA21" s="27"/>
      <c r="BTB21" s="27"/>
      <c r="BTC21" s="27"/>
      <c r="BTD21" s="27"/>
      <c r="BTE21" s="27"/>
      <c r="BTF21" s="27"/>
      <c r="BTG21" s="27"/>
      <c r="BTH21" s="27"/>
      <c r="BTI21" s="27"/>
      <c r="BTJ21" s="27"/>
      <c r="BTK21" s="27"/>
      <c r="BTL21" s="27"/>
      <c r="BTM21" s="27"/>
      <c r="BTN21" s="27"/>
      <c r="BTO21" s="27"/>
      <c r="BTP21" s="27"/>
      <c r="BTQ21" s="27"/>
      <c r="BTR21" s="27"/>
      <c r="BTS21" s="27"/>
      <c r="BTT21" s="27"/>
      <c r="BTU21" s="27"/>
      <c r="BTV21" s="27"/>
      <c r="BTW21" s="27"/>
      <c r="BTX21" s="27"/>
      <c r="BTY21" s="27"/>
      <c r="BTZ21" s="27"/>
      <c r="BUA21" s="27"/>
      <c r="BUB21" s="27"/>
      <c r="BUC21" s="27"/>
      <c r="BUD21" s="27"/>
      <c r="BUE21" s="27"/>
      <c r="BUF21" s="27"/>
      <c r="BUG21" s="27"/>
      <c r="BUH21" s="27"/>
      <c r="BUI21" s="27"/>
      <c r="BUJ21" s="27"/>
      <c r="BUK21" s="27"/>
      <c r="BUL21" s="27"/>
      <c r="BUM21" s="27"/>
      <c r="BUN21" s="27"/>
      <c r="BUO21" s="27"/>
      <c r="BUP21" s="27"/>
      <c r="BUQ21" s="27"/>
      <c r="BUR21" s="27"/>
      <c r="BUS21" s="27"/>
      <c r="BUT21" s="27"/>
      <c r="BUU21" s="27"/>
      <c r="BUV21" s="27"/>
      <c r="BUW21" s="27"/>
      <c r="BUX21" s="27"/>
      <c r="BUY21" s="27"/>
      <c r="BUZ21" s="27"/>
      <c r="BVA21" s="27"/>
      <c r="BVB21" s="27"/>
      <c r="BVC21" s="27"/>
      <c r="BVD21" s="27"/>
      <c r="BVE21" s="27"/>
      <c r="BVF21" s="27"/>
      <c r="BVG21" s="27"/>
      <c r="BVH21" s="27"/>
      <c r="BVI21" s="27"/>
      <c r="BVJ21" s="27"/>
      <c r="BVK21" s="27"/>
      <c r="BVL21" s="27"/>
      <c r="BVM21" s="27"/>
      <c r="BVN21" s="27"/>
      <c r="BVO21" s="27"/>
      <c r="BVP21" s="27"/>
      <c r="BVQ21" s="27"/>
      <c r="BVR21" s="27"/>
      <c r="BVS21" s="27"/>
      <c r="BVT21" s="27"/>
      <c r="BVU21" s="27"/>
      <c r="BVV21" s="27"/>
      <c r="BVW21" s="27"/>
      <c r="BVX21" s="27"/>
      <c r="BVY21" s="27"/>
      <c r="BVZ21" s="27"/>
      <c r="BWA21" s="27"/>
      <c r="BWB21" s="27"/>
      <c r="BWC21" s="27"/>
      <c r="BWD21" s="27"/>
      <c r="BWE21" s="27"/>
      <c r="BWF21" s="27"/>
      <c r="BWG21" s="27"/>
      <c r="BWH21" s="27"/>
      <c r="BWI21" s="27"/>
      <c r="BWJ21" s="27"/>
      <c r="BWK21" s="27"/>
      <c r="BWL21" s="27"/>
      <c r="BWM21" s="27"/>
      <c r="BWN21" s="27"/>
      <c r="BWO21" s="27"/>
      <c r="BWP21" s="27"/>
      <c r="BWQ21" s="27"/>
      <c r="BWR21" s="27"/>
      <c r="BWS21" s="27"/>
      <c r="BWT21" s="27"/>
      <c r="BWU21" s="27"/>
      <c r="BWV21" s="27"/>
      <c r="BWW21" s="27"/>
      <c r="BWX21" s="27"/>
      <c r="BWY21" s="27"/>
      <c r="BWZ21" s="27"/>
      <c r="BXA21" s="27"/>
      <c r="BXB21" s="27"/>
      <c r="BXC21" s="27"/>
      <c r="BXD21" s="27"/>
      <c r="BXE21" s="27"/>
      <c r="BXF21" s="27"/>
      <c r="BXG21" s="27"/>
      <c r="BXH21" s="27"/>
      <c r="BXI21" s="27"/>
      <c r="BXJ21" s="27"/>
      <c r="BXK21" s="27"/>
      <c r="BXL21" s="27"/>
      <c r="BXM21" s="27"/>
      <c r="BXN21" s="27"/>
      <c r="BXO21" s="27"/>
      <c r="BXP21" s="27"/>
      <c r="BXQ21" s="27"/>
      <c r="BXR21" s="27"/>
      <c r="BXS21" s="27"/>
      <c r="BXT21" s="27"/>
      <c r="BXU21" s="27"/>
      <c r="BXV21" s="27"/>
      <c r="BXW21" s="27"/>
      <c r="BXX21" s="27"/>
      <c r="BXY21" s="27"/>
      <c r="BXZ21" s="27"/>
      <c r="BYA21" s="27"/>
      <c r="BYB21" s="27"/>
      <c r="BYC21" s="27"/>
      <c r="BYD21" s="27"/>
      <c r="BYE21" s="27"/>
      <c r="BYF21" s="27"/>
      <c r="BYG21" s="27"/>
      <c r="BYH21" s="27"/>
      <c r="BYI21" s="27"/>
      <c r="BYJ21" s="27"/>
      <c r="BYK21" s="27"/>
      <c r="BYL21" s="27"/>
      <c r="BYM21" s="27"/>
      <c r="BYN21" s="27"/>
      <c r="BYO21" s="27"/>
      <c r="BYP21" s="27"/>
      <c r="BYQ21" s="27"/>
      <c r="BYR21" s="27"/>
      <c r="BYS21" s="27"/>
      <c r="BYT21" s="27"/>
      <c r="BYU21" s="27"/>
      <c r="BYV21" s="27"/>
      <c r="BYW21" s="27"/>
      <c r="BYX21" s="27"/>
      <c r="BYY21" s="27"/>
      <c r="BYZ21" s="27"/>
      <c r="BZA21" s="27"/>
      <c r="BZB21" s="27"/>
      <c r="BZC21" s="27"/>
      <c r="BZD21" s="27"/>
      <c r="BZE21" s="27"/>
      <c r="BZF21" s="27"/>
      <c r="BZG21" s="27"/>
      <c r="BZH21" s="27"/>
      <c r="BZI21" s="27"/>
      <c r="BZJ21" s="27"/>
      <c r="BZK21" s="27"/>
      <c r="BZL21" s="27"/>
      <c r="BZM21" s="27"/>
      <c r="BZN21" s="27"/>
      <c r="BZO21" s="27"/>
      <c r="BZP21" s="27"/>
      <c r="BZQ21" s="27"/>
      <c r="BZR21" s="27"/>
      <c r="BZS21" s="27"/>
      <c r="BZT21" s="27"/>
      <c r="BZU21" s="27"/>
      <c r="BZV21" s="27"/>
      <c r="BZW21" s="27"/>
      <c r="BZX21" s="27"/>
      <c r="BZY21" s="27"/>
      <c r="BZZ21" s="27"/>
      <c r="CAA21" s="27"/>
      <c r="CAB21" s="27"/>
      <c r="CAC21" s="27"/>
      <c r="CAD21" s="27"/>
      <c r="CAE21" s="27"/>
      <c r="CAF21" s="27"/>
      <c r="CAG21" s="27"/>
      <c r="CAH21" s="27"/>
      <c r="CAI21" s="27"/>
      <c r="CAJ21" s="27"/>
      <c r="CAK21" s="27"/>
      <c r="CAL21" s="27"/>
      <c r="CAM21" s="27"/>
      <c r="CAN21" s="27"/>
      <c r="CAO21" s="27"/>
      <c r="CAP21" s="27"/>
      <c r="CAQ21" s="27"/>
      <c r="CAR21" s="27"/>
      <c r="CAS21" s="27"/>
      <c r="CAT21" s="27"/>
      <c r="CAU21" s="27"/>
      <c r="CAV21" s="27"/>
      <c r="CAW21" s="27"/>
      <c r="CAX21" s="27"/>
      <c r="CAY21" s="27"/>
      <c r="CAZ21" s="27"/>
      <c r="CBA21" s="27"/>
      <c r="CBB21" s="27"/>
      <c r="CBC21" s="27"/>
      <c r="CBD21" s="27"/>
      <c r="CBE21" s="27"/>
      <c r="CBF21" s="27"/>
      <c r="CBG21" s="27"/>
      <c r="CBH21" s="27"/>
      <c r="CBI21" s="27"/>
      <c r="CBJ21" s="27"/>
      <c r="CBK21" s="27"/>
      <c r="CBL21" s="27"/>
      <c r="CBM21" s="27"/>
      <c r="CBN21" s="27"/>
      <c r="CBO21" s="27"/>
      <c r="CBP21" s="27"/>
      <c r="CBQ21" s="27"/>
      <c r="CBR21" s="27"/>
      <c r="CBS21" s="27"/>
      <c r="CBT21" s="27"/>
      <c r="CBU21" s="27"/>
      <c r="CBV21" s="27"/>
      <c r="CBW21" s="27"/>
      <c r="CBX21" s="27"/>
      <c r="CBY21" s="27"/>
      <c r="CBZ21" s="27"/>
      <c r="CCA21" s="27"/>
      <c r="CCB21" s="27"/>
      <c r="CCC21" s="27"/>
      <c r="CCD21" s="27"/>
      <c r="CCE21" s="27"/>
      <c r="CCF21" s="27"/>
      <c r="CCG21" s="27"/>
      <c r="CCH21" s="27"/>
      <c r="CCI21" s="27"/>
      <c r="CCJ21" s="27"/>
      <c r="CCK21" s="27"/>
      <c r="CCL21" s="27"/>
      <c r="CCM21" s="27"/>
      <c r="CCN21" s="27"/>
      <c r="CCO21" s="27"/>
      <c r="CCP21" s="27"/>
      <c r="CCQ21" s="27"/>
      <c r="CCR21" s="27"/>
      <c r="CCS21" s="27"/>
      <c r="CCT21" s="27"/>
      <c r="CCU21" s="27"/>
      <c r="CCV21" s="27"/>
      <c r="CCW21" s="27"/>
      <c r="CCX21" s="27"/>
      <c r="CCY21" s="27"/>
      <c r="CCZ21" s="27"/>
      <c r="CDA21" s="27"/>
      <c r="CDB21" s="27"/>
      <c r="CDC21" s="27"/>
      <c r="CDD21" s="27"/>
      <c r="CDE21" s="27"/>
      <c r="CDF21" s="27"/>
      <c r="CDG21" s="27"/>
      <c r="CDH21" s="27"/>
      <c r="CDI21" s="27"/>
      <c r="CDJ21" s="27"/>
      <c r="CDK21" s="27"/>
      <c r="CDL21" s="27"/>
      <c r="CDM21" s="27"/>
      <c r="CDN21" s="27"/>
      <c r="CDO21" s="27"/>
      <c r="CDP21" s="27"/>
      <c r="CDQ21" s="27"/>
      <c r="CDR21" s="27"/>
      <c r="CDS21" s="27"/>
      <c r="CDT21" s="27"/>
      <c r="CDU21" s="27"/>
      <c r="CDV21" s="27"/>
      <c r="CDW21" s="27"/>
      <c r="CDX21" s="27"/>
      <c r="CDY21" s="27"/>
      <c r="CDZ21" s="27"/>
      <c r="CEA21" s="27"/>
      <c r="CEB21" s="27"/>
      <c r="CEC21" s="27"/>
      <c r="CED21" s="27"/>
      <c r="CEE21" s="27"/>
      <c r="CEF21" s="27"/>
      <c r="CEG21" s="27"/>
      <c r="CEH21" s="27"/>
      <c r="CEI21" s="27"/>
      <c r="CEJ21" s="27"/>
      <c r="CEK21" s="27"/>
      <c r="CEL21" s="27"/>
      <c r="CEM21" s="27"/>
      <c r="CEN21" s="27"/>
      <c r="CEO21" s="27"/>
      <c r="CEP21" s="27"/>
      <c r="CEQ21" s="27"/>
      <c r="CER21" s="27"/>
      <c r="CES21" s="27"/>
      <c r="CET21" s="27"/>
      <c r="CEU21" s="27"/>
      <c r="CEV21" s="27"/>
      <c r="CEW21" s="27"/>
      <c r="CEX21" s="27"/>
      <c r="CEY21" s="27"/>
      <c r="CEZ21" s="27"/>
      <c r="CFA21" s="27"/>
      <c r="CFB21" s="27"/>
      <c r="CFC21" s="27"/>
      <c r="CFD21" s="27"/>
      <c r="CFE21" s="27"/>
      <c r="CFF21" s="27"/>
      <c r="CFG21" s="27"/>
      <c r="CFH21" s="27"/>
      <c r="CFI21" s="27"/>
      <c r="CFJ21" s="27"/>
      <c r="CFK21" s="27"/>
      <c r="CFL21" s="27"/>
      <c r="CFM21" s="27"/>
      <c r="CFN21" s="27"/>
      <c r="CFO21" s="27"/>
      <c r="CFP21" s="27"/>
      <c r="CFQ21" s="27"/>
      <c r="CFR21" s="27"/>
      <c r="CFS21" s="27"/>
      <c r="CFT21" s="27"/>
      <c r="CFU21" s="27"/>
      <c r="CFV21" s="27"/>
      <c r="CFW21" s="27"/>
      <c r="CFX21" s="27"/>
      <c r="CFY21" s="27"/>
      <c r="CFZ21" s="27"/>
      <c r="CGA21" s="27"/>
      <c r="CGB21" s="27"/>
      <c r="CGC21" s="27"/>
      <c r="CGD21" s="27"/>
      <c r="CGE21" s="27"/>
      <c r="CGF21" s="27"/>
      <c r="CGG21" s="27"/>
      <c r="CGH21" s="27"/>
      <c r="CGI21" s="27"/>
      <c r="CGJ21" s="27"/>
      <c r="CGK21" s="27"/>
      <c r="CGL21" s="27"/>
      <c r="CGM21" s="27"/>
      <c r="CGN21" s="27"/>
      <c r="CGO21" s="27"/>
      <c r="CGP21" s="27"/>
      <c r="CGQ21" s="27"/>
      <c r="CGR21" s="27"/>
      <c r="CGS21" s="27"/>
      <c r="CGT21" s="27"/>
      <c r="CGU21" s="27"/>
      <c r="CGV21" s="27"/>
      <c r="CGW21" s="27"/>
      <c r="CGX21" s="27"/>
      <c r="CGY21" s="27"/>
      <c r="CGZ21" s="27"/>
      <c r="CHA21" s="27"/>
      <c r="CHB21" s="27"/>
      <c r="CHC21" s="27"/>
      <c r="CHD21" s="27"/>
      <c r="CHE21" s="27"/>
      <c r="CHF21" s="27"/>
      <c r="CHG21" s="27"/>
      <c r="CHH21" s="27"/>
      <c r="CHI21" s="27"/>
      <c r="CHJ21" s="27"/>
      <c r="CHK21" s="27"/>
      <c r="CHL21" s="27"/>
      <c r="CHM21" s="27"/>
      <c r="CHN21" s="27"/>
      <c r="CHO21" s="27"/>
      <c r="CHP21" s="27"/>
      <c r="CHQ21" s="27"/>
      <c r="CHR21" s="27"/>
      <c r="CHS21" s="27"/>
      <c r="CHT21" s="27"/>
      <c r="CHU21" s="27"/>
      <c r="CHV21" s="27"/>
      <c r="CHW21" s="27"/>
      <c r="CHX21" s="27"/>
      <c r="CHY21" s="27"/>
      <c r="CHZ21" s="27"/>
      <c r="CIA21" s="27"/>
      <c r="CIB21" s="27"/>
      <c r="CIC21" s="27"/>
      <c r="CID21" s="27"/>
      <c r="CIE21" s="27"/>
      <c r="CIF21" s="27"/>
      <c r="CIG21" s="27"/>
      <c r="CIH21" s="27"/>
      <c r="CII21" s="27"/>
      <c r="CIJ21" s="27"/>
      <c r="CIK21" s="27"/>
      <c r="CIL21" s="27"/>
      <c r="CIM21" s="27"/>
      <c r="CIN21" s="27"/>
      <c r="CIO21" s="27"/>
      <c r="CIP21" s="27"/>
      <c r="CIQ21" s="27"/>
      <c r="CIR21" s="27"/>
      <c r="CIS21" s="27"/>
      <c r="CIT21" s="27"/>
      <c r="CIU21" s="27"/>
      <c r="CIV21" s="27"/>
      <c r="CIW21" s="27"/>
      <c r="CIX21" s="27"/>
      <c r="CIY21" s="27"/>
      <c r="CIZ21" s="27"/>
      <c r="CJA21" s="27"/>
      <c r="CJB21" s="27"/>
      <c r="CJC21" s="27"/>
      <c r="CJD21" s="27"/>
      <c r="CJE21" s="27"/>
      <c r="CJF21" s="27"/>
      <c r="CJG21" s="27"/>
      <c r="CJH21" s="27"/>
      <c r="CJI21" s="27"/>
      <c r="CJJ21" s="27"/>
      <c r="CJK21" s="27"/>
      <c r="CJL21" s="27"/>
      <c r="CJM21" s="27"/>
      <c r="CJN21" s="27"/>
      <c r="CJO21" s="27"/>
      <c r="CJP21" s="27"/>
      <c r="CJQ21" s="27"/>
      <c r="CJR21" s="27"/>
      <c r="CJS21" s="27"/>
      <c r="CJT21" s="27"/>
      <c r="CJU21" s="27"/>
      <c r="CJV21" s="27"/>
      <c r="CJW21" s="27"/>
      <c r="CJX21" s="27"/>
      <c r="CJY21" s="27"/>
      <c r="CJZ21" s="27"/>
      <c r="CKA21" s="27"/>
      <c r="CKB21" s="27"/>
      <c r="CKC21" s="27"/>
      <c r="CKD21" s="27"/>
      <c r="CKE21" s="27"/>
      <c r="CKF21" s="27"/>
      <c r="CKG21" s="27"/>
      <c r="CKH21" s="27"/>
      <c r="CKI21" s="27"/>
      <c r="CKJ21" s="27"/>
      <c r="CKK21" s="27"/>
      <c r="CKL21" s="27"/>
      <c r="CKM21" s="27"/>
      <c r="CKN21" s="27"/>
      <c r="CKO21" s="27"/>
      <c r="CKP21" s="27"/>
      <c r="CKQ21" s="27"/>
      <c r="CKR21" s="27"/>
      <c r="CKS21" s="27"/>
      <c r="CKT21" s="27"/>
      <c r="CKU21" s="27"/>
      <c r="CKV21" s="27"/>
      <c r="CKW21" s="27"/>
      <c r="CKX21" s="27"/>
      <c r="CKY21" s="27"/>
      <c r="CKZ21" s="27"/>
      <c r="CLA21" s="27"/>
      <c r="CLB21" s="27"/>
      <c r="CLC21" s="27"/>
      <c r="CLD21" s="27"/>
      <c r="CLE21" s="27"/>
      <c r="CLF21" s="27"/>
      <c r="CLG21" s="27"/>
      <c r="CLH21" s="27"/>
      <c r="CLI21" s="27"/>
      <c r="CLJ21" s="27"/>
      <c r="CLK21" s="27"/>
      <c r="CLL21" s="27"/>
      <c r="CLM21" s="27"/>
      <c r="CLN21" s="27"/>
      <c r="CLO21" s="27"/>
      <c r="CLP21" s="27"/>
      <c r="CLQ21" s="27"/>
      <c r="CLR21" s="27"/>
      <c r="CLS21" s="27"/>
      <c r="CLT21" s="27"/>
      <c r="CLU21" s="27"/>
      <c r="CLV21" s="27"/>
      <c r="CLW21" s="27"/>
      <c r="CLX21" s="27"/>
      <c r="CLY21" s="27"/>
      <c r="CLZ21" s="27"/>
      <c r="CMA21" s="27"/>
      <c r="CMB21" s="27"/>
      <c r="CMC21" s="27"/>
      <c r="CMD21" s="27"/>
      <c r="CME21" s="27"/>
      <c r="CMF21" s="27"/>
      <c r="CMG21" s="27"/>
      <c r="CMH21" s="27"/>
      <c r="CMI21" s="27"/>
      <c r="CMJ21" s="27"/>
      <c r="CMK21" s="27"/>
      <c r="CML21" s="27"/>
      <c r="CMM21" s="27"/>
      <c r="CMN21" s="27"/>
      <c r="CMO21" s="27"/>
      <c r="CMP21" s="27"/>
      <c r="CMQ21" s="27"/>
      <c r="CMR21" s="27"/>
      <c r="CMS21" s="27"/>
      <c r="CMT21" s="27"/>
      <c r="CMU21" s="27"/>
      <c r="CMV21" s="27"/>
      <c r="CMW21" s="27"/>
      <c r="CMX21" s="27"/>
      <c r="CMY21" s="27"/>
      <c r="CMZ21" s="27"/>
      <c r="CNA21" s="27"/>
      <c r="CNB21" s="27"/>
      <c r="CNC21" s="27"/>
      <c r="CND21" s="27"/>
      <c r="CNE21" s="27"/>
      <c r="CNF21" s="27"/>
      <c r="CNG21" s="27"/>
      <c r="CNH21" s="27"/>
      <c r="CNI21" s="27"/>
      <c r="CNJ21" s="27"/>
      <c r="CNK21" s="27"/>
      <c r="CNL21" s="27"/>
      <c r="CNM21" s="27"/>
      <c r="CNN21" s="27"/>
      <c r="CNO21" s="27"/>
      <c r="CNP21" s="27"/>
      <c r="CNQ21" s="27"/>
      <c r="CNR21" s="27"/>
      <c r="CNS21" s="27"/>
      <c r="CNT21" s="27"/>
      <c r="CNU21" s="27"/>
      <c r="CNV21" s="27"/>
      <c r="CNW21" s="27"/>
      <c r="CNX21" s="27"/>
      <c r="CNY21" s="27"/>
      <c r="CNZ21" s="27"/>
      <c r="COA21" s="27"/>
      <c r="COB21" s="27"/>
      <c r="COC21" s="27"/>
      <c r="COD21" s="27"/>
      <c r="COE21" s="27"/>
      <c r="COF21" s="27"/>
      <c r="COG21" s="27"/>
      <c r="COH21" s="27"/>
      <c r="COI21" s="27"/>
      <c r="COJ21" s="27"/>
      <c r="COK21" s="27"/>
      <c r="COL21" s="27"/>
      <c r="COM21" s="27"/>
      <c r="CON21" s="27"/>
      <c r="COO21" s="27"/>
      <c r="COP21" s="27"/>
      <c r="COQ21" s="27"/>
      <c r="COR21" s="27"/>
      <c r="COS21" s="27"/>
      <c r="COT21" s="27"/>
      <c r="COU21" s="27"/>
      <c r="COV21" s="27"/>
      <c r="COW21" s="27"/>
      <c r="COX21" s="27"/>
      <c r="COY21" s="27"/>
      <c r="COZ21" s="27"/>
      <c r="CPA21" s="27"/>
      <c r="CPB21" s="27"/>
      <c r="CPC21" s="27"/>
      <c r="CPD21" s="27"/>
      <c r="CPE21" s="27"/>
      <c r="CPF21" s="27"/>
      <c r="CPG21" s="27"/>
      <c r="CPH21" s="27"/>
      <c r="CPI21" s="27"/>
      <c r="CPJ21" s="27"/>
      <c r="CPK21" s="27"/>
      <c r="CPL21" s="27"/>
      <c r="CPM21" s="27"/>
      <c r="CPN21" s="27"/>
      <c r="CPO21" s="27"/>
      <c r="CPP21" s="27"/>
      <c r="CPQ21" s="27"/>
      <c r="CPR21" s="27"/>
      <c r="CPS21" s="27"/>
      <c r="CPT21" s="27"/>
      <c r="CPU21" s="27"/>
      <c r="CPV21" s="27"/>
      <c r="CPW21" s="27"/>
      <c r="CPX21" s="27"/>
      <c r="CPY21" s="27"/>
      <c r="CPZ21" s="27"/>
      <c r="CQA21" s="27"/>
      <c r="CQB21" s="27"/>
      <c r="CQC21" s="27"/>
      <c r="CQD21" s="27"/>
      <c r="CQE21" s="27"/>
      <c r="CQF21" s="27"/>
      <c r="CQG21" s="27"/>
      <c r="CQH21" s="27"/>
      <c r="CQI21" s="27"/>
      <c r="CQJ21" s="27"/>
      <c r="CQK21" s="27"/>
      <c r="CQL21" s="27"/>
      <c r="CQM21" s="27"/>
      <c r="CQN21" s="27"/>
      <c r="CQO21" s="27"/>
      <c r="CQP21" s="27"/>
      <c r="CQQ21" s="27"/>
      <c r="CQR21" s="27"/>
      <c r="CQS21" s="27"/>
      <c r="CQT21" s="27"/>
      <c r="CQU21" s="27"/>
      <c r="CQV21" s="27"/>
      <c r="CQW21" s="27"/>
      <c r="CQX21" s="27"/>
      <c r="CQY21" s="27"/>
      <c r="CQZ21" s="27"/>
      <c r="CRA21" s="27"/>
      <c r="CRB21" s="27"/>
      <c r="CRC21" s="27"/>
      <c r="CRD21" s="27"/>
      <c r="CRE21" s="27"/>
      <c r="CRF21" s="27"/>
      <c r="CRG21" s="27"/>
      <c r="CRH21" s="27"/>
      <c r="CRI21" s="27"/>
      <c r="CRJ21" s="27"/>
      <c r="CRK21" s="27"/>
      <c r="CRL21" s="27"/>
      <c r="CRM21" s="27"/>
      <c r="CRN21" s="27"/>
      <c r="CRO21" s="27"/>
      <c r="CRP21" s="27"/>
      <c r="CRQ21" s="27"/>
      <c r="CRR21" s="27"/>
      <c r="CRS21" s="27"/>
      <c r="CRT21" s="27"/>
      <c r="CRU21" s="27"/>
      <c r="CRV21" s="27"/>
      <c r="CRW21" s="27"/>
      <c r="CRX21" s="27"/>
      <c r="CRY21" s="27"/>
      <c r="CRZ21" s="27"/>
      <c r="CSA21" s="27"/>
      <c r="CSB21" s="27"/>
      <c r="CSC21" s="27"/>
      <c r="CSD21" s="27"/>
      <c r="CSE21" s="27"/>
      <c r="CSF21" s="27"/>
      <c r="CSG21" s="27"/>
      <c r="CSH21" s="27"/>
      <c r="CSI21" s="27"/>
      <c r="CSJ21" s="27"/>
      <c r="CSK21" s="27"/>
      <c r="CSL21" s="27"/>
      <c r="CSM21" s="27"/>
      <c r="CSN21" s="27"/>
      <c r="CSO21" s="27"/>
      <c r="CSP21" s="27"/>
      <c r="CSQ21" s="27"/>
      <c r="CSR21" s="27"/>
      <c r="CSS21" s="27"/>
      <c r="CST21" s="27"/>
      <c r="CSU21" s="27"/>
      <c r="CSV21" s="27"/>
      <c r="CSW21" s="27"/>
      <c r="CSX21" s="27"/>
      <c r="CSY21" s="27"/>
      <c r="CSZ21" s="27"/>
      <c r="CTA21" s="27"/>
      <c r="CTB21" s="27"/>
      <c r="CTC21" s="27"/>
      <c r="CTD21" s="27"/>
      <c r="CTE21" s="27"/>
      <c r="CTF21" s="27"/>
      <c r="CTG21" s="27"/>
      <c r="CTH21" s="27"/>
      <c r="CTI21" s="27"/>
      <c r="CTJ21" s="27"/>
      <c r="CTK21" s="27"/>
      <c r="CTL21" s="27"/>
      <c r="CTM21" s="27"/>
      <c r="CTN21" s="27"/>
      <c r="CTO21" s="27"/>
      <c r="CTP21" s="27"/>
      <c r="CTQ21" s="27"/>
      <c r="CTR21" s="27"/>
      <c r="CTS21" s="27"/>
      <c r="CTT21" s="27"/>
      <c r="CTU21" s="27"/>
      <c r="CTV21" s="27"/>
      <c r="CTW21" s="27"/>
      <c r="CTX21" s="27"/>
      <c r="CTY21" s="27"/>
      <c r="CTZ21" s="27"/>
      <c r="CUA21" s="27"/>
    </row>
    <row r="22" s="30" customFormat="1" spans="1:2575">
      <c r="A22" s="268">
        <v>31</v>
      </c>
      <c r="B22" s="268" t="s">
        <v>15</v>
      </c>
      <c r="C22" s="268" t="s">
        <v>54</v>
      </c>
      <c r="D22" s="82" t="s">
        <v>675</v>
      </c>
      <c r="E22" s="29" t="s">
        <v>732</v>
      </c>
      <c r="F22" s="31" t="s">
        <v>736</v>
      </c>
      <c r="G22" s="31" t="s">
        <v>734</v>
      </c>
      <c r="H22" s="119" t="s">
        <v>737</v>
      </c>
      <c r="I22" s="32">
        <v>2012.01</v>
      </c>
      <c r="J22" s="31" t="s">
        <v>42</v>
      </c>
      <c r="K22" s="31" t="s">
        <v>42</v>
      </c>
      <c r="L22" s="285" t="s">
        <v>667</v>
      </c>
      <c r="M22" s="29" t="s">
        <v>674</v>
      </c>
      <c r="N22" s="94">
        <v>45574</v>
      </c>
      <c r="O22" s="94">
        <v>45938</v>
      </c>
      <c r="P22" s="29">
        <v>500</v>
      </c>
      <c r="Q22" s="133"/>
      <c r="R22" s="133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  <c r="ALK22" s="27"/>
      <c r="ALL22" s="27"/>
      <c r="ALM22" s="27"/>
      <c r="ALN22" s="27"/>
      <c r="ALO22" s="27"/>
      <c r="ALP22" s="27"/>
      <c r="ALQ22" s="27"/>
      <c r="ALR22" s="27"/>
      <c r="ALS22" s="27"/>
      <c r="ALT22" s="27"/>
      <c r="ALU22" s="27"/>
      <c r="ALV22" s="27"/>
      <c r="ALW22" s="27"/>
      <c r="ALX22" s="27"/>
      <c r="ALY22" s="27"/>
      <c r="ALZ22" s="27"/>
      <c r="AMA22" s="27"/>
      <c r="AMB22" s="27"/>
      <c r="AMC22" s="27"/>
      <c r="AMD22" s="27"/>
      <c r="AME22" s="27"/>
      <c r="AMF22" s="27"/>
      <c r="AMG22" s="27"/>
      <c r="AMH22" s="27"/>
      <c r="AMI22" s="27"/>
      <c r="AMJ22" s="27"/>
      <c r="AMK22" s="27"/>
      <c r="AML22" s="27"/>
      <c r="AMM22" s="27"/>
      <c r="AMN22" s="27"/>
      <c r="AMO22" s="27"/>
      <c r="AMP22" s="27"/>
      <c r="AMQ22" s="27"/>
      <c r="AMR22" s="27"/>
      <c r="AMS22" s="27"/>
      <c r="AMT22" s="27"/>
      <c r="AMU22" s="27"/>
      <c r="AMV22" s="27"/>
      <c r="AMW22" s="27"/>
      <c r="AMX22" s="27"/>
      <c r="AMY22" s="27"/>
      <c r="AMZ22" s="27"/>
      <c r="ANA22" s="27"/>
      <c r="ANB22" s="27"/>
      <c r="ANC22" s="27"/>
      <c r="AND22" s="27"/>
      <c r="ANE22" s="27"/>
      <c r="ANF22" s="27"/>
      <c r="ANG22" s="27"/>
      <c r="ANH22" s="27"/>
      <c r="ANI22" s="27"/>
      <c r="ANJ22" s="27"/>
      <c r="ANK22" s="27"/>
      <c r="ANL22" s="27"/>
      <c r="ANM22" s="27"/>
      <c r="ANN22" s="27"/>
      <c r="ANO22" s="27"/>
      <c r="ANP22" s="27"/>
      <c r="ANQ22" s="27"/>
      <c r="ANR22" s="27"/>
      <c r="ANS22" s="27"/>
      <c r="ANT22" s="27"/>
      <c r="ANU22" s="27"/>
      <c r="ANV22" s="27"/>
      <c r="ANW22" s="27"/>
      <c r="ANX22" s="27"/>
      <c r="ANY22" s="27"/>
      <c r="ANZ22" s="27"/>
      <c r="AOA22" s="27"/>
      <c r="AOB22" s="27"/>
      <c r="AOC22" s="27"/>
      <c r="AOD22" s="27"/>
      <c r="AOE22" s="27"/>
      <c r="AOF22" s="27"/>
      <c r="AOG22" s="27"/>
      <c r="AOH22" s="27"/>
      <c r="AOI22" s="27"/>
      <c r="AOJ22" s="27"/>
      <c r="AOK22" s="27"/>
      <c r="AOL22" s="27"/>
      <c r="AOM22" s="27"/>
      <c r="AON22" s="27"/>
      <c r="AOO22" s="27"/>
      <c r="AOP22" s="27"/>
      <c r="AOQ22" s="27"/>
      <c r="AOR22" s="27"/>
      <c r="AOS22" s="27"/>
      <c r="AOT22" s="27"/>
      <c r="AOU22" s="27"/>
      <c r="AOV22" s="27"/>
      <c r="AOW22" s="27"/>
      <c r="AOX22" s="27"/>
      <c r="AOY22" s="27"/>
      <c r="AOZ22" s="27"/>
      <c r="APA22" s="27"/>
      <c r="APB22" s="27"/>
      <c r="APC22" s="27"/>
      <c r="APD22" s="27"/>
      <c r="APE22" s="27"/>
      <c r="APF22" s="27"/>
      <c r="APG22" s="27"/>
      <c r="APH22" s="27"/>
      <c r="API22" s="27"/>
      <c r="APJ22" s="27"/>
      <c r="APK22" s="27"/>
      <c r="APL22" s="27"/>
      <c r="APM22" s="27"/>
      <c r="APN22" s="27"/>
      <c r="APO22" s="27"/>
      <c r="APP22" s="27"/>
      <c r="APQ22" s="27"/>
      <c r="APR22" s="27"/>
      <c r="APS22" s="27"/>
      <c r="APT22" s="27"/>
      <c r="APU22" s="27"/>
      <c r="APV22" s="27"/>
      <c r="APW22" s="27"/>
      <c r="APX22" s="27"/>
      <c r="APY22" s="27"/>
      <c r="APZ22" s="27"/>
      <c r="AQA22" s="27"/>
      <c r="AQB22" s="27"/>
      <c r="AQC22" s="27"/>
      <c r="AQD22" s="27"/>
      <c r="AQE22" s="27"/>
      <c r="AQF22" s="27"/>
      <c r="AQG22" s="27"/>
      <c r="AQH22" s="27"/>
      <c r="AQI22" s="27"/>
      <c r="AQJ22" s="27"/>
      <c r="AQK22" s="27"/>
      <c r="AQL22" s="27"/>
      <c r="AQM22" s="27"/>
      <c r="AQN22" s="27"/>
      <c r="AQO22" s="27"/>
      <c r="AQP22" s="27"/>
      <c r="AQQ22" s="27"/>
      <c r="AQR22" s="27"/>
      <c r="AQS22" s="27"/>
      <c r="AQT22" s="27"/>
      <c r="AQU22" s="27"/>
      <c r="AQV22" s="27"/>
      <c r="AQW22" s="27"/>
      <c r="AQX22" s="27"/>
      <c r="AQY22" s="27"/>
      <c r="AQZ22" s="27"/>
      <c r="ARA22" s="27"/>
      <c r="ARB22" s="27"/>
      <c r="ARC22" s="27"/>
      <c r="ARD22" s="27"/>
      <c r="ARE22" s="27"/>
      <c r="ARF22" s="27"/>
      <c r="ARG22" s="27"/>
      <c r="ARH22" s="27"/>
      <c r="ARI22" s="27"/>
      <c r="ARJ22" s="27"/>
      <c r="ARK22" s="27"/>
      <c r="ARL22" s="27"/>
      <c r="ARM22" s="27"/>
      <c r="ARN22" s="27"/>
      <c r="ARO22" s="27"/>
      <c r="ARP22" s="27"/>
      <c r="ARQ22" s="27"/>
      <c r="ARR22" s="27"/>
      <c r="ARS22" s="27"/>
      <c r="ART22" s="27"/>
      <c r="ARU22" s="27"/>
      <c r="ARV22" s="27"/>
      <c r="ARW22" s="27"/>
      <c r="ARX22" s="27"/>
      <c r="ARY22" s="27"/>
      <c r="ARZ22" s="27"/>
      <c r="ASA22" s="27"/>
      <c r="ASB22" s="27"/>
      <c r="ASC22" s="27"/>
      <c r="ASD22" s="27"/>
      <c r="ASE22" s="27"/>
      <c r="ASF22" s="27"/>
      <c r="ASG22" s="27"/>
      <c r="ASH22" s="27"/>
      <c r="ASI22" s="27"/>
      <c r="ASJ22" s="27"/>
      <c r="ASK22" s="27"/>
      <c r="ASL22" s="27"/>
      <c r="ASM22" s="27"/>
      <c r="ASN22" s="27"/>
      <c r="ASO22" s="27"/>
      <c r="ASP22" s="27"/>
      <c r="ASQ22" s="27"/>
      <c r="ASR22" s="27"/>
      <c r="ASS22" s="27"/>
      <c r="AST22" s="27"/>
      <c r="ASU22" s="27"/>
      <c r="ASV22" s="27"/>
      <c r="ASW22" s="27"/>
      <c r="ASX22" s="27"/>
      <c r="ASY22" s="27"/>
      <c r="ASZ22" s="27"/>
      <c r="ATA22" s="27"/>
      <c r="ATB22" s="27"/>
      <c r="ATC22" s="27"/>
      <c r="ATD22" s="27"/>
      <c r="ATE22" s="27"/>
      <c r="ATF22" s="27"/>
      <c r="ATG22" s="27"/>
      <c r="ATH22" s="27"/>
      <c r="ATI22" s="27"/>
      <c r="ATJ22" s="27"/>
      <c r="ATK22" s="27"/>
      <c r="ATL22" s="27"/>
      <c r="ATM22" s="27"/>
      <c r="ATN22" s="27"/>
      <c r="ATO22" s="27"/>
      <c r="ATP22" s="27"/>
      <c r="ATQ22" s="27"/>
      <c r="ATR22" s="27"/>
      <c r="ATS22" s="27"/>
      <c r="ATT22" s="27"/>
      <c r="ATU22" s="27"/>
      <c r="ATV22" s="27"/>
      <c r="ATW22" s="27"/>
      <c r="ATX22" s="27"/>
      <c r="ATY22" s="27"/>
      <c r="ATZ22" s="27"/>
      <c r="AUA22" s="27"/>
      <c r="AUB22" s="27"/>
      <c r="AUC22" s="27"/>
      <c r="AUD22" s="27"/>
      <c r="AUE22" s="27"/>
      <c r="AUF22" s="27"/>
      <c r="AUG22" s="27"/>
      <c r="AUH22" s="27"/>
      <c r="AUI22" s="27"/>
      <c r="AUJ22" s="27"/>
      <c r="AUK22" s="27"/>
      <c r="AUL22" s="27"/>
      <c r="AUM22" s="27"/>
      <c r="AUN22" s="27"/>
      <c r="AUO22" s="27"/>
      <c r="AUP22" s="27"/>
      <c r="AUQ22" s="27"/>
      <c r="AUR22" s="27"/>
      <c r="AUS22" s="27"/>
      <c r="AUT22" s="27"/>
      <c r="AUU22" s="27"/>
      <c r="AUV22" s="27"/>
      <c r="AUW22" s="27"/>
      <c r="AUX22" s="27"/>
      <c r="AUY22" s="27"/>
      <c r="AUZ22" s="27"/>
      <c r="AVA22" s="27"/>
      <c r="AVB22" s="27"/>
      <c r="AVC22" s="27"/>
      <c r="AVD22" s="27"/>
      <c r="AVE22" s="27"/>
      <c r="AVF22" s="27"/>
      <c r="AVG22" s="27"/>
      <c r="AVH22" s="27"/>
      <c r="AVI22" s="27"/>
      <c r="AVJ22" s="27"/>
      <c r="AVK22" s="27"/>
      <c r="AVL22" s="27"/>
      <c r="AVM22" s="27"/>
      <c r="AVN22" s="27"/>
      <c r="AVO22" s="27"/>
      <c r="AVP22" s="27"/>
      <c r="AVQ22" s="27"/>
      <c r="AVR22" s="27"/>
      <c r="AVS22" s="27"/>
      <c r="AVT22" s="27"/>
      <c r="AVU22" s="27"/>
      <c r="AVV22" s="27"/>
      <c r="AVW22" s="27"/>
      <c r="AVX22" s="27"/>
      <c r="AVY22" s="27"/>
      <c r="AVZ22" s="27"/>
      <c r="AWA22" s="27"/>
      <c r="AWB22" s="27"/>
      <c r="AWC22" s="27"/>
      <c r="AWD22" s="27"/>
      <c r="AWE22" s="27"/>
      <c r="AWF22" s="27"/>
      <c r="AWG22" s="27"/>
      <c r="AWH22" s="27"/>
      <c r="AWI22" s="27"/>
      <c r="AWJ22" s="27"/>
      <c r="AWK22" s="27"/>
      <c r="AWL22" s="27"/>
      <c r="AWM22" s="27"/>
      <c r="AWN22" s="27"/>
      <c r="AWO22" s="27"/>
      <c r="AWP22" s="27"/>
      <c r="AWQ22" s="27"/>
      <c r="AWR22" s="27"/>
      <c r="AWS22" s="27"/>
      <c r="AWT22" s="27"/>
      <c r="AWU22" s="27"/>
      <c r="AWV22" s="27"/>
      <c r="AWW22" s="27"/>
      <c r="AWX22" s="27"/>
      <c r="AWY22" s="27"/>
      <c r="AWZ22" s="27"/>
      <c r="AXA22" s="27"/>
      <c r="AXB22" s="27"/>
      <c r="AXC22" s="27"/>
      <c r="AXD22" s="27"/>
      <c r="AXE22" s="27"/>
      <c r="AXF22" s="27"/>
      <c r="AXG22" s="27"/>
      <c r="AXH22" s="27"/>
      <c r="AXI22" s="27"/>
      <c r="AXJ22" s="27"/>
      <c r="AXK22" s="27"/>
      <c r="AXL22" s="27"/>
      <c r="AXM22" s="27"/>
      <c r="AXN22" s="27"/>
      <c r="AXO22" s="27"/>
      <c r="AXP22" s="27"/>
      <c r="AXQ22" s="27"/>
      <c r="AXR22" s="27"/>
      <c r="AXS22" s="27"/>
      <c r="AXT22" s="27"/>
      <c r="AXU22" s="27"/>
      <c r="AXV22" s="27"/>
      <c r="AXW22" s="27"/>
      <c r="AXX22" s="27"/>
      <c r="AXY22" s="27"/>
      <c r="AXZ22" s="27"/>
      <c r="AYA22" s="27"/>
      <c r="AYB22" s="27"/>
      <c r="AYC22" s="27"/>
      <c r="AYD22" s="27"/>
      <c r="AYE22" s="27"/>
      <c r="AYF22" s="27"/>
      <c r="AYG22" s="27"/>
      <c r="AYH22" s="27"/>
      <c r="AYI22" s="27"/>
      <c r="AYJ22" s="27"/>
      <c r="AYK22" s="27"/>
      <c r="AYL22" s="27"/>
      <c r="AYM22" s="27"/>
      <c r="AYN22" s="27"/>
      <c r="AYO22" s="27"/>
      <c r="AYP22" s="27"/>
      <c r="AYQ22" s="27"/>
      <c r="AYR22" s="27"/>
      <c r="AYS22" s="27"/>
      <c r="AYT22" s="27"/>
      <c r="AYU22" s="27"/>
      <c r="AYV22" s="27"/>
      <c r="AYW22" s="27"/>
      <c r="AYX22" s="27"/>
      <c r="AYY22" s="27"/>
      <c r="AYZ22" s="27"/>
      <c r="AZA22" s="27"/>
      <c r="AZB22" s="27"/>
      <c r="AZC22" s="27"/>
      <c r="AZD22" s="27"/>
      <c r="AZE22" s="27"/>
      <c r="AZF22" s="27"/>
      <c r="AZG22" s="27"/>
      <c r="AZH22" s="27"/>
      <c r="AZI22" s="27"/>
      <c r="AZJ22" s="27"/>
      <c r="AZK22" s="27"/>
      <c r="AZL22" s="27"/>
      <c r="AZM22" s="27"/>
      <c r="AZN22" s="27"/>
      <c r="AZO22" s="27"/>
      <c r="AZP22" s="27"/>
      <c r="AZQ22" s="27"/>
      <c r="AZR22" s="27"/>
      <c r="AZS22" s="27"/>
      <c r="AZT22" s="27"/>
      <c r="AZU22" s="27"/>
      <c r="AZV22" s="27"/>
      <c r="AZW22" s="27"/>
      <c r="AZX22" s="27"/>
      <c r="AZY22" s="27"/>
      <c r="AZZ22" s="27"/>
      <c r="BAA22" s="27"/>
      <c r="BAB22" s="27"/>
      <c r="BAC22" s="27"/>
      <c r="BAD22" s="27"/>
      <c r="BAE22" s="27"/>
      <c r="BAF22" s="27"/>
      <c r="BAG22" s="27"/>
      <c r="BAH22" s="27"/>
      <c r="BAI22" s="27"/>
      <c r="BAJ22" s="27"/>
      <c r="BAK22" s="27"/>
      <c r="BAL22" s="27"/>
      <c r="BAM22" s="27"/>
      <c r="BAN22" s="27"/>
      <c r="BAO22" s="27"/>
      <c r="BAP22" s="27"/>
      <c r="BAQ22" s="27"/>
      <c r="BAR22" s="27"/>
      <c r="BAS22" s="27"/>
      <c r="BAT22" s="27"/>
      <c r="BAU22" s="27"/>
      <c r="BAV22" s="27"/>
      <c r="BAW22" s="27"/>
      <c r="BAX22" s="27"/>
      <c r="BAY22" s="27"/>
      <c r="BAZ22" s="27"/>
      <c r="BBA22" s="27"/>
      <c r="BBB22" s="27"/>
      <c r="BBC22" s="27"/>
      <c r="BBD22" s="27"/>
      <c r="BBE22" s="27"/>
      <c r="BBF22" s="27"/>
      <c r="BBG22" s="27"/>
      <c r="BBH22" s="27"/>
      <c r="BBI22" s="27"/>
      <c r="BBJ22" s="27"/>
      <c r="BBK22" s="27"/>
      <c r="BBL22" s="27"/>
      <c r="BBM22" s="27"/>
      <c r="BBN22" s="27"/>
      <c r="BBO22" s="27"/>
      <c r="BBP22" s="27"/>
      <c r="BBQ22" s="27"/>
      <c r="BBR22" s="27"/>
      <c r="BBS22" s="27"/>
      <c r="BBT22" s="27"/>
      <c r="BBU22" s="27"/>
      <c r="BBV22" s="27"/>
      <c r="BBW22" s="27"/>
      <c r="BBX22" s="27"/>
      <c r="BBY22" s="27"/>
      <c r="BBZ22" s="27"/>
      <c r="BCA22" s="27"/>
      <c r="BCB22" s="27"/>
      <c r="BCC22" s="27"/>
      <c r="BCD22" s="27"/>
      <c r="BCE22" s="27"/>
      <c r="BCF22" s="27"/>
      <c r="BCG22" s="27"/>
      <c r="BCH22" s="27"/>
      <c r="BCI22" s="27"/>
      <c r="BCJ22" s="27"/>
      <c r="BCK22" s="27"/>
      <c r="BCL22" s="27"/>
      <c r="BCM22" s="27"/>
      <c r="BCN22" s="27"/>
      <c r="BCO22" s="27"/>
      <c r="BCP22" s="27"/>
      <c r="BCQ22" s="27"/>
      <c r="BCR22" s="27"/>
      <c r="BCS22" s="27"/>
      <c r="BCT22" s="27"/>
      <c r="BCU22" s="27"/>
      <c r="BCV22" s="27"/>
      <c r="BCW22" s="27"/>
      <c r="BCX22" s="27"/>
      <c r="BCY22" s="27"/>
      <c r="BCZ22" s="27"/>
      <c r="BDA22" s="27"/>
      <c r="BDB22" s="27"/>
      <c r="BDC22" s="27"/>
      <c r="BDD22" s="27"/>
      <c r="BDE22" s="27"/>
      <c r="BDF22" s="27"/>
      <c r="BDG22" s="27"/>
      <c r="BDH22" s="27"/>
      <c r="BDI22" s="27"/>
      <c r="BDJ22" s="27"/>
      <c r="BDK22" s="27"/>
      <c r="BDL22" s="27"/>
      <c r="BDM22" s="27"/>
      <c r="BDN22" s="27"/>
      <c r="BDO22" s="27"/>
      <c r="BDP22" s="27"/>
      <c r="BDQ22" s="27"/>
      <c r="BDR22" s="27"/>
      <c r="BDS22" s="27"/>
      <c r="BDT22" s="27"/>
      <c r="BDU22" s="27"/>
      <c r="BDV22" s="27"/>
      <c r="BDW22" s="27"/>
      <c r="BDX22" s="27"/>
      <c r="BDY22" s="27"/>
      <c r="BDZ22" s="27"/>
      <c r="BEA22" s="27"/>
      <c r="BEB22" s="27"/>
      <c r="BEC22" s="27"/>
      <c r="BED22" s="27"/>
      <c r="BEE22" s="27"/>
      <c r="BEF22" s="27"/>
      <c r="BEG22" s="27"/>
      <c r="BEH22" s="27"/>
      <c r="BEI22" s="27"/>
      <c r="BEJ22" s="27"/>
      <c r="BEK22" s="27"/>
      <c r="BEL22" s="27"/>
      <c r="BEM22" s="27"/>
      <c r="BEN22" s="27"/>
      <c r="BEO22" s="27"/>
      <c r="BEP22" s="27"/>
      <c r="BEQ22" s="27"/>
      <c r="BER22" s="27"/>
      <c r="BES22" s="27"/>
      <c r="BET22" s="27"/>
      <c r="BEU22" s="27"/>
      <c r="BEV22" s="27"/>
      <c r="BEW22" s="27"/>
      <c r="BEX22" s="27"/>
      <c r="BEY22" s="27"/>
      <c r="BEZ22" s="27"/>
      <c r="BFA22" s="27"/>
      <c r="BFB22" s="27"/>
      <c r="BFC22" s="27"/>
      <c r="BFD22" s="27"/>
      <c r="BFE22" s="27"/>
      <c r="BFF22" s="27"/>
      <c r="BFG22" s="27"/>
      <c r="BFH22" s="27"/>
      <c r="BFI22" s="27"/>
      <c r="BFJ22" s="27"/>
      <c r="BFK22" s="27"/>
      <c r="BFL22" s="27"/>
      <c r="BFM22" s="27"/>
      <c r="BFN22" s="27"/>
      <c r="BFO22" s="27"/>
      <c r="BFP22" s="27"/>
      <c r="BFQ22" s="27"/>
      <c r="BFR22" s="27"/>
      <c r="BFS22" s="27"/>
      <c r="BFT22" s="27"/>
      <c r="BFU22" s="27"/>
      <c r="BFV22" s="27"/>
      <c r="BFW22" s="27"/>
      <c r="BFX22" s="27"/>
      <c r="BFY22" s="27"/>
      <c r="BFZ22" s="27"/>
      <c r="BGA22" s="27"/>
      <c r="BGB22" s="27"/>
      <c r="BGC22" s="27"/>
      <c r="BGD22" s="27"/>
      <c r="BGE22" s="27"/>
      <c r="BGF22" s="27"/>
      <c r="BGG22" s="27"/>
      <c r="BGH22" s="27"/>
      <c r="BGI22" s="27"/>
      <c r="BGJ22" s="27"/>
      <c r="BGK22" s="27"/>
      <c r="BGL22" s="27"/>
      <c r="BGM22" s="27"/>
      <c r="BGN22" s="27"/>
      <c r="BGO22" s="27"/>
      <c r="BGP22" s="27"/>
      <c r="BGQ22" s="27"/>
      <c r="BGR22" s="27"/>
      <c r="BGS22" s="27"/>
      <c r="BGT22" s="27"/>
      <c r="BGU22" s="27"/>
      <c r="BGV22" s="27"/>
      <c r="BGW22" s="27"/>
      <c r="BGX22" s="27"/>
      <c r="BGY22" s="27"/>
      <c r="BGZ22" s="27"/>
      <c r="BHA22" s="27"/>
      <c r="BHB22" s="27"/>
      <c r="BHC22" s="27"/>
      <c r="BHD22" s="27"/>
      <c r="BHE22" s="27"/>
      <c r="BHF22" s="27"/>
      <c r="BHG22" s="27"/>
      <c r="BHH22" s="27"/>
      <c r="BHI22" s="27"/>
      <c r="BHJ22" s="27"/>
      <c r="BHK22" s="27"/>
      <c r="BHL22" s="27"/>
      <c r="BHM22" s="27"/>
      <c r="BHN22" s="27"/>
      <c r="BHO22" s="27"/>
      <c r="BHP22" s="27"/>
      <c r="BHQ22" s="27"/>
      <c r="BHR22" s="27"/>
      <c r="BHS22" s="27"/>
      <c r="BHT22" s="27"/>
      <c r="BHU22" s="27"/>
      <c r="BHV22" s="27"/>
      <c r="BHW22" s="27"/>
      <c r="BHX22" s="27"/>
      <c r="BHY22" s="27"/>
      <c r="BHZ22" s="27"/>
      <c r="BIA22" s="27"/>
      <c r="BIB22" s="27"/>
      <c r="BIC22" s="27"/>
      <c r="BID22" s="27"/>
      <c r="BIE22" s="27"/>
      <c r="BIF22" s="27"/>
      <c r="BIG22" s="27"/>
      <c r="BIH22" s="27"/>
      <c r="BII22" s="27"/>
      <c r="BIJ22" s="27"/>
      <c r="BIK22" s="27"/>
      <c r="BIL22" s="27"/>
      <c r="BIM22" s="27"/>
      <c r="BIN22" s="27"/>
      <c r="BIO22" s="27"/>
      <c r="BIP22" s="27"/>
      <c r="BIQ22" s="27"/>
      <c r="BIR22" s="27"/>
      <c r="BIS22" s="27"/>
      <c r="BIT22" s="27"/>
      <c r="BIU22" s="27"/>
      <c r="BIV22" s="27"/>
      <c r="BIW22" s="27"/>
      <c r="BIX22" s="27"/>
      <c r="BIY22" s="27"/>
      <c r="BIZ22" s="27"/>
      <c r="BJA22" s="27"/>
      <c r="BJB22" s="27"/>
      <c r="BJC22" s="27"/>
      <c r="BJD22" s="27"/>
      <c r="BJE22" s="27"/>
      <c r="BJF22" s="27"/>
      <c r="BJG22" s="27"/>
      <c r="BJH22" s="27"/>
      <c r="BJI22" s="27"/>
      <c r="BJJ22" s="27"/>
      <c r="BJK22" s="27"/>
      <c r="BJL22" s="27"/>
      <c r="BJM22" s="27"/>
      <c r="BJN22" s="27"/>
      <c r="BJO22" s="27"/>
      <c r="BJP22" s="27"/>
      <c r="BJQ22" s="27"/>
      <c r="BJR22" s="27"/>
      <c r="BJS22" s="27"/>
      <c r="BJT22" s="27"/>
      <c r="BJU22" s="27"/>
      <c r="BJV22" s="27"/>
      <c r="BJW22" s="27"/>
      <c r="BJX22" s="27"/>
      <c r="BJY22" s="27"/>
      <c r="BJZ22" s="27"/>
      <c r="BKA22" s="27"/>
      <c r="BKB22" s="27"/>
      <c r="BKC22" s="27"/>
      <c r="BKD22" s="27"/>
      <c r="BKE22" s="27"/>
      <c r="BKF22" s="27"/>
      <c r="BKG22" s="27"/>
      <c r="BKH22" s="27"/>
      <c r="BKI22" s="27"/>
      <c r="BKJ22" s="27"/>
      <c r="BKK22" s="27"/>
      <c r="BKL22" s="27"/>
      <c r="BKM22" s="27"/>
      <c r="BKN22" s="27"/>
      <c r="BKO22" s="27"/>
      <c r="BKP22" s="27"/>
      <c r="BKQ22" s="27"/>
      <c r="BKR22" s="27"/>
      <c r="BKS22" s="27"/>
      <c r="BKT22" s="27"/>
      <c r="BKU22" s="27"/>
      <c r="BKV22" s="27"/>
      <c r="BKW22" s="27"/>
      <c r="BKX22" s="27"/>
      <c r="BKY22" s="27"/>
      <c r="BKZ22" s="27"/>
      <c r="BLA22" s="27"/>
      <c r="BLB22" s="27"/>
      <c r="BLC22" s="27"/>
      <c r="BLD22" s="27"/>
      <c r="BLE22" s="27"/>
      <c r="BLF22" s="27"/>
      <c r="BLG22" s="27"/>
      <c r="BLH22" s="27"/>
      <c r="BLI22" s="27"/>
      <c r="BLJ22" s="27"/>
      <c r="BLK22" s="27"/>
      <c r="BLL22" s="27"/>
      <c r="BLM22" s="27"/>
      <c r="BLN22" s="27"/>
      <c r="BLO22" s="27"/>
      <c r="BLP22" s="27"/>
      <c r="BLQ22" s="27"/>
      <c r="BLR22" s="27"/>
      <c r="BLS22" s="27"/>
      <c r="BLT22" s="27"/>
      <c r="BLU22" s="27"/>
      <c r="BLV22" s="27"/>
      <c r="BLW22" s="27"/>
      <c r="BLX22" s="27"/>
      <c r="BLY22" s="27"/>
      <c r="BLZ22" s="27"/>
      <c r="BMA22" s="27"/>
      <c r="BMB22" s="27"/>
      <c r="BMC22" s="27"/>
      <c r="BMD22" s="27"/>
      <c r="BME22" s="27"/>
      <c r="BMF22" s="27"/>
      <c r="BMG22" s="27"/>
      <c r="BMH22" s="27"/>
      <c r="BMI22" s="27"/>
      <c r="BMJ22" s="27"/>
      <c r="BMK22" s="27"/>
      <c r="BML22" s="27"/>
      <c r="BMM22" s="27"/>
      <c r="BMN22" s="27"/>
      <c r="BMO22" s="27"/>
      <c r="BMP22" s="27"/>
      <c r="BMQ22" s="27"/>
      <c r="BMR22" s="27"/>
      <c r="BMS22" s="27"/>
      <c r="BMT22" s="27"/>
      <c r="BMU22" s="27"/>
      <c r="BMV22" s="27"/>
      <c r="BMW22" s="27"/>
      <c r="BMX22" s="27"/>
      <c r="BMY22" s="27"/>
      <c r="BMZ22" s="27"/>
      <c r="BNA22" s="27"/>
      <c r="BNB22" s="27"/>
      <c r="BNC22" s="27"/>
      <c r="BND22" s="27"/>
      <c r="BNE22" s="27"/>
      <c r="BNF22" s="27"/>
      <c r="BNG22" s="27"/>
      <c r="BNH22" s="27"/>
      <c r="BNI22" s="27"/>
      <c r="BNJ22" s="27"/>
      <c r="BNK22" s="27"/>
      <c r="BNL22" s="27"/>
      <c r="BNM22" s="27"/>
      <c r="BNN22" s="27"/>
      <c r="BNO22" s="27"/>
      <c r="BNP22" s="27"/>
      <c r="BNQ22" s="27"/>
      <c r="BNR22" s="27"/>
      <c r="BNS22" s="27"/>
      <c r="BNT22" s="27"/>
      <c r="BNU22" s="27"/>
      <c r="BNV22" s="27"/>
      <c r="BNW22" s="27"/>
      <c r="BNX22" s="27"/>
      <c r="BNY22" s="27"/>
      <c r="BNZ22" s="27"/>
      <c r="BOA22" s="27"/>
      <c r="BOB22" s="27"/>
      <c r="BOC22" s="27"/>
      <c r="BOD22" s="27"/>
      <c r="BOE22" s="27"/>
      <c r="BOF22" s="27"/>
      <c r="BOG22" s="27"/>
      <c r="BOH22" s="27"/>
      <c r="BOI22" s="27"/>
      <c r="BOJ22" s="27"/>
      <c r="BOK22" s="27"/>
      <c r="BOL22" s="27"/>
      <c r="BOM22" s="27"/>
      <c r="BON22" s="27"/>
      <c r="BOO22" s="27"/>
      <c r="BOP22" s="27"/>
      <c r="BOQ22" s="27"/>
      <c r="BOR22" s="27"/>
      <c r="BOS22" s="27"/>
      <c r="BOT22" s="27"/>
      <c r="BOU22" s="27"/>
      <c r="BOV22" s="27"/>
      <c r="BOW22" s="27"/>
      <c r="BOX22" s="27"/>
      <c r="BOY22" s="27"/>
      <c r="BOZ22" s="27"/>
      <c r="BPA22" s="27"/>
      <c r="BPB22" s="27"/>
      <c r="BPC22" s="27"/>
      <c r="BPD22" s="27"/>
      <c r="BPE22" s="27"/>
      <c r="BPF22" s="27"/>
      <c r="BPG22" s="27"/>
      <c r="BPH22" s="27"/>
      <c r="BPI22" s="27"/>
      <c r="BPJ22" s="27"/>
      <c r="BPK22" s="27"/>
      <c r="BPL22" s="27"/>
      <c r="BPM22" s="27"/>
      <c r="BPN22" s="27"/>
      <c r="BPO22" s="27"/>
      <c r="BPP22" s="27"/>
      <c r="BPQ22" s="27"/>
      <c r="BPR22" s="27"/>
      <c r="BPS22" s="27"/>
      <c r="BPT22" s="27"/>
      <c r="BPU22" s="27"/>
      <c r="BPV22" s="27"/>
      <c r="BPW22" s="27"/>
      <c r="BPX22" s="27"/>
      <c r="BPY22" s="27"/>
      <c r="BPZ22" s="27"/>
      <c r="BQA22" s="27"/>
      <c r="BQB22" s="27"/>
      <c r="BQC22" s="27"/>
      <c r="BQD22" s="27"/>
      <c r="BQE22" s="27"/>
      <c r="BQF22" s="27"/>
      <c r="BQG22" s="27"/>
      <c r="BQH22" s="27"/>
      <c r="BQI22" s="27"/>
      <c r="BQJ22" s="27"/>
      <c r="BQK22" s="27"/>
      <c r="BQL22" s="27"/>
      <c r="BQM22" s="27"/>
      <c r="BQN22" s="27"/>
      <c r="BQO22" s="27"/>
      <c r="BQP22" s="27"/>
      <c r="BQQ22" s="27"/>
      <c r="BQR22" s="27"/>
      <c r="BQS22" s="27"/>
      <c r="BQT22" s="27"/>
      <c r="BQU22" s="27"/>
      <c r="BQV22" s="27"/>
      <c r="BQW22" s="27"/>
      <c r="BQX22" s="27"/>
      <c r="BQY22" s="27"/>
      <c r="BQZ22" s="27"/>
      <c r="BRA22" s="27"/>
      <c r="BRB22" s="27"/>
      <c r="BRC22" s="27"/>
      <c r="BRD22" s="27"/>
      <c r="BRE22" s="27"/>
      <c r="BRF22" s="27"/>
      <c r="BRG22" s="27"/>
      <c r="BRH22" s="27"/>
      <c r="BRI22" s="27"/>
      <c r="BRJ22" s="27"/>
      <c r="BRK22" s="27"/>
      <c r="BRL22" s="27"/>
      <c r="BRM22" s="27"/>
      <c r="BRN22" s="27"/>
      <c r="BRO22" s="27"/>
      <c r="BRP22" s="27"/>
      <c r="BRQ22" s="27"/>
      <c r="BRR22" s="27"/>
      <c r="BRS22" s="27"/>
      <c r="BRT22" s="27"/>
      <c r="BRU22" s="27"/>
      <c r="BRV22" s="27"/>
      <c r="BRW22" s="27"/>
      <c r="BRX22" s="27"/>
      <c r="BRY22" s="27"/>
      <c r="BRZ22" s="27"/>
      <c r="BSA22" s="27"/>
      <c r="BSB22" s="27"/>
      <c r="BSC22" s="27"/>
      <c r="BSD22" s="27"/>
      <c r="BSE22" s="27"/>
      <c r="BSF22" s="27"/>
      <c r="BSG22" s="27"/>
      <c r="BSH22" s="27"/>
      <c r="BSI22" s="27"/>
      <c r="BSJ22" s="27"/>
      <c r="BSK22" s="27"/>
      <c r="BSL22" s="27"/>
      <c r="BSM22" s="27"/>
      <c r="BSN22" s="27"/>
      <c r="BSO22" s="27"/>
      <c r="BSP22" s="27"/>
      <c r="BSQ22" s="27"/>
      <c r="BSR22" s="27"/>
      <c r="BSS22" s="27"/>
      <c r="BST22" s="27"/>
      <c r="BSU22" s="27"/>
      <c r="BSV22" s="27"/>
      <c r="BSW22" s="27"/>
      <c r="BSX22" s="27"/>
      <c r="BSY22" s="27"/>
      <c r="BSZ22" s="27"/>
      <c r="BTA22" s="27"/>
      <c r="BTB22" s="27"/>
      <c r="BTC22" s="27"/>
      <c r="BTD22" s="27"/>
      <c r="BTE22" s="27"/>
      <c r="BTF22" s="27"/>
      <c r="BTG22" s="27"/>
      <c r="BTH22" s="27"/>
      <c r="BTI22" s="27"/>
      <c r="BTJ22" s="27"/>
      <c r="BTK22" s="27"/>
      <c r="BTL22" s="27"/>
      <c r="BTM22" s="27"/>
      <c r="BTN22" s="27"/>
      <c r="BTO22" s="27"/>
      <c r="BTP22" s="27"/>
      <c r="BTQ22" s="27"/>
      <c r="BTR22" s="27"/>
      <c r="BTS22" s="27"/>
      <c r="BTT22" s="27"/>
      <c r="BTU22" s="27"/>
      <c r="BTV22" s="27"/>
      <c r="BTW22" s="27"/>
      <c r="BTX22" s="27"/>
      <c r="BTY22" s="27"/>
      <c r="BTZ22" s="27"/>
      <c r="BUA22" s="27"/>
      <c r="BUB22" s="27"/>
      <c r="BUC22" s="27"/>
      <c r="BUD22" s="27"/>
      <c r="BUE22" s="27"/>
      <c r="BUF22" s="27"/>
      <c r="BUG22" s="27"/>
      <c r="BUH22" s="27"/>
      <c r="BUI22" s="27"/>
      <c r="BUJ22" s="27"/>
      <c r="BUK22" s="27"/>
      <c r="BUL22" s="27"/>
      <c r="BUM22" s="27"/>
      <c r="BUN22" s="27"/>
      <c r="BUO22" s="27"/>
      <c r="BUP22" s="27"/>
      <c r="BUQ22" s="27"/>
      <c r="BUR22" s="27"/>
      <c r="BUS22" s="27"/>
      <c r="BUT22" s="27"/>
      <c r="BUU22" s="27"/>
      <c r="BUV22" s="27"/>
      <c r="BUW22" s="27"/>
      <c r="BUX22" s="27"/>
      <c r="BUY22" s="27"/>
      <c r="BUZ22" s="27"/>
      <c r="BVA22" s="27"/>
      <c r="BVB22" s="27"/>
      <c r="BVC22" s="27"/>
      <c r="BVD22" s="27"/>
      <c r="BVE22" s="27"/>
      <c r="BVF22" s="27"/>
      <c r="BVG22" s="27"/>
      <c r="BVH22" s="27"/>
      <c r="BVI22" s="27"/>
      <c r="BVJ22" s="27"/>
      <c r="BVK22" s="27"/>
      <c r="BVL22" s="27"/>
      <c r="BVM22" s="27"/>
      <c r="BVN22" s="27"/>
      <c r="BVO22" s="27"/>
      <c r="BVP22" s="27"/>
      <c r="BVQ22" s="27"/>
      <c r="BVR22" s="27"/>
      <c r="BVS22" s="27"/>
      <c r="BVT22" s="27"/>
      <c r="BVU22" s="27"/>
      <c r="BVV22" s="27"/>
      <c r="BVW22" s="27"/>
      <c r="BVX22" s="27"/>
      <c r="BVY22" s="27"/>
      <c r="BVZ22" s="27"/>
      <c r="BWA22" s="27"/>
      <c r="BWB22" s="27"/>
      <c r="BWC22" s="27"/>
      <c r="BWD22" s="27"/>
      <c r="BWE22" s="27"/>
      <c r="BWF22" s="27"/>
      <c r="BWG22" s="27"/>
      <c r="BWH22" s="27"/>
      <c r="BWI22" s="27"/>
      <c r="BWJ22" s="27"/>
      <c r="BWK22" s="27"/>
      <c r="BWL22" s="27"/>
      <c r="BWM22" s="27"/>
      <c r="BWN22" s="27"/>
      <c r="BWO22" s="27"/>
      <c r="BWP22" s="27"/>
      <c r="BWQ22" s="27"/>
      <c r="BWR22" s="27"/>
      <c r="BWS22" s="27"/>
      <c r="BWT22" s="27"/>
      <c r="BWU22" s="27"/>
      <c r="BWV22" s="27"/>
      <c r="BWW22" s="27"/>
      <c r="BWX22" s="27"/>
      <c r="BWY22" s="27"/>
      <c r="BWZ22" s="27"/>
      <c r="BXA22" s="27"/>
      <c r="BXB22" s="27"/>
      <c r="BXC22" s="27"/>
      <c r="BXD22" s="27"/>
      <c r="BXE22" s="27"/>
      <c r="BXF22" s="27"/>
      <c r="BXG22" s="27"/>
      <c r="BXH22" s="27"/>
      <c r="BXI22" s="27"/>
      <c r="BXJ22" s="27"/>
      <c r="BXK22" s="27"/>
      <c r="BXL22" s="27"/>
      <c r="BXM22" s="27"/>
      <c r="BXN22" s="27"/>
      <c r="BXO22" s="27"/>
      <c r="BXP22" s="27"/>
      <c r="BXQ22" s="27"/>
      <c r="BXR22" s="27"/>
      <c r="BXS22" s="27"/>
      <c r="BXT22" s="27"/>
      <c r="BXU22" s="27"/>
      <c r="BXV22" s="27"/>
      <c r="BXW22" s="27"/>
      <c r="BXX22" s="27"/>
      <c r="BXY22" s="27"/>
      <c r="BXZ22" s="27"/>
      <c r="BYA22" s="27"/>
      <c r="BYB22" s="27"/>
      <c r="BYC22" s="27"/>
      <c r="BYD22" s="27"/>
      <c r="BYE22" s="27"/>
      <c r="BYF22" s="27"/>
      <c r="BYG22" s="27"/>
      <c r="BYH22" s="27"/>
      <c r="BYI22" s="27"/>
      <c r="BYJ22" s="27"/>
      <c r="BYK22" s="27"/>
      <c r="BYL22" s="27"/>
      <c r="BYM22" s="27"/>
      <c r="BYN22" s="27"/>
      <c r="BYO22" s="27"/>
      <c r="BYP22" s="27"/>
      <c r="BYQ22" s="27"/>
      <c r="BYR22" s="27"/>
      <c r="BYS22" s="27"/>
      <c r="BYT22" s="27"/>
      <c r="BYU22" s="27"/>
      <c r="BYV22" s="27"/>
      <c r="BYW22" s="27"/>
      <c r="BYX22" s="27"/>
      <c r="BYY22" s="27"/>
      <c r="BYZ22" s="27"/>
      <c r="BZA22" s="27"/>
      <c r="BZB22" s="27"/>
      <c r="BZC22" s="27"/>
      <c r="BZD22" s="27"/>
      <c r="BZE22" s="27"/>
      <c r="BZF22" s="27"/>
      <c r="BZG22" s="27"/>
      <c r="BZH22" s="27"/>
      <c r="BZI22" s="27"/>
      <c r="BZJ22" s="27"/>
      <c r="BZK22" s="27"/>
      <c r="BZL22" s="27"/>
      <c r="BZM22" s="27"/>
      <c r="BZN22" s="27"/>
      <c r="BZO22" s="27"/>
      <c r="BZP22" s="27"/>
      <c r="BZQ22" s="27"/>
      <c r="BZR22" s="27"/>
      <c r="BZS22" s="27"/>
      <c r="BZT22" s="27"/>
      <c r="BZU22" s="27"/>
      <c r="BZV22" s="27"/>
      <c r="BZW22" s="27"/>
      <c r="BZX22" s="27"/>
      <c r="BZY22" s="27"/>
      <c r="BZZ22" s="27"/>
      <c r="CAA22" s="27"/>
      <c r="CAB22" s="27"/>
      <c r="CAC22" s="27"/>
      <c r="CAD22" s="27"/>
      <c r="CAE22" s="27"/>
      <c r="CAF22" s="27"/>
      <c r="CAG22" s="27"/>
      <c r="CAH22" s="27"/>
      <c r="CAI22" s="27"/>
      <c r="CAJ22" s="27"/>
      <c r="CAK22" s="27"/>
      <c r="CAL22" s="27"/>
      <c r="CAM22" s="27"/>
      <c r="CAN22" s="27"/>
      <c r="CAO22" s="27"/>
      <c r="CAP22" s="27"/>
      <c r="CAQ22" s="27"/>
      <c r="CAR22" s="27"/>
      <c r="CAS22" s="27"/>
      <c r="CAT22" s="27"/>
      <c r="CAU22" s="27"/>
      <c r="CAV22" s="27"/>
      <c r="CAW22" s="27"/>
      <c r="CAX22" s="27"/>
      <c r="CAY22" s="27"/>
      <c r="CAZ22" s="27"/>
      <c r="CBA22" s="27"/>
      <c r="CBB22" s="27"/>
      <c r="CBC22" s="27"/>
      <c r="CBD22" s="27"/>
      <c r="CBE22" s="27"/>
      <c r="CBF22" s="27"/>
      <c r="CBG22" s="27"/>
      <c r="CBH22" s="27"/>
      <c r="CBI22" s="27"/>
      <c r="CBJ22" s="27"/>
      <c r="CBK22" s="27"/>
      <c r="CBL22" s="27"/>
      <c r="CBM22" s="27"/>
      <c r="CBN22" s="27"/>
      <c r="CBO22" s="27"/>
      <c r="CBP22" s="27"/>
      <c r="CBQ22" s="27"/>
      <c r="CBR22" s="27"/>
      <c r="CBS22" s="27"/>
      <c r="CBT22" s="27"/>
      <c r="CBU22" s="27"/>
      <c r="CBV22" s="27"/>
      <c r="CBW22" s="27"/>
      <c r="CBX22" s="27"/>
      <c r="CBY22" s="27"/>
      <c r="CBZ22" s="27"/>
      <c r="CCA22" s="27"/>
      <c r="CCB22" s="27"/>
      <c r="CCC22" s="27"/>
      <c r="CCD22" s="27"/>
      <c r="CCE22" s="27"/>
      <c r="CCF22" s="27"/>
      <c r="CCG22" s="27"/>
      <c r="CCH22" s="27"/>
      <c r="CCI22" s="27"/>
      <c r="CCJ22" s="27"/>
      <c r="CCK22" s="27"/>
      <c r="CCL22" s="27"/>
      <c r="CCM22" s="27"/>
      <c r="CCN22" s="27"/>
      <c r="CCO22" s="27"/>
      <c r="CCP22" s="27"/>
      <c r="CCQ22" s="27"/>
      <c r="CCR22" s="27"/>
      <c r="CCS22" s="27"/>
      <c r="CCT22" s="27"/>
      <c r="CCU22" s="27"/>
      <c r="CCV22" s="27"/>
      <c r="CCW22" s="27"/>
      <c r="CCX22" s="27"/>
      <c r="CCY22" s="27"/>
      <c r="CCZ22" s="27"/>
      <c r="CDA22" s="27"/>
      <c r="CDB22" s="27"/>
      <c r="CDC22" s="27"/>
      <c r="CDD22" s="27"/>
      <c r="CDE22" s="27"/>
      <c r="CDF22" s="27"/>
      <c r="CDG22" s="27"/>
      <c r="CDH22" s="27"/>
      <c r="CDI22" s="27"/>
      <c r="CDJ22" s="27"/>
      <c r="CDK22" s="27"/>
      <c r="CDL22" s="27"/>
      <c r="CDM22" s="27"/>
      <c r="CDN22" s="27"/>
      <c r="CDO22" s="27"/>
      <c r="CDP22" s="27"/>
      <c r="CDQ22" s="27"/>
      <c r="CDR22" s="27"/>
      <c r="CDS22" s="27"/>
      <c r="CDT22" s="27"/>
      <c r="CDU22" s="27"/>
      <c r="CDV22" s="27"/>
      <c r="CDW22" s="27"/>
      <c r="CDX22" s="27"/>
      <c r="CDY22" s="27"/>
      <c r="CDZ22" s="27"/>
      <c r="CEA22" s="27"/>
      <c r="CEB22" s="27"/>
      <c r="CEC22" s="27"/>
      <c r="CED22" s="27"/>
      <c r="CEE22" s="27"/>
      <c r="CEF22" s="27"/>
      <c r="CEG22" s="27"/>
      <c r="CEH22" s="27"/>
      <c r="CEI22" s="27"/>
      <c r="CEJ22" s="27"/>
      <c r="CEK22" s="27"/>
      <c r="CEL22" s="27"/>
      <c r="CEM22" s="27"/>
      <c r="CEN22" s="27"/>
      <c r="CEO22" s="27"/>
      <c r="CEP22" s="27"/>
      <c r="CEQ22" s="27"/>
      <c r="CER22" s="27"/>
      <c r="CES22" s="27"/>
      <c r="CET22" s="27"/>
      <c r="CEU22" s="27"/>
      <c r="CEV22" s="27"/>
      <c r="CEW22" s="27"/>
      <c r="CEX22" s="27"/>
      <c r="CEY22" s="27"/>
      <c r="CEZ22" s="27"/>
      <c r="CFA22" s="27"/>
      <c r="CFB22" s="27"/>
      <c r="CFC22" s="27"/>
      <c r="CFD22" s="27"/>
      <c r="CFE22" s="27"/>
      <c r="CFF22" s="27"/>
      <c r="CFG22" s="27"/>
      <c r="CFH22" s="27"/>
      <c r="CFI22" s="27"/>
      <c r="CFJ22" s="27"/>
      <c r="CFK22" s="27"/>
      <c r="CFL22" s="27"/>
      <c r="CFM22" s="27"/>
      <c r="CFN22" s="27"/>
      <c r="CFO22" s="27"/>
      <c r="CFP22" s="27"/>
      <c r="CFQ22" s="27"/>
      <c r="CFR22" s="27"/>
      <c r="CFS22" s="27"/>
      <c r="CFT22" s="27"/>
      <c r="CFU22" s="27"/>
      <c r="CFV22" s="27"/>
      <c r="CFW22" s="27"/>
      <c r="CFX22" s="27"/>
      <c r="CFY22" s="27"/>
      <c r="CFZ22" s="27"/>
      <c r="CGA22" s="27"/>
      <c r="CGB22" s="27"/>
      <c r="CGC22" s="27"/>
      <c r="CGD22" s="27"/>
      <c r="CGE22" s="27"/>
      <c r="CGF22" s="27"/>
      <c r="CGG22" s="27"/>
      <c r="CGH22" s="27"/>
      <c r="CGI22" s="27"/>
      <c r="CGJ22" s="27"/>
      <c r="CGK22" s="27"/>
      <c r="CGL22" s="27"/>
      <c r="CGM22" s="27"/>
      <c r="CGN22" s="27"/>
      <c r="CGO22" s="27"/>
      <c r="CGP22" s="27"/>
      <c r="CGQ22" s="27"/>
      <c r="CGR22" s="27"/>
      <c r="CGS22" s="27"/>
      <c r="CGT22" s="27"/>
      <c r="CGU22" s="27"/>
      <c r="CGV22" s="27"/>
      <c r="CGW22" s="27"/>
      <c r="CGX22" s="27"/>
      <c r="CGY22" s="27"/>
      <c r="CGZ22" s="27"/>
      <c r="CHA22" s="27"/>
      <c r="CHB22" s="27"/>
      <c r="CHC22" s="27"/>
      <c r="CHD22" s="27"/>
      <c r="CHE22" s="27"/>
      <c r="CHF22" s="27"/>
      <c r="CHG22" s="27"/>
      <c r="CHH22" s="27"/>
      <c r="CHI22" s="27"/>
      <c r="CHJ22" s="27"/>
      <c r="CHK22" s="27"/>
      <c r="CHL22" s="27"/>
      <c r="CHM22" s="27"/>
      <c r="CHN22" s="27"/>
      <c r="CHO22" s="27"/>
      <c r="CHP22" s="27"/>
      <c r="CHQ22" s="27"/>
      <c r="CHR22" s="27"/>
      <c r="CHS22" s="27"/>
      <c r="CHT22" s="27"/>
      <c r="CHU22" s="27"/>
      <c r="CHV22" s="27"/>
      <c r="CHW22" s="27"/>
      <c r="CHX22" s="27"/>
      <c r="CHY22" s="27"/>
      <c r="CHZ22" s="27"/>
      <c r="CIA22" s="27"/>
      <c r="CIB22" s="27"/>
      <c r="CIC22" s="27"/>
      <c r="CID22" s="27"/>
      <c r="CIE22" s="27"/>
      <c r="CIF22" s="27"/>
      <c r="CIG22" s="27"/>
      <c r="CIH22" s="27"/>
      <c r="CII22" s="27"/>
      <c r="CIJ22" s="27"/>
      <c r="CIK22" s="27"/>
      <c r="CIL22" s="27"/>
      <c r="CIM22" s="27"/>
      <c r="CIN22" s="27"/>
      <c r="CIO22" s="27"/>
      <c r="CIP22" s="27"/>
      <c r="CIQ22" s="27"/>
      <c r="CIR22" s="27"/>
      <c r="CIS22" s="27"/>
      <c r="CIT22" s="27"/>
      <c r="CIU22" s="27"/>
      <c r="CIV22" s="27"/>
      <c r="CIW22" s="27"/>
      <c r="CIX22" s="27"/>
      <c r="CIY22" s="27"/>
      <c r="CIZ22" s="27"/>
      <c r="CJA22" s="27"/>
      <c r="CJB22" s="27"/>
      <c r="CJC22" s="27"/>
      <c r="CJD22" s="27"/>
      <c r="CJE22" s="27"/>
      <c r="CJF22" s="27"/>
      <c r="CJG22" s="27"/>
      <c r="CJH22" s="27"/>
      <c r="CJI22" s="27"/>
      <c r="CJJ22" s="27"/>
      <c r="CJK22" s="27"/>
      <c r="CJL22" s="27"/>
      <c r="CJM22" s="27"/>
      <c r="CJN22" s="27"/>
      <c r="CJO22" s="27"/>
      <c r="CJP22" s="27"/>
      <c r="CJQ22" s="27"/>
      <c r="CJR22" s="27"/>
      <c r="CJS22" s="27"/>
      <c r="CJT22" s="27"/>
      <c r="CJU22" s="27"/>
      <c r="CJV22" s="27"/>
      <c r="CJW22" s="27"/>
      <c r="CJX22" s="27"/>
      <c r="CJY22" s="27"/>
      <c r="CJZ22" s="27"/>
      <c r="CKA22" s="27"/>
      <c r="CKB22" s="27"/>
      <c r="CKC22" s="27"/>
      <c r="CKD22" s="27"/>
      <c r="CKE22" s="27"/>
      <c r="CKF22" s="27"/>
      <c r="CKG22" s="27"/>
      <c r="CKH22" s="27"/>
      <c r="CKI22" s="27"/>
      <c r="CKJ22" s="27"/>
      <c r="CKK22" s="27"/>
      <c r="CKL22" s="27"/>
      <c r="CKM22" s="27"/>
      <c r="CKN22" s="27"/>
      <c r="CKO22" s="27"/>
      <c r="CKP22" s="27"/>
      <c r="CKQ22" s="27"/>
      <c r="CKR22" s="27"/>
      <c r="CKS22" s="27"/>
      <c r="CKT22" s="27"/>
      <c r="CKU22" s="27"/>
      <c r="CKV22" s="27"/>
      <c r="CKW22" s="27"/>
      <c r="CKX22" s="27"/>
      <c r="CKY22" s="27"/>
      <c r="CKZ22" s="27"/>
      <c r="CLA22" s="27"/>
      <c r="CLB22" s="27"/>
      <c r="CLC22" s="27"/>
      <c r="CLD22" s="27"/>
      <c r="CLE22" s="27"/>
      <c r="CLF22" s="27"/>
      <c r="CLG22" s="27"/>
      <c r="CLH22" s="27"/>
      <c r="CLI22" s="27"/>
      <c r="CLJ22" s="27"/>
      <c r="CLK22" s="27"/>
      <c r="CLL22" s="27"/>
      <c r="CLM22" s="27"/>
      <c r="CLN22" s="27"/>
      <c r="CLO22" s="27"/>
      <c r="CLP22" s="27"/>
      <c r="CLQ22" s="27"/>
      <c r="CLR22" s="27"/>
      <c r="CLS22" s="27"/>
      <c r="CLT22" s="27"/>
      <c r="CLU22" s="27"/>
      <c r="CLV22" s="27"/>
      <c r="CLW22" s="27"/>
      <c r="CLX22" s="27"/>
      <c r="CLY22" s="27"/>
      <c r="CLZ22" s="27"/>
      <c r="CMA22" s="27"/>
      <c r="CMB22" s="27"/>
      <c r="CMC22" s="27"/>
      <c r="CMD22" s="27"/>
      <c r="CME22" s="27"/>
      <c r="CMF22" s="27"/>
      <c r="CMG22" s="27"/>
      <c r="CMH22" s="27"/>
      <c r="CMI22" s="27"/>
      <c r="CMJ22" s="27"/>
      <c r="CMK22" s="27"/>
      <c r="CML22" s="27"/>
      <c r="CMM22" s="27"/>
      <c r="CMN22" s="27"/>
      <c r="CMO22" s="27"/>
      <c r="CMP22" s="27"/>
      <c r="CMQ22" s="27"/>
      <c r="CMR22" s="27"/>
      <c r="CMS22" s="27"/>
      <c r="CMT22" s="27"/>
      <c r="CMU22" s="27"/>
      <c r="CMV22" s="27"/>
      <c r="CMW22" s="27"/>
      <c r="CMX22" s="27"/>
      <c r="CMY22" s="27"/>
      <c r="CMZ22" s="27"/>
      <c r="CNA22" s="27"/>
      <c r="CNB22" s="27"/>
      <c r="CNC22" s="27"/>
      <c r="CND22" s="27"/>
      <c r="CNE22" s="27"/>
      <c r="CNF22" s="27"/>
      <c r="CNG22" s="27"/>
      <c r="CNH22" s="27"/>
      <c r="CNI22" s="27"/>
      <c r="CNJ22" s="27"/>
      <c r="CNK22" s="27"/>
      <c r="CNL22" s="27"/>
      <c r="CNM22" s="27"/>
      <c r="CNN22" s="27"/>
      <c r="CNO22" s="27"/>
      <c r="CNP22" s="27"/>
      <c r="CNQ22" s="27"/>
      <c r="CNR22" s="27"/>
      <c r="CNS22" s="27"/>
      <c r="CNT22" s="27"/>
      <c r="CNU22" s="27"/>
      <c r="CNV22" s="27"/>
      <c r="CNW22" s="27"/>
      <c r="CNX22" s="27"/>
      <c r="CNY22" s="27"/>
      <c r="CNZ22" s="27"/>
      <c r="COA22" s="27"/>
      <c r="COB22" s="27"/>
      <c r="COC22" s="27"/>
      <c r="COD22" s="27"/>
      <c r="COE22" s="27"/>
      <c r="COF22" s="27"/>
      <c r="COG22" s="27"/>
      <c r="COH22" s="27"/>
      <c r="COI22" s="27"/>
      <c r="COJ22" s="27"/>
      <c r="COK22" s="27"/>
      <c r="COL22" s="27"/>
      <c r="COM22" s="27"/>
      <c r="CON22" s="27"/>
      <c r="COO22" s="27"/>
      <c r="COP22" s="27"/>
      <c r="COQ22" s="27"/>
      <c r="COR22" s="27"/>
      <c r="COS22" s="27"/>
      <c r="COT22" s="27"/>
      <c r="COU22" s="27"/>
      <c r="COV22" s="27"/>
      <c r="COW22" s="27"/>
      <c r="COX22" s="27"/>
      <c r="COY22" s="27"/>
      <c r="COZ22" s="27"/>
      <c r="CPA22" s="27"/>
      <c r="CPB22" s="27"/>
      <c r="CPC22" s="27"/>
      <c r="CPD22" s="27"/>
      <c r="CPE22" s="27"/>
      <c r="CPF22" s="27"/>
      <c r="CPG22" s="27"/>
      <c r="CPH22" s="27"/>
      <c r="CPI22" s="27"/>
      <c r="CPJ22" s="27"/>
      <c r="CPK22" s="27"/>
      <c r="CPL22" s="27"/>
      <c r="CPM22" s="27"/>
      <c r="CPN22" s="27"/>
      <c r="CPO22" s="27"/>
      <c r="CPP22" s="27"/>
      <c r="CPQ22" s="27"/>
      <c r="CPR22" s="27"/>
      <c r="CPS22" s="27"/>
      <c r="CPT22" s="27"/>
      <c r="CPU22" s="27"/>
      <c r="CPV22" s="27"/>
      <c r="CPW22" s="27"/>
      <c r="CPX22" s="27"/>
      <c r="CPY22" s="27"/>
      <c r="CPZ22" s="27"/>
      <c r="CQA22" s="27"/>
      <c r="CQB22" s="27"/>
      <c r="CQC22" s="27"/>
      <c r="CQD22" s="27"/>
      <c r="CQE22" s="27"/>
      <c r="CQF22" s="27"/>
      <c r="CQG22" s="27"/>
      <c r="CQH22" s="27"/>
      <c r="CQI22" s="27"/>
      <c r="CQJ22" s="27"/>
      <c r="CQK22" s="27"/>
      <c r="CQL22" s="27"/>
      <c r="CQM22" s="27"/>
      <c r="CQN22" s="27"/>
      <c r="CQO22" s="27"/>
      <c r="CQP22" s="27"/>
      <c r="CQQ22" s="27"/>
      <c r="CQR22" s="27"/>
      <c r="CQS22" s="27"/>
      <c r="CQT22" s="27"/>
      <c r="CQU22" s="27"/>
      <c r="CQV22" s="27"/>
      <c r="CQW22" s="27"/>
      <c r="CQX22" s="27"/>
      <c r="CQY22" s="27"/>
      <c r="CQZ22" s="27"/>
      <c r="CRA22" s="27"/>
      <c r="CRB22" s="27"/>
      <c r="CRC22" s="27"/>
      <c r="CRD22" s="27"/>
      <c r="CRE22" s="27"/>
      <c r="CRF22" s="27"/>
      <c r="CRG22" s="27"/>
      <c r="CRH22" s="27"/>
      <c r="CRI22" s="27"/>
      <c r="CRJ22" s="27"/>
      <c r="CRK22" s="27"/>
      <c r="CRL22" s="27"/>
      <c r="CRM22" s="27"/>
      <c r="CRN22" s="27"/>
      <c r="CRO22" s="27"/>
      <c r="CRP22" s="27"/>
      <c r="CRQ22" s="27"/>
      <c r="CRR22" s="27"/>
      <c r="CRS22" s="27"/>
      <c r="CRT22" s="27"/>
      <c r="CRU22" s="27"/>
      <c r="CRV22" s="27"/>
      <c r="CRW22" s="27"/>
      <c r="CRX22" s="27"/>
      <c r="CRY22" s="27"/>
      <c r="CRZ22" s="27"/>
      <c r="CSA22" s="27"/>
      <c r="CSB22" s="27"/>
      <c r="CSC22" s="27"/>
      <c r="CSD22" s="27"/>
      <c r="CSE22" s="27"/>
      <c r="CSF22" s="27"/>
      <c r="CSG22" s="27"/>
      <c r="CSH22" s="27"/>
      <c r="CSI22" s="27"/>
      <c r="CSJ22" s="27"/>
      <c r="CSK22" s="27"/>
      <c r="CSL22" s="27"/>
      <c r="CSM22" s="27"/>
      <c r="CSN22" s="27"/>
      <c r="CSO22" s="27"/>
      <c r="CSP22" s="27"/>
      <c r="CSQ22" s="27"/>
      <c r="CSR22" s="27"/>
      <c r="CSS22" s="27"/>
      <c r="CST22" s="27"/>
      <c r="CSU22" s="27"/>
      <c r="CSV22" s="27"/>
      <c r="CSW22" s="27"/>
      <c r="CSX22" s="27"/>
      <c r="CSY22" s="27"/>
      <c r="CSZ22" s="27"/>
      <c r="CTA22" s="27"/>
      <c r="CTB22" s="27"/>
      <c r="CTC22" s="27"/>
      <c r="CTD22" s="27"/>
      <c r="CTE22" s="27"/>
      <c r="CTF22" s="27"/>
      <c r="CTG22" s="27"/>
      <c r="CTH22" s="27"/>
      <c r="CTI22" s="27"/>
      <c r="CTJ22" s="27"/>
      <c r="CTK22" s="27"/>
      <c r="CTL22" s="27"/>
      <c r="CTM22" s="27"/>
      <c r="CTN22" s="27"/>
      <c r="CTO22" s="27"/>
      <c r="CTP22" s="27"/>
      <c r="CTQ22" s="27"/>
      <c r="CTR22" s="27"/>
      <c r="CTS22" s="27"/>
      <c r="CTT22" s="27"/>
      <c r="CTU22" s="27"/>
      <c r="CTV22" s="27"/>
      <c r="CTW22" s="27"/>
      <c r="CTX22" s="27"/>
      <c r="CTY22" s="27"/>
      <c r="CTZ22" s="27"/>
      <c r="CUA22" s="27"/>
    </row>
    <row r="23" s="30" customFormat="1" spans="1:2575">
      <c r="A23" s="268">
        <v>32</v>
      </c>
      <c r="B23" s="268" t="s">
        <v>14</v>
      </c>
      <c r="C23" s="268" t="s">
        <v>37</v>
      </c>
      <c r="D23" s="82" t="s">
        <v>262</v>
      </c>
      <c r="E23" s="118" t="s">
        <v>732</v>
      </c>
      <c r="F23" s="31" t="s">
        <v>738</v>
      </c>
      <c r="G23" s="31" t="s">
        <v>734</v>
      </c>
      <c r="H23" s="119" t="s">
        <v>739</v>
      </c>
      <c r="I23" s="32">
        <v>2012.08</v>
      </c>
      <c r="J23" s="31" t="s">
        <v>42</v>
      </c>
      <c r="K23" s="31" t="s">
        <v>42</v>
      </c>
      <c r="L23" s="31" t="s">
        <v>667</v>
      </c>
      <c r="M23" s="29" t="s">
        <v>674</v>
      </c>
      <c r="N23" s="94">
        <v>45574</v>
      </c>
      <c r="O23" s="94">
        <v>45938</v>
      </c>
      <c r="P23" s="29">
        <v>500</v>
      </c>
      <c r="Q23" s="133"/>
      <c r="R23" s="82"/>
      <c r="S23" s="26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</row>
    <row r="24" s="30" customFormat="1" spans="1:2575">
      <c r="A24" s="268">
        <v>33</v>
      </c>
      <c r="B24" s="268" t="s">
        <v>14</v>
      </c>
      <c r="C24" s="268" t="s">
        <v>54</v>
      </c>
      <c r="D24" s="82" t="s">
        <v>262</v>
      </c>
      <c r="E24" s="29" t="s">
        <v>732</v>
      </c>
      <c r="F24" s="31" t="s">
        <v>740</v>
      </c>
      <c r="G24" s="31" t="s">
        <v>734</v>
      </c>
      <c r="H24" s="119" t="s">
        <v>741</v>
      </c>
      <c r="I24" s="32">
        <v>2012.08</v>
      </c>
      <c r="J24" s="31" t="s">
        <v>42</v>
      </c>
      <c r="K24" s="31" t="s">
        <v>42</v>
      </c>
      <c r="L24" s="31" t="s">
        <v>667</v>
      </c>
      <c r="M24" s="29" t="s">
        <v>674</v>
      </c>
      <c r="N24" s="94">
        <v>45574</v>
      </c>
      <c r="O24" s="94">
        <v>45938</v>
      </c>
      <c r="P24" s="29">
        <v>500</v>
      </c>
      <c r="Q24" s="82"/>
      <c r="R24" s="133"/>
      <c r="S24" s="26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</row>
    <row r="25" s="30" customFormat="1" ht="16" customHeight="1" spans="1:2575">
      <c r="A25" s="268">
        <v>34</v>
      </c>
      <c r="B25" s="268" t="s">
        <v>13</v>
      </c>
      <c r="C25" s="268" t="s">
        <v>37</v>
      </c>
      <c r="D25" s="82" t="s">
        <v>330</v>
      </c>
      <c r="E25" s="118" t="s">
        <v>742</v>
      </c>
      <c r="F25" s="31" t="s">
        <v>743</v>
      </c>
      <c r="G25" s="273" t="s">
        <v>744</v>
      </c>
      <c r="H25" s="274">
        <v>10040176</v>
      </c>
      <c r="I25" s="274">
        <v>2010.1</v>
      </c>
      <c r="J25" s="119" t="s">
        <v>745</v>
      </c>
      <c r="K25" s="31" t="s">
        <v>42</v>
      </c>
      <c r="L25" s="31" t="s">
        <v>667</v>
      </c>
      <c r="M25" s="29" t="s">
        <v>674</v>
      </c>
      <c r="N25" s="94">
        <v>45574</v>
      </c>
      <c r="O25" s="94">
        <v>45938</v>
      </c>
      <c r="P25" s="29">
        <v>300</v>
      </c>
      <c r="Q25" s="251"/>
      <c r="R25" s="251"/>
      <c r="S25" s="26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  <c r="AMK25" s="27"/>
      <c r="AML25" s="27"/>
      <c r="AMM25" s="27"/>
      <c r="AMN25" s="27"/>
      <c r="AMO25" s="27"/>
      <c r="AMP25" s="27"/>
      <c r="AMQ25" s="27"/>
      <c r="AMR25" s="27"/>
      <c r="AMS25" s="27"/>
      <c r="AMT25" s="27"/>
      <c r="AMU25" s="27"/>
      <c r="AMV25" s="27"/>
      <c r="AMW25" s="27"/>
      <c r="AMX25" s="27"/>
      <c r="AMY25" s="27"/>
      <c r="AMZ25" s="27"/>
      <c r="ANA25" s="27"/>
      <c r="ANB25" s="27"/>
      <c r="ANC25" s="27"/>
      <c r="AND25" s="27"/>
      <c r="ANE25" s="27"/>
      <c r="ANF25" s="27"/>
      <c r="ANG25" s="27"/>
      <c r="ANH25" s="27"/>
      <c r="ANI25" s="27"/>
      <c r="ANJ25" s="27"/>
      <c r="ANK25" s="27"/>
      <c r="ANL25" s="27"/>
      <c r="ANM25" s="27"/>
      <c r="ANN25" s="27"/>
      <c r="ANO25" s="27"/>
      <c r="ANP25" s="27"/>
      <c r="ANQ25" s="27"/>
      <c r="ANR25" s="27"/>
      <c r="ANS25" s="27"/>
      <c r="ANT25" s="27"/>
      <c r="ANU25" s="27"/>
      <c r="ANV25" s="27"/>
      <c r="ANW25" s="27"/>
      <c r="ANX25" s="27"/>
      <c r="ANY25" s="27"/>
      <c r="ANZ25" s="27"/>
      <c r="AOA25" s="27"/>
      <c r="AOB25" s="27"/>
      <c r="AOC25" s="27"/>
      <c r="AOD25" s="27"/>
      <c r="AOE25" s="27"/>
      <c r="AOF25" s="27"/>
      <c r="AOG25" s="27"/>
      <c r="AOH25" s="27"/>
      <c r="AOI25" s="27"/>
      <c r="AOJ25" s="27"/>
      <c r="AOK25" s="27"/>
      <c r="AOL25" s="27"/>
      <c r="AOM25" s="27"/>
      <c r="AON25" s="27"/>
      <c r="AOO25" s="27"/>
      <c r="AOP25" s="27"/>
      <c r="AOQ25" s="27"/>
      <c r="AOR25" s="27"/>
      <c r="AOS25" s="27"/>
      <c r="AOT25" s="27"/>
      <c r="AOU25" s="27"/>
      <c r="AOV25" s="27"/>
      <c r="AOW25" s="27"/>
      <c r="AOX25" s="27"/>
      <c r="AOY25" s="27"/>
      <c r="AOZ25" s="27"/>
      <c r="APA25" s="27"/>
      <c r="APB25" s="27"/>
      <c r="APC25" s="27"/>
      <c r="APD25" s="27"/>
      <c r="APE25" s="27"/>
      <c r="APF25" s="27"/>
      <c r="APG25" s="27"/>
      <c r="APH25" s="27"/>
      <c r="API25" s="27"/>
      <c r="APJ25" s="27"/>
      <c r="APK25" s="27"/>
      <c r="APL25" s="27"/>
      <c r="APM25" s="27"/>
      <c r="APN25" s="27"/>
      <c r="APO25" s="27"/>
      <c r="APP25" s="27"/>
      <c r="APQ25" s="27"/>
      <c r="APR25" s="27"/>
      <c r="APS25" s="27"/>
      <c r="APT25" s="27"/>
      <c r="APU25" s="27"/>
      <c r="APV25" s="27"/>
      <c r="APW25" s="27"/>
      <c r="APX25" s="27"/>
      <c r="APY25" s="27"/>
      <c r="APZ25" s="27"/>
      <c r="AQA25" s="27"/>
      <c r="AQB25" s="27"/>
      <c r="AQC25" s="27"/>
      <c r="AQD25" s="27"/>
      <c r="AQE25" s="27"/>
      <c r="AQF25" s="27"/>
      <c r="AQG25" s="27"/>
      <c r="AQH25" s="27"/>
      <c r="AQI25" s="27"/>
      <c r="AQJ25" s="27"/>
      <c r="AQK25" s="27"/>
      <c r="AQL25" s="27"/>
      <c r="AQM25" s="27"/>
      <c r="AQN25" s="27"/>
      <c r="AQO25" s="27"/>
      <c r="AQP25" s="27"/>
      <c r="AQQ25" s="27"/>
      <c r="AQR25" s="27"/>
      <c r="AQS25" s="27"/>
      <c r="AQT25" s="27"/>
      <c r="AQU25" s="27"/>
      <c r="AQV25" s="27"/>
      <c r="AQW25" s="27"/>
      <c r="AQX25" s="27"/>
      <c r="AQY25" s="27"/>
      <c r="AQZ25" s="27"/>
      <c r="ARA25" s="27"/>
      <c r="ARB25" s="27"/>
      <c r="ARC25" s="27"/>
      <c r="ARD25" s="27"/>
      <c r="ARE25" s="27"/>
      <c r="ARF25" s="27"/>
      <c r="ARG25" s="27"/>
      <c r="ARH25" s="27"/>
      <c r="ARI25" s="27"/>
      <c r="ARJ25" s="27"/>
      <c r="ARK25" s="27"/>
      <c r="ARL25" s="27"/>
      <c r="ARM25" s="27"/>
      <c r="ARN25" s="27"/>
      <c r="ARO25" s="27"/>
      <c r="ARP25" s="27"/>
      <c r="ARQ25" s="27"/>
      <c r="ARR25" s="27"/>
      <c r="ARS25" s="27"/>
      <c r="ART25" s="27"/>
      <c r="ARU25" s="27"/>
      <c r="ARV25" s="27"/>
      <c r="ARW25" s="27"/>
      <c r="ARX25" s="27"/>
      <c r="ARY25" s="27"/>
      <c r="ARZ25" s="27"/>
      <c r="ASA25" s="27"/>
      <c r="ASB25" s="27"/>
      <c r="ASC25" s="27"/>
      <c r="ASD25" s="27"/>
      <c r="ASE25" s="27"/>
      <c r="ASF25" s="27"/>
      <c r="ASG25" s="27"/>
      <c r="ASH25" s="27"/>
      <c r="ASI25" s="27"/>
      <c r="ASJ25" s="27"/>
      <c r="ASK25" s="27"/>
      <c r="ASL25" s="27"/>
      <c r="ASM25" s="27"/>
      <c r="ASN25" s="27"/>
      <c r="ASO25" s="27"/>
      <c r="ASP25" s="27"/>
      <c r="ASQ25" s="27"/>
      <c r="ASR25" s="27"/>
      <c r="ASS25" s="27"/>
      <c r="AST25" s="27"/>
      <c r="ASU25" s="27"/>
      <c r="ASV25" s="27"/>
      <c r="ASW25" s="27"/>
      <c r="ASX25" s="27"/>
      <c r="ASY25" s="27"/>
      <c r="ASZ25" s="27"/>
      <c r="ATA25" s="27"/>
      <c r="ATB25" s="27"/>
      <c r="ATC25" s="27"/>
      <c r="ATD25" s="27"/>
      <c r="ATE25" s="27"/>
      <c r="ATF25" s="27"/>
      <c r="ATG25" s="27"/>
      <c r="ATH25" s="27"/>
      <c r="ATI25" s="27"/>
      <c r="ATJ25" s="27"/>
      <c r="ATK25" s="27"/>
      <c r="ATL25" s="27"/>
      <c r="ATM25" s="27"/>
      <c r="ATN25" s="27"/>
      <c r="ATO25" s="27"/>
      <c r="ATP25" s="27"/>
      <c r="ATQ25" s="27"/>
      <c r="ATR25" s="27"/>
      <c r="ATS25" s="27"/>
      <c r="ATT25" s="27"/>
      <c r="ATU25" s="27"/>
      <c r="ATV25" s="27"/>
      <c r="ATW25" s="27"/>
      <c r="ATX25" s="27"/>
      <c r="ATY25" s="27"/>
      <c r="ATZ25" s="27"/>
      <c r="AUA25" s="27"/>
      <c r="AUB25" s="27"/>
      <c r="AUC25" s="27"/>
      <c r="AUD25" s="27"/>
      <c r="AUE25" s="27"/>
      <c r="AUF25" s="27"/>
      <c r="AUG25" s="27"/>
      <c r="AUH25" s="27"/>
      <c r="AUI25" s="27"/>
      <c r="AUJ25" s="27"/>
      <c r="AUK25" s="27"/>
      <c r="AUL25" s="27"/>
      <c r="AUM25" s="27"/>
      <c r="AUN25" s="27"/>
      <c r="AUO25" s="27"/>
      <c r="AUP25" s="27"/>
      <c r="AUQ25" s="27"/>
      <c r="AUR25" s="27"/>
      <c r="AUS25" s="27"/>
      <c r="AUT25" s="27"/>
      <c r="AUU25" s="27"/>
      <c r="AUV25" s="27"/>
      <c r="AUW25" s="27"/>
      <c r="AUX25" s="27"/>
      <c r="AUY25" s="27"/>
      <c r="AUZ25" s="27"/>
      <c r="AVA25" s="27"/>
      <c r="AVB25" s="27"/>
      <c r="AVC25" s="27"/>
      <c r="AVD25" s="27"/>
      <c r="AVE25" s="27"/>
      <c r="AVF25" s="27"/>
      <c r="AVG25" s="27"/>
      <c r="AVH25" s="27"/>
      <c r="AVI25" s="27"/>
      <c r="AVJ25" s="27"/>
      <c r="AVK25" s="27"/>
      <c r="AVL25" s="27"/>
      <c r="AVM25" s="27"/>
      <c r="AVN25" s="27"/>
      <c r="AVO25" s="27"/>
      <c r="AVP25" s="27"/>
      <c r="AVQ25" s="27"/>
      <c r="AVR25" s="27"/>
      <c r="AVS25" s="27"/>
      <c r="AVT25" s="27"/>
      <c r="AVU25" s="27"/>
      <c r="AVV25" s="27"/>
      <c r="AVW25" s="27"/>
      <c r="AVX25" s="27"/>
      <c r="AVY25" s="27"/>
      <c r="AVZ25" s="27"/>
      <c r="AWA25" s="27"/>
      <c r="AWB25" s="27"/>
      <c r="AWC25" s="27"/>
      <c r="AWD25" s="27"/>
      <c r="AWE25" s="27"/>
      <c r="AWF25" s="27"/>
      <c r="AWG25" s="27"/>
      <c r="AWH25" s="27"/>
      <c r="AWI25" s="27"/>
      <c r="AWJ25" s="27"/>
      <c r="AWK25" s="27"/>
      <c r="AWL25" s="27"/>
      <c r="AWM25" s="27"/>
      <c r="AWN25" s="27"/>
      <c r="AWO25" s="27"/>
      <c r="AWP25" s="27"/>
      <c r="AWQ25" s="27"/>
      <c r="AWR25" s="27"/>
      <c r="AWS25" s="27"/>
      <c r="AWT25" s="27"/>
      <c r="AWU25" s="27"/>
      <c r="AWV25" s="27"/>
      <c r="AWW25" s="27"/>
      <c r="AWX25" s="27"/>
      <c r="AWY25" s="27"/>
      <c r="AWZ25" s="27"/>
      <c r="AXA25" s="27"/>
      <c r="AXB25" s="27"/>
      <c r="AXC25" s="27"/>
      <c r="AXD25" s="27"/>
      <c r="AXE25" s="27"/>
      <c r="AXF25" s="27"/>
      <c r="AXG25" s="27"/>
      <c r="AXH25" s="27"/>
      <c r="AXI25" s="27"/>
      <c r="AXJ25" s="27"/>
      <c r="AXK25" s="27"/>
      <c r="AXL25" s="27"/>
      <c r="AXM25" s="27"/>
      <c r="AXN25" s="27"/>
      <c r="AXO25" s="27"/>
      <c r="AXP25" s="27"/>
      <c r="AXQ25" s="27"/>
      <c r="AXR25" s="27"/>
      <c r="AXS25" s="27"/>
      <c r="AXT25" s="27"/>
      <c r="AXU25" s="27"/>
      <c r="AXV25" s="27"/>
      <c r="AXW25" s="27"/>
      <c r="AXX25" s="27"/>
      <c r="AXY25" s="27"/>
      <c r="AXZ25" s="27"/>
      <c r="AYA25" s="27"/>
      <c r="AYB25" s="27"/>
      <c r="AYC25" s="27"/>
      <c r="AYD25" s="27"/>
      <c r="AYE25" s="27"/>
      <c r="AYF25" s="27"/>
      <c r="AYG25" s="27"/>
      <c r="AYH25" s="27"/>
      <c r="AYI25" s="27"/>
      <c r="AYJ25" s="27"/>
      <c r="AYK25" s="27"/>
      <c r="AYL25" s="27"/>
      <c r="AYM25" s="27"/>
      <c r="AYN25" s="27"/>
      <c r="AYO25" s="27"/>
      <c r="AYP25" s="27"/>
      <c r="AYQ25" s="27"/>
      <c r="AYR25" s="27"/>
      <c r="AYS25" s="27"/>
      <c r="AYT25" s="27"/>
      <c r="AYU25" s="27"/>
      <c r="AYV25" s="27"/>
      <c r="AYW25" s="27"/>
      <c r="AYX25" s="27"/>
      <c r="AYY25" s="27"/>
      <c r="AYZ25" s="27"/>
      <c r="AZA25" s="27"/>
      <c r="AZB25" s="27"/>
      <c r="AZC25" s="27"/>
      <c r="AZD25" s="27"/>
      <c r="AZE25" s="27"/>
      <c r="AZF25" s="27"/>
      <c r="AZG25" s="27"/>
      <c r="AZH25" s="27"/>
      <c r="AZI25" s="27"/>
      <c r="AZJ25" s="27"/>
      <c r="AZK25" s="27"/>
      <c r="AZL25" s="27"/>
      <c r="AZM25" s="27"/>
      <c r="AZN25" s="27"/>
      <c r="AZO25" s="27"/>
      <c r="AZP25" s="27"/>
      <c r="AZQ25" s="27"/>
      <c r="AZR25" s="27"/>
      <c r="AZS25" s="27"/>
      <c r="AZT25" s="27"/>
      <c r="AZU25" s="27"/>
      <c r="AZV25" s="27"/>
      <c r="AZW25" s="27"/>
      <c r="AZX25" s="27"/>
      <c r="AZY25" s="27"/>
      <c r="AZZ25" s="27"/>
      <c r="BAA25" s="27"/>
      <c r="BAB25" s="27"/>
      <c r="BAC25" s="27"/>
      <c r="BAD25" s="27"/>
      <c r="BAE25" s="27"/>
      <c r="BAF25" s="27"/>
      <c r="BAG25" s="27"/>
      <c r="BAH25" s="27"/>
      <c r="BAI25" s="27"/>
      <c r="BAJ25" s="27"/>
      <c r="BAK25" s="27"/>
      <c r="BAL25" s="27"/>
      <c r="BAM25" s="27"/>
      <c r="BAN25" s="27"/>
      <c r="BAO25" s="27"/>
      <c r="BAP25" s="27"/>
      <c r="BAQ25" s="27"/>
      <c r="BAR25" s="27"/>
      <c r="BAS25" s="27"/>
      <c r="BAT25" s="27"/>
      <c r="BAU25" s="27"/>
      <c r="BAV25" s="27"/>
      <c r="BAW25" s="27"/>
      <c r="BAX25" s="27"/>
      <c r="BAY25" s="27"/>
      <c r="BAZ25" s="27"/>
      <c r="BBA25" s="27"/>
      <c r="BBB25" s="27"/>
      <c r="BBC25" s="27"/>
      <c r="BBD25" s="27"/>
      <c r="BBE25" s="27"/>
      <c r="BBF25" s="27"/>
      <c r="BBG25" s="27"/>
      <c r="BBH25" s="27"/>
      <c r="BBI25" s="27"/>
      <c r="BBJ25" s="27"/>
      <c r="BBK25" s="27"/>
      <c r="BBL25" s="27"/>
      <c r="BBM25" s="27"/>
      <c r="BBN25" s="27"/>
      <c r="BBO25" s="27"/>
      <c r="BBP25" s="27"/>
      <c r="BBQ25" s="27"/>
      <c r="BBR25" s="27"/>
      <c r="BBS25" s="27"/>
      <c r="BBT25" s="27"/>
      <c r="BBU25" s="27"/>
      <c r="BBV25" s="27"/>
      <c r="BBW25" s="27"/>
      <c r="BBX25" s="27"/>
      <c r="BBY25" s="27"/>
      <c r="BBZ25" s="27"/>
      <c r="BCA25" s="27"/>
      <c r="BCB25" s="27"/>
      <c r="BCC25" s="27"/>
      <c r="BCD25" s="27"/>
      <c r="BCE25" s="27"/>
      <c r="BCF25" s="27"/>
      <c r="BCG25" s="27"/>
      <c r="BCH25" s="27"/>
      <c r="BCI25" s="27"/>
      <c r="BCJ25" s="27"/>
      <c r="BCK25" s="27"/>
      <c r="BCL25" s="27"/>
      <c r="BCM25" s="27"/>
      <c r="BCN25" s="27"/>
      <c r="BCO25" s="27"/>
      <c r="BCP25" s="27"/>
      <c r="BCQ25" s="27"/>
      <c r="BCR25" s="27"/>
      <c r="BCS25" s="27"/>
      <c r="BCT25" s="27"/>
      <c r="BCU25" s="27"/>
      <c r="BCV25" s="27"/>
      <c r="BCW25" s="27"/>
      <c r="BCX25" s="27"/>
      <c r="BCY25" s="27"/>
      <c r="BCZ25" s="27"/>
      <c r="BDA25" s="27"/>
      <c r="BDB25" s="27"/>
      <c r="BDC25" s="27"/>
      <c r="BDD25" s="27"/>
      <c r="BDE25" s="27"/>
      <c r="BDF25" s="27"/>
      <c r="BDG25" s="27"/>
      <c r="BDH25" s="27"/>
      <c r="BDI25" s="27"/>
      <c r="BDJ25" s="27"/>
      <c r="BDK25" s="27"/>
      <c r="BDL25" s="27"/>
      <c r="BDM25" s="27"/>
      <c r="BDN25" s="27"/>
      <c r="BDO25" s="27"/>
      <c r="BDP25" s="27"/>
      <c r="BDQ25" s="27"/>
      <c r="BDR25" s="27"/>
      <c r="BDS25" s="27"/>
      <c r="BDT25" s="27"/>
      <c r="BDU25" s="27"/>
      <c r="BDV25" s="27"/>
      <c r="BDW25" s="27"/>
      <c r="BDX25" s="27"/>
      <c r="BDY25" s="27"/>
      <c r="BDZ25" s="27"/>
      <c r="BEA25" s="27"/>
      <c r="BEB25" s="27"/>
      <c r="BEC25" s="27"/>
      <c r="BED25" s="27"/>
      <c r="BEE25" s="27"/>
      <c r="BEF25" s="27"/>
      <c r="BEG25" s="27"/>
      <c r="BEH25" s="27"/>
      <c r="BEI25" s="27"/>
      <c r="BEJ25" s="27"/>
      <c r="BEK25" s="27"/>
      <c r="BEL25" s="27"/>
      <c r="BEM25" s="27"/>
      <c r="BEN25" s="27"/>
      <c r="BEO25" s="27"/>
      <c r="BEP25" s="27"/>
      <c r="BEQ25" s="27"/>
      <c r="BER25" s="27"/>
      <c r="BES25" s="27"/>
      <c r="BET25" s="27"/>
      <c r="BEU25" s="27"/>
      <c r="BEV25" s="27"/>
      <c r="BEW25" s="27"/>
      <c r="BEX25" s="27"/>
      <c r="BEY25" s="27"/>
      <c r="BEZ25" s="27"/>
      <c r="BFA25" s="27"/>
      <c r="BFB25" s="27"/>
      <c r="BFC25" s="27"/>
      <c r="BFD25" s="27"/>
      <c r="BFE25" s="27"/>
      <c r="BFF25" s="27"/>
      <c r="BFG25" s="27"/>
      <c r="BFH25" s="27"/>
      <c r="BFI25" s="27"/>
      <c r="BFJ25" s="27"/>
      <c r="BFK25" s="27"/>
      <c r="BFL25" s="27"/>
      <c r="BFM25" s="27"/>
      <c r="BFN25" s="27"/>
      <c r="BFO25" s="27"/>
      <c r="BFP25" s="27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7"/>
      <c r="BHD25" s="27"/>
      <c r="BHE25" s="27"/>
      <c r="BHF25" s="27"/>
      <c r="BHG25" s="27"/>
      <c r="BHH25" s="27"/>
      <c r="BHI25" s="27"/>
      <c r="BHJ25" s="27"/>
      <c r="BHK25" s="27"/>
      <c r="BHL25" s="27"/>
      <c r="BHM25" s="27"/>
      <c r="BHN25" s="27"/>
      <c r="BHO25" s="27"/>
      <c r="BHP25" s="27"/>
      <c r="BHQ25" s="27"/>
      <c r="BHR25" s="27"/>
      <c r="BHS25" s="27"/>
      <c r="BHT25" s="27"/>
      <c r="BHU25" s="27"/>
      <c r="BHV25" s="27"/>
      <c r="BHW25" s="27"/>
      <c r="BHX25" s="27"/>
      <c r="BHY25" s="27"/>
      <c r="BHZ25" s="27"/>
      <c r="BIA25" s="27"/>
      <c r="BIB25" s="27"/>
      <c r="BIC25" s="27"/>
      <c r="BID25" s="27"/>
      <c r="BIE25" s="27"/>
      <c r="BIF25" s="27"/>
      <c r="BIG25" s="27"/>
      <c r="BIH25" s="27"/>
      <c r="BII25" s="27"/>
      <c r="BIJ25" s="27"/>
      <c r="BIK25" s="27"/>
      <c r="BIL25" s="27"/>
      <c r="BIM25" s="27"/>
      <c r="BIN25" s="27"/>
      <c r="BIO25" s="27"/>
      <c r="BIP25" s="27"/>
      <c r="BIQ25" s="27"/>
      <c r="BIR25" s="27"/>
      <c r="BIS25" s="27"/>
      <c r="BIT25" s="27"/>
      <c r="BIU25" s="27"/>
      <c r="BIV25" s="27"/>
      <c r="BIW25" s="27"/>
      <c r="BIX25" s="27"/>
      <c r="BIY25" s="27"/>
      <c r="BIZ25" s="27"/>
      <c r="BJA25" s="27"/>
      <c r="BJB25" s="27"/>
      <c r="BJC25" s="27"/>
      <c r="BJD25" s="27"/>
      <c r="BJE25" s="27"/>
      <c r="BJF25" s="27"/>
      <c r="BJG25" s="27"/>
      <c r="BJH25" s="27"/>
      <c r="BJI25" s="27"/>
      <c r="BJJ25" s="27"/>
      <c r="BJK25" s="27"/>
      <c r="BJL25" s="27"/>
      <c r="BJM25" s="27"/>
      <c r="BJN25" s="27"/>
      <c r="BJO25" s="27"/>
      <c r="BJP25" s="27"/>
      <c r="BJQ25" s="27"/>
      <c r="BJR25" s="27"/>
      <c r="BJS25" s="27"/>
      <c r="BJT25" s="27"/>
      <c r="BJU25" s="27"/>
      <c r="BJV25" s="27"/>
      <c r="BJW25" s="27"/>
      <c r="BJX25" s="27"/>
      <c r="BJY25" s="27"/>
      <c r="BJZ25" s="27"/>
      <c r="BKA25" s="27"/>
      <c r="BKB25" s="27"/>
      <c r="BKC25" s="27"/>
      <c r="BKD25" s="27"/>
      <c r="BKE25" s="27"/>
      <c r="BKF25" s="27"/>
      <c r="BKG25" s="27"/>
      <c r="BKH25" s="27"/>
      <c r="BKI25" s="27"/>
      <c r="BKJ25" s="27"/>
      <c r="BKK25" s="27"/>
      <c r="BKL25" s="27"/>
      <c r="BKM25" s="27"/>
      <c r="BKN25" s="27"/>
      <c r="BKO25" s="27"/>
      <c r="BKP25" s="27"/>
      <c r="BKQ25" s="27"/>
      <c r="BKR25" s="27"/>
      <c r="BKS25" s="27"/>
      <c r="BKT25" s="27"/>
      <c r="BKU25" s="27"/>
      <c r="BKV25" s="27"/>
      <c r="BKW25" s="27"/>
      <c r="BKX25" s="27"/>
      <c r="BKY25" s="27"/>
      <c r="BKZ25" s="27"/>
      <c r="BLA25" s="27"/>
      <c r="BLB25" s="27"/>
      <c r="BLC25" s="27"/>
      <c r="BLD25" s="27"/>
      <c r="BLE25" s="27"/>
      <c r="BLF25" s="27"/>
      <c r="BLG25" s="27"/>
      <c r="BLH25" s="27"/>
      <c r="BLI25" s="27"/>
      <c r="BLJ25" s="27"/>
      <c r="BLK25" s="27"/>
      <c r="BLL25" s="27"/>
      <c r="BLM25" s="27"/>
      <c r="BLN25" s="27"/>
      <c r="BLO25" s="27"/>
      <c r="BLP25" s="27"/>
      <c r="BLQ25" s="27"/>
      <c r="BLR25" s="27"/>
      <c r="BLS25" s="27"/>
      <c r="BLT25" s="27"/>
      <c r="BLU25" s="27"/>
      <c r="BLV25" s="27"/>
      <c r="BLW25" s="27"/>
      <c r="BLX25" s="27"/>
      <c r="BLY25" s="27"/>
      <c r="BLZ25" s="27"/>
      <c r="BMA25" s="27"/>
      <c r="BMB25" s="27"/>
      <c r="BMC25" s="27"/>
      <c r="BMD25" s="27"/>
      <c r="BME25" s="27"/>
      <c r="BMF25" s="27"/>
      <c r="BMG25" s="27"/>
      <c r="BMH25" s="27"/>
      <c r="BMI25" s="27"/>
      <c r="BMJ25" s="27"/>
      <c r="BMK25" s="27"/>
      <c r="BML25" s="27"/>
      <c r="BMM25" s="27"/>
      <c r="BMN25" s="27"/>
      <c r="BMO25" s="27"/>
      <c r="BMP25" s="27"/>
      <c r="BMQ25" s="27"/>
      <c r="BMR25" s="27"/>
      <c r="BMS25" s="27"/>
      <c r="BMT25" s="27"/>
      <c r="BMU25" s="27"/>
      <c r="BMV25" s="27"/>
      <c r="BMW25" s="27"/>
      <c r="BMX25" s="27"/>
      <c r="BMY25" s="27"/>
      <c r="BMZ25" s="27"/>
      <c r="BNA25" s="27"/>
      <c r="BNB25" s="27"/>
      <c r="BNC25" s="27"/>
      <c r="BND25" s="27"/>
      <c r="BNE25" s="27"/>
      <c r="BNF25" s="27"/>
      <c r="BNG25" s="27"/>
      <c r="BNH25" s="27"/>
      <c r="BNI25" s="27"/>
      <c r="BNJ25" s="27"/>
      <c r="BNK25" s="27"/>
      <c r="BNL25" s="27"/>
      <c r="BNM25" s="27"/>
      <c r="BNN25" s="27"/>
      <c r="BNO25" s="27"/>
      <c r="BNP25" s="27"/>
      <c r="BNQ25" s="27"/>
      <c r="BNR25" s="27"/>
      <c r="BNS25" s="27"/>
      <c r="BNT25" s="27"/>
      <c r="BNU25" s="27"/>
      <c r="BNV25" s="27"/>
      <c r="BNW25" s="27"/>
      <c r="BNX25" s="27"/>
      <c r="BNY25" s="27"/>
      <c r="BNZ25" s="27"/>
      <c r="BOA25" s="27"/>
      <c r="BOB25" s="27"/>
      <c r="BOC25" s="27"/>
      <c r="BOD25" s="27"/>
      <c r="BOE25" s="27"/>
      <c r="BOF25" s="27"/>
      <c r="BOG25" s="27"/>
      <c r="BOH25" s="27"/>
      <c r="BOI25" s="27"/>
      <c r="BOJ25" s="27"/>
      <c r="BOK25" s="27"/>
      <c r="BOL25" s="27"/>
      <c r="BOM25" s="27"/>
      <c r="BON25" s="27"/>
      <c r="BOO25" s="27"/>
      <c r="BOP25" s="27"/>
      <c r="BOQ25" s="27"/>
      <c r="BOR25" s="27"/>
      <c r="BOS25" s="27"/>
      <c r="BOT25" s="27"/>
      <c r="BOU25" s="27"/>
      <c r="BOV25" s="27"/>
      <c r="BOW25" s="27"/>
      <c r="BOX25" s="27"/>
      <c r="BOY25" s="27"/>
      <c r="BOZ25" s="27"/>
      <c r="BPA25" s="27"/>
      <c r="BPB25" s="27"/>
      <c r="BPC25" s="27"/>
      <c r="BPD25" s="27"/>
      <c r="BPE25" s="27"/>
      <c r="BPF25" s="27"/>
      <c r="BPG25" s="27"/>
      <c r="BPH25" s="27"/>
      <c r="BPI25" s="27"/>
      <c r="BPJ25" s="27"/>
      <c r="BPK25" s="27"/>
      <c r="BPL25" s="27"/>
      <c r="BPM25" s="27"/>
      <c r="BPN25" s="27"/>
      <c r="BPO25" s="27"/>
      <c r="BPP25" s="27"/>
      <c r="BPQ25" s="27"/>
      <c r="BPR25" s="27"/>
      <c r="BPS25" s="27"/>
      <c r="BPT25" s="27"/>
      <c r="BPU25" s="27"/>
      <c r="BPV25" s="27"/>
      <c r="BPW25" s="27"/>
      <c r="BPX25" s="27"/>
      <c r="BPY25" s="27"/>
      <c r="BPZ25" s="27"/>
      <c r="BQA25" s="27"/>
      <c r="BQB25" s="27"/>
      <c r="BQC25" s="27"/>
      <c r="BQD25" s="27"/>
      <c r="BQE25" s="27"/>
      <c r="BQF25" s="27"/>
      <c r="BQG25" s="27"/>
      <c r="BQH25" s="27"/>
      <c r="BQI25" s="27"/>
      <c r="BQJ25" s="27"/>
      <c r="BQK25" s="27"/>
      <c r="BQL25" s="27"/>
      <c r="BQM25" s="27"/>
      <c r="BQN25" s="27"/>
      <c r="BQO25" s="27"/>
      <c r="BQP25" s="27"/>
      <c r="BQQ25" s="27"/>
      <c r="BQR25" s="27"/>
      <c r="BQS25" s="27"/>
      <c r="BQT25" s="27"/>
      <c r="BQU25" s="27"/>
      <c r="BQV25" s="27"/>
      <c r="BQW25" s="27"/>
      <c r="BQX25" s="27"/>
      <c r="BQY25" s="27"/>
      <c r="BQZ25" s="27"/>
      <c r="BRA25" s="27"/>
      <c r="BRB25" s="27"/>
      <c r="BRC25" s="27"/>
      <c r="BRD25" s="27"/>
      <c r="BRE25" s="27"/>
      <c r="BRF25" s="27"/>
      <c r="BRG25" s="27"/>
      <c r="BRH25" s="27"/>
      <c r="BRI25" s="27"/>
      <c r="BRJ25" s="27"/>
      <c r="BRK25" s="27"/>
      <c r="BRL25" s="27"/>
      <c r="BRM25" s="27"/>
      <c r="BRN25" s="27"/>
      <c r="BRO25" s="27"/>
      <c r="BRP25" s="27"/>
      <c r="BRQ25" s="27"/>
      <c r="BRR25" s="27"/>
      <c r="BRS25" s="27"/>
      <c r="BRT25" s="27"/>
      <c r="BRU25" s="27"/>
      <c r="BRV25" s="27"/>
      <c r="BRW25" s="27"/>
      <c r="BRX25" s="27"/>
      <c r="BRY25" s="27"/>
      <c r="BRZ25" s="27"/>
      <c r="BSA25" s="27"/>
      <c r="BSB25" s="27"/>
      <c r="BSC25" s="27"/>
      <c r="BSD25" s="27"/>
      <c r="BSE25" s="27"/>
      <c r="BSF25" s="27"/>
      <c r="BSG25" s="27"/>
      <c r="BSH25" s="27"/>
      <c r="BSI25" s="27"/>
      <c r="BSJ25" s="27"/>
      <c r="BSK25" s="27"/>
      <c r="BSL25" s="27"/>
      <c r="BSM25" s="27"/>
      <c r="BSN25" s="27"/>
      <c r="BSO25" s="27"/>
      <c r="BSP25" s="27"/>
      <c r="BSQ25" s="27"/>
      <c r="BSR25" s="27"/>
      <c r="BSS25" s="27"/>
      <c r="BST25" s="27"/>
      <c r="BSU25" s="27"/>
      <c r="BSV25" s="27"/>
      <c r="BSW25" s="27"/>
      <c r="BSX25" s="27"/>
      <c r="BSY25" s="27"/>
      <c r="BSZ25" s="27"/>
      <c r="BTA25" s="27"/>
      <c r="BTB25" s="27"/>
      <c r="BTC25" s="27"/>
      <c r="BTD25" s="27"/>
      <c r="BTE25" s="27"/>
      <c r="BTF25" s="27"/>
      <c r="BTG25" s="27"/>
      <c r="BTH25" s="27"/>
      <c r="BTI25" s="27"/>
      <c r="BTJ25" s="27"/>
      <c r="BTK25" s="27"/>
      <c r="BTL25" s="27"/>
      <c r="BTM25" s="27"/>
      <c r="BTN25" s="27"/>
      <c r="BTO25" s="27"/>
      <c r="BTP25" s="27"/>
      <c r="BTQ25" s="27"/>
      <c r="BTR25" s="27"/>
      <c r="BTS25" s="27"/>
      <c r="BTT25" s="27"/>
      <c r="BTU25" s="27"/>
      <c r="BTV25" s="27"/>
      <c r="BTW25" s="27"/>
      <c r="BTX25" s="27"/>
      <c r="BTY25" s="27"/>
      <c r="BTZ25" s="27"/>
      <c r="BUA25" s="27"/>
      <c r="BUB25" s="27"/>
      <c r="BUC25" s="27"/>
      <c r="BUD25" s="27"/>
      <c r="BUE25" s="27"/>
      <c r="BUF25" s="27"/>
      <c r="BUG25" s="27"/>
      <c r="BUH25" s="27"/>
      <c r="BUI25" s="27"/>
      <c r="BUJ25" s="27"/>
      <c r="BUK25" s="27"/>
      <c r="BUL25" s="27"/>
      <c r="BUM25" s="27"/>
      <c r="BUN25" s="27"/>
      <c r="BUO25" s="27"/>
      <c r="BUP25" s="27"/>
      <c r="BUQ25" s="27"/>
      <c r="BUR25" s="27"/>
      <c r="BUS25" s="27"/>
      <c r="BUT25" s="27"/>
      <c r="BUU25" s="27"/>
      <c r="BUV25" s="27"/>
      <c r="BUW25" s="27"/>
      <c r="BUX25" s="27"/>
      <c r="BUY25" s="27"/>
      <c r="BUZ25" s="27"/>
      <c r="BVA25" s="27"/>
      <c r="BVB25" s="27"/>
      <c r="BVC25" s="27"/>
      <c r="BVD25" s="27"/>
      <c r="BVE25" s="27"/>
      <c r="BVF25" s="27"/>
      <c r="BVG25" s="27"/>
      <c r="BVH25" s="27"/>
      <c r="BVI25" s="27"/>
      <c r="BVJ25" s="27"/>
      <c r="BVK25" s="27"/>
      <c r="BVL25" s="27"/>
      <c r="BVM25" s="27"/>
      <c r="BVN25" s="27"/>
      <c r="BVO25" s="27"/>
      <c r="BVP25" s="27"/>
      <c r="BVQ25" s="27"/>
      <c r="BVR25" s="27"/>
      <c r="BVS25" s="27"/>
      <c r="BVT25" s="27"/>
      <c r="BVU25" s="27"/>
      <c r="BVV25" s="27"/>
      <c r="BVW25" s="27"/>
      <c r="BVX25" s="27"/>
      <c r="BVY25" s="27"/>
      <c r="BVZ25" s="27"/>
      <c r="BWA25" s="27"/>
      <c r="BWB25" s="27"/>
      <c r="BWC25" s="27"/>
      <c r="BWD25" s="27"/>
      <c r="BWE25" s="27"/>
      <c r="BWF25" s="27"/>
      <c r="BWG25" s="27"/>
      <c r="BWH25" s="27"/>
      <c r="BWI25" s="27"/>
      <c r="BWJ25" s="27"/>
      <c r="BWK25" s="27"/>
      <c r="BWL25" s="27"/>
      <c r="BWM25" s="27"/>
      <c r="BWN25" s="27"/>
      <c r="BWO25" s="27"/>
      <c r="BWP25" s="27"/>
      <c r="BWQ25" s="27"/>
      <c r="BWR25" s="27"/>
      <c r="BWS25" s="27"/>
      <c r="BWT25" s="27"/>
      <c r="BWU25" s="27"/>
      <c r="BWV25" s="27"/>
      <c r="BWW25" s="27"/>
      <c r="BWX25" s="27"/>
      <c r="BWY25" s="27"/>
      <c r="BWZ25" s="27"/>
      <c r="BXA25" s="27"/>
      <c r="BXB25" s="27"/>
      <c r="BXC25" s="27"/>
      <c r="BXD25" s="27"/>
      <c r="BXE25" s="27"/>
      <c r="BXF25" s="27"/>
      <c r="BXG25" s="27"/>
      <c r="BXH25" s="27"/>
      <c r="BXI25" s="27"/>
      <c r="BXJ25" s="27"/>
      <c r="BXK25" s="27"/>
      <c r="BXL25" s="27"/>
      <c r="BXM25" s="27"/>
      <c r="BXN25" s="27"/>
      <c r="BXO25" s="27"/>
      <c r="BXP25" s="27"/>
      <c r="BXQ25" s="27"/>
      <c r="BXR25" s="27"/>
      <c r="BXS25" s="27"/>
      <c r="BXT25" s="27"/>
      <c r="BXU25" s="27"/>
      <c r="BXV25" s="27"/>
      <c r="BXW25" s="27"/>
      <c r="BXX25" s="27"/>
      <c r="BXY25" s="27"/>
      <c r="BXZ25" s="27"/>
      <c r="BYA25" s="27"/>
      <c r="BYB25" s="27"/>
      <c r="BYC25" s="27"/>
      <c r="BYD25" s="27"/>
      <c r="BYE25" s="27"/>
      <c r="BYF25" s="27"/>
      <c r="BYG25" s="27"/>
      <c r="BYH25" s="27"/>
      <c r="BYI25" s="27"/>
      <c r="BYJ25" s="27"/>
      <c r="BYK25" s="27"/>
      <c r="BYL25" s="27"/>
      <c r="BYM25" s="27"/>
      <c r="BYN25" s="27"/>
      <c r="BYO25" s="27"/>
      <c r="BYP25" s="27"/>
      <c r="BYQ25" s="27"/>
      <c r="BYR25" s="27"/>
      <c r="BYS25" s="27"/>
      <c r="BYT25" s="27"/>
      <c r="BYU25" s="27"/>
      <c r="BYV25" s="27"/>
      <c r="BYW25" s="27"/>
      <c r="BYX25" s="27"/>
      <c r="BYY25" s="27"/>
      <c r="BYZ25" s="27"/>
      <c r="BZA25" s="27"/>
      <c r="BZB25" s="27"/>
      <c r="BZC25" s="27"/>
      <c r="BZD25" s="27"/>
      <c r="BZE25" s="27"/>
      <c r="BZF25" s="27"/>
      <c r="BZG25" s="27"/>
      <c r="BZH25" s="27"/>
      <c r="BZI25" s="27"/>
      <c r="BZJ25" s="27"/>
      <c r="BZK25" s="27"/>
      <c r="BZL25" s="27"/>
      <c r="BZM25" s="27"/>
      <c r="BZN25" s="27"/>
      <c r="BZO25" s="27"/>
      <c r="BZP25" s="27"/>
      <c r="BZQ25" s="27"/>
      <c r="BZR25" s="27"/>
      <c r="BZS25" s="27"/>
      <c r="BZT25" s="27"/>
      <c r="BZU25" s="27"/>
      <c r="BZV25" s="27"/>
      <c r="BZW25" s="27"/>
      <c r="BZX25" s="27"/>
      <c r="BZY25" s="27"/>
      <c r="BZZ25" s="27"/>
      <c r="CAA25" s="27"/>
      <c r="CAB25" s="27"/>
      <c r="CAC25" s="27"/>
      <c r="CAD25" s="27"/>
      <c r="CAE25" s="27"/>
      <c r="CAF25" s="27"/>
      <c r="CAG25" s="27"/>
      <c r="CAH25" s="27"/>
      <c r="CAI25" s="27"/>
      <c r="CAJ25" s="27"/>
      <c r="CAK25" s="27"/>
      <c r="CAL25" s="27"/>
      <c r="CAM25" s="27"/>
      <c r="CAN25" s="27"/>
      <c r="CAO25" s="27"/>
      <c r="CAP25" s="27"/>
      <c r="CAQ25" s="27"/>
      <c r="CAR25" s="27"/>
      <c r="CAS25" s="27"/>
      <c r="CAT25" s="27"/>
      <c r="CAU25" s="27"/>
      <c r="CAV25" s="27"/>
      <c r="CAW25" s="27"/>
      <c r="CAX25" s="27"/>
      <c r="CAY25" s="27"/>
      <c r="CAZ25" s="27"/>
      <c r="CBA25" s="27"/>
      <c r="CBB25" s="27"/>
      <c r="CBC25" s="27"/>
      <c r="CBD25" s="27"/>
      <c r="CBE25" s="27"/>
      <c r="CBF25" s="27"/>
      <c r="CBG25" s="27"/>
      <c r="CBH25" s="27"/>
      <c r="CBI25" s="27"/>
      <c r="CBJ25" s="27"/>
      <c r="CBK25" s="27"/>
      <c r="CBL25" s="27"/>
      <c r="CBM25" s="27"/>
      <c r="CBN25" s="27"/>
      <c r="CBO25" s="27"/>
      <c r="CBP25" s="27"/>
      <c r="CBQ25" s="27"/>
      <c r="CBR25" s="27"/>
      <c r="CBS25" s="27"/>
      <c r="CBT25" s="27"/>
      <c r="CBU25" s="27"/>
      <c r="CBV25" s="27"/>
      <c r="CBW25" s="27"/>
      <c r="CBX25" s="27"/>
      <c r="CBY25" s="27"/>
      <c r="CBZ25" s="27"/>
      <c r="CCA25" s="27"/>
      <c r="CCB25" s="27"/>
      <c r="CCC25" s="27"/>
      <c r="CCD25" s="27"/>
      <c r="CCE25" s="27"/>
      <c r="CCF25" s="27"/>
      <c r="CCG25" s="27"/>
      <c r="CCH25" s="27"/>
      <c r="CCI25" s="27"/>
      <c r="CCJ25" s="27"/>
      <c r="CCK25" s="27"/>
      <c r="CCL25" s="27"/>
      <c r="CCM25" s="27"/>
      <c r="CCN25" s="27"/>
      <c r="CCO25" s="27"/>
      <c r="CCP25" s="27"/>
      <c r="CCQ25" s="27"/>
      <c r="CCR25" s="27"/>
      <c r="CCS25" s="27"/>
      <c r="CCT25" s="27"/>
      <c r="CCU25" s="27"/>
      <c r="CCV25" s="27"/>
      <c r="CCW25" s="27"/>
      <c r="CCX25" s="27"/>
      <c r="CCY25" s="27"/>
      <c r="CCZ25" s="27"/>
      <c r="CDA25" s="27"/>
      <c r="CDB25" s="27"/>
      <c r="CDC25" s="27"/>
      <c r="CDD25" s="27"/>
      <c r="CDE25" s="27"/>
      <c r="CDF25" s="27"/>
      <c r="CDG25" s="27"/>
      <c r="CDH25" s="27"/>
      <c r="CDI25" s="27"/>
      <c r="CDJ25" s="27"/>
      <c r="CDK25" s="27"/>
      <c r="CDL25" s="27"/>
      <c r="CDM25" s="27"/>
      <c r="CDN25" s="27"/>
      <c r="CDO25" s="27"/>
      <c r="CDP25" s="27"/>
      <c r="CDQ25" s="27"/>
      <c r="CDR25" s="27"/>
      <c r="CDS25" s="27"/>
      <c r="CDT25" s="27"/>
      <c r="CDU25" s="27"/>
      <c r="CDV25" s="27"/>
      <c r="CDW25" s="27"/>
      <c r="CDX25" s="27"/>
      <c r="CDY25" s="27"/>
      <c r="CDZ25" s="27"/>
      <c r="CEA25" s="27"/>
      <c r="CEB25" s="27"/>
      <c r="CEC25" s="27"/>
      <c r="CED25" s="27"/>
      <c r="CEE25" s="27"/>
      <c r="CEF25" s="27"/>
      <c r="CEG25" s="27"/>
      <c r="CEH25" s="27"/>
      <c r="CEI25" s="27"/>
      <c r="CEJ25" s="27"/>
      <c r="CEK25" s="27"/>
      <c r="CEL25" s="27"/>
      <c r="CEM25" s="27"/>
      <c r="CEN25" s="27"/>
      <c r="CEO25" s="27"/>
      <c r="CEP25" s="27"/>
      <c r="CEQ25" s="27"/>
      <c r="CER25" s="27"/>
      <c r="CES25" s="27"/>
      <c r="CET25" s="27"/>
      <c r="CEU25" s="27"/>
      <c r="CEV25" s="27"/>
      <c r="CEW25" s="27"/>
      <c r="CEX25" s="27"/>
      <c r="CEY25" s="27"/>
      <c r="CEZ25" s="27"/>
      <c r="CFA25" s="27"/>
      <c r="CFB25" s="27"/>
      <c r="CFC25" s="27"/>
      <c r="CFD25" s="27"/>
      <c r="CFE25" s="27"/>
      <c r="CFF25" s="27"/>
      <c r="CFG25" s="27"/>
      <c r="CFH25" s="27"/>
      <c r="CFI25" s="27"/>
      <c r="CFJ25" s="27"/>
      <c r="CFK25" s="27"/>
      <c r="CFL25" s="27"/>
      <c r="CFM25" s="27"/>
      <c r="CFN25" s="27"/>
      <c r="CFO25" s="27"/>
      <c r="CFP25" s="27"/>
      <c r="CFQ25" s="27"/>
      <c r="CFR25" s="27"/>
      <c r="CFS25" s="27"/>
      <c r="CFT25" s="27"/>
      <c r="CFU25" s="27"/>
      <c r="CFV25" s="27"/>
      <c r="CFW25" s="27"/>
      <c r="CFX25" s="27"/>
      <c r="CFY25" s="27"/>
      <c r="CFZ25" s="27"/>
      <c r="CGA25" s="27"/>
      <c r="CGB25" s="27"/>
      <c r="CGC25" s="27"/>
      <c r="CGD25" s="27"/>
      <c r="CGE25" s="27"/>
      <c r="CGF25" s="27"/>
      <c r="CGG25" s="27"/>
      <c r="CGH25" s="27"/>
      <c r="CGI25" s="27"/>
      <c r="CGJ25" s="27"/>
      <c r="CGK25" s="27"/>
      <c r="CGL25" s="27"/>
      <c r="CGM25" s="27"/>
      <c r="CGN25" s="27"/>
      <c r="CGO25" s="27"/>
      <c r="CGP25" s="27"/>
      <c r="CGQ25" s="27"/>
      <c r="CGR25" s="27"/>
      <c r="CGS25" s="27"/>
      <c r="CGT25" s="27"/>
      <c r="CGU25" s="27"/>
      <c r="CGV25" s="27"/>
      <c r="CGW25" s="27"/>
      <c r="CGX25" s="27"/>
      <c r="CGY25" s="27"/>
      <c r="CGZ25" s="27"/>
      <c r="CHA25" s="27"/>
      <c r="CHB25" s="27"/>
      <c r="CHC25" s="27"/>
      <c r="CHD25" s="27"/>
      <c r="CHE25" s="27"/>
      <c r="CHF25" s="27"/>
      <c r="CHG25" s="27"/>
      <c r="CHH25" s="27"/>
      <c r="CHI25" s="27"/>
      <c r="CHJ25" s="27"/>
      <c r="CHK25" s="27"/>
      <c r="CHL25" s="27"/>
      <c r="CHM25" s="27"/>
      <c r="CHN25" s="27"/>
      <c r="CHO25" s="27"/>
      <c r="CHP25" s="27"/>
      <c r="CHQ25" s="27"/>
      <c r="CHR25" s="27"/>
      <c r="CHS25" s="27"/>
      <c r="CHT25" s="27"/>
      <c r="CHU25" s="27"/>
      <c r="CHV25" s="27"/>
      <c r="CHW25" s="27"/>
      <c r="CHX25" s="27"/>
      <c r="CHY25" s="27"/>
      <c r="CHZ25" s="27"/>
      <c r="CIA25" s="27"/>
      <c r="CIB25" s="27"/>
      <c r="CIC25" s="27"/>
      <c r="CID25" s="27"/>
      <c r="CIE25" s="27"/>
      <c r="CIF25" s="27"/>
      <c r="CIG25" s="27"/>
      <c r="CIH25" s="27"/>
      <c r="CII25" s="27"/>
      <c r="CIJ25" s="27"/>
      <c r="CIK25" s="27"/>
      <c r="CIL25" s="27"/>
      <c r="CIM25" s="27"/>
      <c r="CIN25" s="27"/>
      <c r="CIO25" s="27"/>
      <c r="CIP25" s="27"/>
      <c r="CIQ25" s="27"/>
      <c r="CIR25" s="27"/>
      <c r="CIS25" s="27"/>
      <c r="CIT25" s="27"/>
      <c r="CIU25" s="27"/>
      <c r="CIV25" s="27"/>
      <c r="CIW25" s="27"/>
      <c r="CIX25" s="27"/>
      <c r="CIY25" s="27"/>
      <c r="CIZ25" s="27"/>
      <c r="CJA25" s="27"/>
      <c r="CJB25" s="27"/>
      <c r="CJC25" s="27"/>
      <c r="CJD25" s="27"/>
      <c r="CJE25" s="27"/>
      <c r="CJF25" s="27"/>
      <c r="CJG25" s="27"/>
      <c r="CJH25" s="27"/>
      <c r="CJI25" s="27"/>
      <c r="CJJ25" s="27"/>
      <c r="CJK25" s="27"/>
      <c r="CJL25" s="27"/>
      <c r="CJM25" s="27"/>
      <c r="CJN25" s="27"/>
      <c r="CJO25" s="27"/>
      <c r="CJP25" s="27"/>
      <c r="CJQ25" s="27"/>
      <c r="CJR25" s="27"/>
      <c r="CJS25" s="27"/>
      <c r="CJT25" s="27"/>
      <c r="CJU25" s="27"/>
      <c r="CJV25" s="27"/>
      <c r="CJW25" s="27"/>
      <c r="CJX25" s="27"/>
      <c r="CJY25" s="27"/>
      <c r="CJZ25" s="27"/>
      <c r="CKA25" s="27"/>
      <c r="CKB25" s="27"/>
      <c r="CKC25" s="27"/>
      <c r="CKD25" s="27"/>
      <c r="CKE25" s="27"/>
      <c r="CKF25" s="27"/>
      <c r="CKG25" s="27"/>
      <c r="CKH25" s="27"/>
      <c r="CKI25" s="27"/>
      <c r="CKJ25" s="27"/>
      <c r="CKK25" s="27"/>
      <c r="CKL25" s="27"/>
      <c r="CKM25" s="27"/>
      <c r="CKN25" s="27"/>
      <c r="CKO25" s="27"/>
      <c r="CKP25" s="27"/>
      <c r="CKQ25" s="27"/>
      <c r="CKR25" s="27"/>
      <c r="CKS25" s="27"/>
      <c r="CKT25" s="27"/>
      <c r="CKU25" s="27"/>
      <c r="CKV25" s="27"/>
      <c r="CKW25" s="27"/>
      <c r="CKX25" s="27"/>
      <c r="CKY25" s="27"/>
      <c r="CKZ25" s="27"/>
      <c r="CLA25" s="27"/>
      <c r="CLB25" s="27"/>
      <c r="CLC25" s="27"/>
      <c r="CLD25" s="27"/>
      <c r="CLE25" s="27"/>
      <c r="CLF25" s="27"/>
      <c r="CLG25" s="27"/>
      <c r="CLH25" s="27"/>
      <c r="CLI25" s="27"/>
      <c r="CLJ25" s="27"/>
      <c r="CLK25" s="27"/>
      <c r="CLL25" s="27"/>
      <c r="CLM25" s="27"/>
      <c r="CLN25" s="27"/>
      <c r="CLO25" s="27"/>
      <c r="CLP25" s="27"/>
      <c r="CLQ25" s="27"/>
      <c r="CLR25" s="27"/>
      <c r="CLS25" s="27"/>
      <c r="CLT25" s="27"/>
      <c r="CLU25" s="27"/>
      <c r="CLV25" s="27"/>
      <c r="CLW25" s="27"/>
      <c r="CLX25" s="27"/>
      <c r="CLY25" s="27"/>
      <c r="CLZ25" s="27"/>
      <c r="CMA25" s="27"/>
      <c r="CMB25" s="27"/>
      <c r="CMC25" s="27"/>
      <c r="CMD25" s="27"/>
      <c r="CME25" s="27"/>
      <c r="CMF25" s="27"/>
      <c r="CMG25" s="27"/>
      <c r="CMH25" s="27"/>
      <c r="CMI25" s="27"/>
      <c r="CMJ25" s="27"/>
      <c r="CMK25" s="27"/>
      <c r="CML25" s="27"/>
      <c r="CMM25" s="27"/>
      <c r="CMN25" s="27"/>
      <c r="CMO25" s="27"/>
      <c r="CMP25" s="27"/>
      <c r="CMQ25" s="27"/>
      <c r="CMR25" s="27"/>
      <c r="CMS25" s="27"/>
      <c r="CMT25" s="27"/>
      <c r="CMU25" s="27"/>
      <c r="CMV25" s="27"/>
      <c r="CMW25" s="27"/>
      <c r="CMX25" s="27"/>
      <c r="CMY25" s="27"/>
      <c r="CMZ25" s="27"/>
      <c r="CNA25" s="27"/>
      <c r="CNB25" s="27"/>
      <c r="CNC25" s="27"/>
      <c r="CND25" s="27"/>
      <c r="CNE25" s="27"/>
      <c r="CNF25" s="27"/>
      <c r="CNG25" s="27"/>
      <c r="CNH25" s="27"/>
      <c r="CNI25" s="27"/>
      <c r="CNJ25" s="27"/>
      <c r="CNK25" s="27"/>
      <c r="CNL25" s="27"/>
      <c r="CNM25" s="27"/>
      <c r="CNN25" s="27"/>
      <c r="CNO25" s="27"/>
      <c r="CNP25" s="27"/>
      <c r="CNQ25" s="27"/>
      <c r="CNR25" s="27"/>
      <c r="CNS25" s="27"/>
      <c r="CNT25" s="27"/>
      <c r="CNU25" s="27"/>
      <c r="CNV25" s="27"/>
      <c r="CNW25" s="27"/>
      <c r="CNX25" s="27"/>
      <c r="CNY25" s="27"/>
      <c r="CNZ25" s="27"/>
      <c r="COA25" s="27"/>
      <c r="COB25" s="27"/>
      <c r="COC25" s="27"/>
      <c r="COD25" s="27"/>
      <c r="COE25" s="27"/>
      <c r="COF25" s="27"/>
      <c r="COG25" s="27"/>
      <c r="COH25" s="27"/>
      <c r="COI25" s="27"/>
      <c r="COJ25" s="27"/>
      <c r="COK25" s="27"/>
      <c r="COL25" s="27"/>
      <c r="COM25" s="27"/>
      <c r="CON25" s="27"/>
      <c r="COO25" s="27"/>
      <c r="COP25" s="27"/>
      <c r="COQ25" s="27"/>
      <c r="COR25" s="27"/>
      <c r="COS25" s="27"/>
      <c r="COT25" s="27"/>
      <c r="COU25" s="27"/>
      <c r="COV25" s="27"/>
      <c r="COW25" s="27"/>
      <c r="COX25" s="27"/>
      <c r="COY25" s="27"/>
      <c r="COZ25" s="27"/>
      <c r="CPA25" s="27"/>
      <c r="CPB25" s="27"/>
      <c r="CPC25" s="27"/>
      <c r="CPD25" s="27"/>
      <c r="CPE25" s="27"/>
      <c r="CPF25" s="27"/>
      <c r="CPG25" s="27"/>
      <c r="CPH25" s="27"/>
      <c r="CPI25" s="27"/>
      <c r="CPJ25" s="27"/>
      <c r="CPK25" s="27"/>
      <c r="CPL25" s="27"/>
      <c r="CPM25" s="27"/>
      <c r="CPN25" s="27"/>
      <c r="CPO25" s="27"/>
      <c r="CPP25" s="27"/>
      <c r="CPQ25" s="27"/>
      <c r="CPR25" s="27"/>
      <c r="CPS25" s="27"/>
      <c r="CPT25" s="27"/>
      <c r="CPU25" s="27"/>
      <c r="CPV25" s="27"/>
      <c r="CPW25" s="27"/>
      <c r="CPX25" s="27"/>
      <c r="CPY25" s="27"/>
      <c r="CPZ25" s="27"/>
      <c r="CQA25" s="27"/>
      <c r="CQB25" s="27"/>
      <c r="CQC25" s="27"/>
      <c r="CQD25" s="27"/>
      <c r="CQE25" s="27"/>
      <c r="CQF25" s="27"/>
      <c r="CQG25" s="27"/>
      <c r="CQH25" s="27"/>
      <c r="CQI25" s="27"/>
      <c r="CQJ25" s="27"/>
      <c r="CQK25" s="27"/>
      <c r="CQL25" s="27"/>
      <c r="CQM25" s="27"/>
      <c r="CQN25" s="27"/>
      <c r="CQO25" s="27"/>
      <c r="CQP25" s="27"/>
      <c r="CQQ25" s="27"/>
      <c r="CQR25" s="27"/>
      <c r="CQS25" s="27"/>
      <c r="CQT25" s="27"/>
      <c r="CQU25" s="27"/>
      <c r="CQV25" s="27"/>
      <c r="CQW25" s="27"/>
      <c r="CQX25" s="27"/>
      <c r="CQY25" s="27"/>
      <c r="CQZ25" s="27"/>
      <c r="CRA25" s="27"/>
      <c r="CRB25" s="27"/>
      <c r="CRC25" s="27"/>
      <c r="CRD25" s="27"/>
      <c r="CRE25" s="27"/>
      <c r="CRF25" s="27"/>
      <c r="CRG25" s="27"/>
      <c r="CRH25" s="27"/>
      <c r="CRI25" s="27"/>
      <c r="CRJ25" s="27"/>
      <c r="CRK25" s="27"/>
      <c r="CRL25" s="27"/>
      <c r="CRM25" s="27"/>
      <c r="CRN25" s="27"/>
      <c r="CRO25" s="27"/>
      <c r="CRP25" s="27"/>
      <c r="CRQ25" s="27"/>
      <c r="CRR25" s="27"/>
      <c r="CRS25" s="27"/>
      <c r="CRT25" s="27"/>
      <c r="CRU25" s="27"/>
      <c r="CRV25" s="27"/>
      <c r="CRW25" s="27"/>
      <c r="CRX25" s="27"/>
      <c r="CRY25" s="27"/>
      <c r="CRZ25" s="27"/>
      <c r="CSA25" s="27"/>
      <c r="CSB25" s="27"/>
      <c r="CSC25" s="27"/>
      <c r="CSD25" s="27"/>
      <c r="CSE25" s="27"/>
      <c r="CSF25" s="27"/>
      <c r="CSG25" s="27"/>
      <c r="CSH25" s="27"/>
      <c r="CSI25" s="27"/>
      <c r="CSJ25" s="27"/>
      <c r="CSK25" s="27"/>
      <c r="CSL25" s="27"/>
      <c r="CSM25" s="27"/>
      <c r="CSN25" s="27"/>
      <c r="CSO25" s="27"/>
      <c r="CSP25" s="27"/>
      <c r="CSQ25" s="27"/>
      <c r="CSR25" s="27"/>
      <c r="CSS25" s="27"/>
      <c r="CST25" s="27"/>
      <c r="CSU25" s="27"/>
      <c r="CSV25" s="27"/>
      <c r="CSW25" s="27"/>
      <c r="CSX25" s="27"/>
      <c r="CSY25" s="27"/>
      <c r="CSZ25" s="27"/>
      <c r="CTA25" s="27"/>
      <c r="CTB25" s="27"/>
      <c r="CTC25" s="27"/>
      <c r="CTD25" s="27"/>
      <c r="CTE25" s="27"/>
      <c r="CTF25" s="27"/>
      <c r="CTG25" s="27"/>
      <c r="CTH25" s="27"/>
      <c r="CTI25" s="27"/>
      <c r="CTJ25" s="27"/>
      <c r="CTK25" s="27"/>
      <c r="CTL25" s="27"/>
      <c r="CTM25" s="27"/>
      <c r="CTN25" s="27"/>
      <c r="CTO25" s="27"/>
      <c r="CTP25" s="27"/>
      <c r="CTQ25" s="27"/>
      <c r="CTR25" s="27"/>
      <c r="CTS25" s="27"/>
      <c r="CTT25" s="27"/>
      <c r="CTU25" s="27"/>
      <c r="CTV25" s="27"/>
      <c r="CTW25" s="27"/>
      <c r="CTX25" s="27"/>
      <c r="CTY25" s="27"/>
      <c r="CTZ25" s="27"/>
      <c r="CUA25" s="27"/>
    </row>
    <row r="26" s="30" customFormat="1" ht="16" customHeight="1" spans="1:2575">
      <c r="A26" s="268">
        <v>35</v>
      </c>
      <c r="B26" s="268" t="s">
        <v>13</v>
      </c>
      <c r="C26" s="268" t="s">
        <v>37</v>
      </c>
      <c r="D26" s="82" t="s">
        <v>330</v>
      </c>
      <c r="E26" s="118" t="s">
        <v>742</v>
      </c>
      <c r="F26" s="31" t="s">
        <v>746</v>
      </c>
      <c r="G26" s="273" t="s">
        <v>744</v>
      </c>
      <c r="H26" s="274">
        <v>10040177</v>
      </c>
      <c r="I26" s="274">
        <v>2010.1</v>
      </c>
      <c r="J26" s="119" t="s">
        <v>745</v>
      </c>
      <c r="K26" s="31" t="s">
        <v>42</v>
      </c>
      <c r="L26" s="31" t="s">
        <v>667</v>
      </c>
      <c r="M26" s="29" t="s">
        <v>674</v>
      </c>
      <c r="N26" s="94">
        <v>45574</v>
      </c>
      <c r="O26" s="94">
        <v>45938</v>
      </c>
      <c r="P26" s="29">
        <v>300</v>
      </c>
      <c r="Q26" s="251"/>
      <c r="R26" s="251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  <c r="ALK26" s="27"/>
      <c r="ALL26" s="27"/>
      <c r="ALM26" s="27"/>
      <c r="ALN26" s="27"/>
      <c r="ALO26" s="27"/>
      <c r="ALP26" s="27"/>
      <c r="ALQ26" s="27"/>
      <c r="ALR26" s="27"/>
      <c r="ALS26" s="27"/>
      <c r="ALT26" s="27"/>
      <c r="ALU26" s="27"/>
      <c r="ALV26" s="27"/>
      <c r="ALW26" s="27"/>
      <c r="ALX26" s="27"/>
      <c r="ALY26" s="27"/>
      <c r="ALZ26" s="27"/>
      <c r="AMA26" s="27"/>
      <c r="AMB26" s="27"/>
      <c r="AMC26" s="27"/>
      <c r="AMD26" s="27"/>
      <c r="AME26" s="27"/>
      <c r="AMF26" s="27"/>
      <c r="AMG26" s="27"/>
      <c r="AMH26" s="27"/>
      <c r="AMI26" s="27"/>
      <c r="AMJ26" s="27"/>
      <c r="AMK26" s="27"/>
      <c r="AML26" s="27"/>
      <c r="AMM26" s="27"/>
      <c r="AMN26" s="27"/>
      <c r="AMO26" s="27"/>
      <c r="AMP26" s="27"/>
      <c r="AMQ26" s="27"/>
      <c r="AMR26" s="27"/>
      <c r="AMS26" s="27"/>
      <c r="AMT26" s="27"/>
      <c r="AMU26" s="27"/>
      <c r="AMV26" s="27"/>
      <c r="AMW26" s="27"/>
      <c r="AMX26" s="27"/>
      <c r="AMY26" s="27"/>
      <c r="AMZ26" s="27"/>
      <c r="ANA26" s="27"/>
      <c r="ANB26" s="27"/>
      <c r="ANC26" s="27"/>
      <c r="AND26" s="27"/>
      <c r="ANE26" s="27"/>
      <c r="ANF26" s="27"/>
      <c r="ANG26" s="27"/>
      <c r="ANH26" s="27"/>
      <c r="ANI26" s="27"/>
      <c r="ANJ26" s="27"/>
      <c r="ANK26" s="27"/>
      <c r="ANL26" s="27"/>
      <c r="ANM26" s="27"/>
      <c r="ANN26" s="27"/>
      <c r="ANO26" s="27"/>
      <c r="ANP26" s="27"/>
      <c r="ANQ26" s="27"/>
      <c r="ANR26" s="27"/>
      <c r="ANS26" s="27"/>
      <c r="ANT26" s="27"/>
      <c r="ANU26" s="27"/>
      <c r="ANV26" s="27"/>
      <c r="ANW26" s="27"/>
      <c r="ANX26" s="27"/>
      <c r="ANY26" s="27"/>
      <c r="ANZ26" s="27"/>
      <c r="AOA26" s="27"/>
      <c r="AOB26" s="27"/>
      <c r="AOC26" s="27"/>
      <c r="AOD26" s="27"/>
      <c r="AOE26" s="27"/>
      <c r="AOF26" s="27"/>
      <c r="AOG26" s="27"/>
      <c r="AOH26" s="27"/>
      <c r="AOI26" s="27"/>
      <c r="AOJ26" s="27"/>
      <c r="AOK26" s="27"/>
      <c r="AOL26" s="27"/>
      <c r="AOM26" s="27"/>
      <c r="AON26" s="27"/>
      <c r="AOO26" s="27"/>
      <c r="AOP26" s="27"/>
      <c r="AOQ26" s="27"/>
      <c r="AOR26" s="27"/>
      <c r="AOS26" s="27"/>
      <c r="AOT26" s="27"/>
      <c r="AOU26" s="27"/>
      <c r="AOV26" s="27"/>
      <c r="AOW26" s="27"/>
      <c r="AOX26" s="27"/>
      <c r="AOY26" s="27"/>
      <c r="AOZ26" s="27"/>
      <c r="APA26" s="27"/>
      <c r="APB26" s="27"/>
      <c r="APC26" s="27"/>
      <c r="APD26" s="27"/>
      <c r="APE26" s="27"/>
      <c r="APF26" s="27"/>
      <c r="APG26" s="27"/>
      <c r="APH26" s="27"/>
      <c r="API26" s="27"/>
      <c r="APJ26" s="27"/>
      <c r="APK26" s="27"/>
      <c r="APL26" s="27"/>
      <c r="APM26" s="27"/>
      <c r="APN26" s="27"/>
      <c r="APO26" s="27"/>
      <c r="APP26" s="27"/>
      <c r="APQ26" s="27"/>
      <c r="APR26" s="27"/>
      <c r="APS26" s="27"/>
      <c r="APT26" s="27"/>
      <c r="APU26" s="27"/>
      <c r="APV26" s="27"/>
      <c r="APW26" s="27"/>
      <c r="APX26" s="27"/>
      <c r="APY26" s="27"/>
      <c r="APZ26" s="27"/>
      <c r="AQA26" s="27"/>
      <c r="AQB26" s="27"/>
      <c r="AQC26" s="27"/>
      <c r="AQD26" s="27"/>
      <c r="AQE26" s="27"/>
      <c r="AQF26" s="27"/>
      <c r="AQG26" s="27"/>
      <c r="AQH26" s="27"/>
      <c r="AQI26" s="27"/>
      <c r="AQJ26" s="27"/>
      <c r="AQK26" s="27"/>
      <c r="AQL26" s="27"/>
      <c r="AQM26" s="27"/>
      <c r="AQN26" s="27"/>
      <c r="AQO26" s="27"/>
      <c r="AQP26" s="27"/>
      <c r="AQQ26" s="27"/>
      <c r="AQR26" s="27"/>
      <c r="AQS26" s="27"/>
      <c r="AQT26" s="27"/>
      <c r="AQU26" s="27"/>
      <c r="AQV26" s="27"/>
      <c r="AQW26" s="27"/>
      <c r="AQX26" s="27"/>
      <c r="AQY26" s="27"/>
      <c r="AQZ26" s="27"/>
      <c r="ARA26" s="27"/>
      <c r="ARB26" s="27"/>
      <c r="ARC26" s="27"/>
      <c r="ARD26" s="27"/>
      <c r="ARE26" s="27"/>
      <c r="ARF26" s="27"/>
      <c r="ARG26" s="27"/>
      <c r="ARH26" s="27"/>
      <c r="ARI26" s="27"/>
      <c r="ARJ26" s="27"/>
      <c r="ARK26" s="27"/>
      <c r="ARL26" s="27"/>
      <c r="ARM26" s="27"/>
      <c r="ARN26" s="27"/>
      <c r="ARO26" s="27"/>
      <c r="ARP26" s="27"/>
      <c r="ARQ26" s="27"/>
      <c r="ARR26" s="27"/>
      <c r="ARS26" s="27"/>
      <c r="ART26" s="27"/>
      <c r="ARU26" s="27"/>
      <c r="ARV26" s="27"/>
      <c r="ARW26" s="27"/>
      <c r="ARX26" s="27"/>
      <c r="ARY26" s="27"/>
      <c r="ARZ26" s="27"/>
      <c r="ASA26" s="27"/>
      <c r="ASB26" s="27"/>
      <c r="ASC26" s="27"/>
      <c r="ASD26" s="27"/>
      <c r="ASE26" s="27"/>
      <c r="ASF26" s="27"/>
      <c r="ASG26" s="27"/>
      <c r="ASH26" s="27"/>
      <c r="ASI26" s="27"/>
      <c r="ASJ26" s="27"/>
      <c r="ASK26" s="27"/>
      <c r="ASL26" s="27"/>
      <c r="ASM26" s="27"/>
      <c r="ASN26" s="27"/>
      <c r="ASO26" s="27"/>
      <c r="ASP26" s="27"/>
      <c r="ASQ26" s="27"/>
      <c r="ASR26" s="27"/>
      <c r="ASS26" s="27"/>
      <c r="AST26" s="27"/>
      <c r="ASU26" s="27"/>
      <c r="ASV26" s="27"/>
      <c r="ASW26" s="27"/>
      <c r="ASX26" s="27"/>
      <c r="ASY26" s="27"/>
      <c r="ASZ26" s="27"/>
      <c r="ATA26" s="27"/>
      <c r="ATB26" s="27"/>
      <c r="ATC26" s="27"/>
      <c r="ATD26" s="27"/>
      <c r="ATE26" s="27"/>
      <c r="ATF26" s="27"/>
      <c r="ATG26" s="27"/>
      <c r="ATH26" s="27"/>
      <c r="ATI26" s="27"/>
      <c r="ATJ26" s="27"/>
      <c r="ATK26" s="27"/>
      <c r="ATL26" s="27"/>
      <c r="ATM26" s="27"/>
      <c r="ATN26" s="27"/>
      <c r="ATO26" s="27"/>
      <c r="ATP26" s="27"/>
      <c r="ATQ26" s="27"/>
      <c r="ATR26" s="27"/>
      <c r="ATS26" s="27"/>
      <c r="ATT26" s="27"/>
      <c r="ATU26" s="27"/>
      <c r="ATV26" s="27"/>
      <c r="ATW26" s="27"/>
      <c r="ATX26" s="27"/>
      <c r="ATY26" s="27"/>
      <c r="ATZ26" s="27"/>
      <c r="AUA26" s="27"/>
      <c r="AUB26" s="27"/>
      <c r="AUC26" s="27"/>
      <c r="AUD26" s="27"/>
      <c r="AUE26" s="27"/>
      <c r="AUF26" s="27"/>
      <c r="AUG26" s="27"/>
      <c r="AUH26" s="27"/>
      <c r="AUI26" s="27"/>
      <c r="AUJ26" s="27"/>
      <c r="AUK26" s="27"/>
      <c r="AUL26" s="27"/>
      <c r="AUM26" s="27"/>
      <c r="AUN26" s="27"/>
      <c r="AUO26" s="27"/>
      <c r="AUP26" s="27"/>
      <c r="AUQ26" s="27"/>
      <c r="AUR26" s="27"/>
      <c r="AUS26" s="27"/>
      <c r="AUT26" s="27"/>
      <c r="AUU26" s="27"/>
      <c r="AUV26" s="27"/>
      <c r="AUW26" s="27"/>
      <c r="AUX26" s="27"/>
      <c r="AUY26" s="27"/>
      <c r="AUZ26" s="27"/>
      <c r="AVA26" s="27"/>
      <c r="AVB26" s="27"/>
      <c r="AVC26" s="27"/>
      <c r="AVD26" s="27"/>
      <c r="AVE26" s="27"/>
      <c r="AVF26" s="27"/>
      <c r="AVG26" s="27"/>
      <c r="AVH26" s="27"/>
      <c r="AVI26" s="27"/>
      <c r="AVJ26" s="27"/>
      <c r="AVK26" s="27"/>
      <c r="AVL26" s="27"/>
      <c r="AVM26" s="27"/>
      <c r="AVN26" s="27"/>
      <c r="AVO26" s="27"/>
      <c r="AVP26" s="27"/>
      <c r="AVQ26" s="27"/>
      <c r="AVR26" s="27"/>
      <c r="AVS26" s="27"/>
      <c r="AVT26" s="27"/>
      <c r="AVU26" s="27"/>
      <c r="AVV26" s="27"/>
      <c r="AVW26" s="27"/>
      <c r="AVX26" s="27"/>
      <c r="AVY26" s="27"/>
      <c r="AVZ26" s="27"/>
      <c r="AWA26" s="27"/>
      <c r="AWB26" s="27"/>
      <c r="AWC26" s="27"/>
      <c r="AWD26" s="27"/>
      <c r="AWE26" s="27"/>
      <c r="AWF26" s="27"/>
      <c r="AWG26" s="27"/>
      <c r="AWH26" s="27"/>
      <c r="AWI26" s="27"/>
      <c r="AWJ26" s="27"/>
      <c r="AWK26" s="27"/>
      <c r="AWL26" s="27"/>
      <c r="AWM26" s="27"/>
      <c r="AWN26" s="27"/>
      <c r="AWO26" s="27"/>
      <c r="AWP26" s="27"/>
      <c r="AWQ26" s="27"/>
      <c r="AWR26" s="27"/>
      <c r="AWS26" s="27"/>
      <c r="AWT26" s="27"/>
      <c r="AWU26" s="27"/>
      <c r="AWV26" s="27"/>
      <c r="AWW26" s="27"/>
      <c r="AWX26" s="27"/>
      <c r="AWY26" s="27"/>
      <c r="AWZ26" s="27"/>
      <c r="AXA26" s="27"/>
      <c r="AXB26" s="27"/>
      <c r="AXC26" s="27"/>
      <c r="AXD26" s="27"/>
      <c r="AXE26" s="27"/>
      <c r="AXF26" s="27"/>
      <c r="AXG26" s="27"/>
      <c r="AXH26" s="27"/>
      <c r="AXI26" s="27"/>
      <c r="AXJ26" s="27"/>
      <c r="AXK26" s="27"/>
      <c r="AXL26" s="27"/>
      <c r="AXM26" s="27"/>
      <c r="AXN26" s="27"/>
      <c r="AXO26" s="27"/>
      <c r="AXP26" s="27"/>
      <c r="AXQ26" s="27"/>
      <c r="AXR26" s="27"/>
      <c r="AXS26" s="27"/>
      <c r="AXT26" s="27"/>
      <c r="AXU26" s="27"/>
      <c r="AXV26" s="27"/>
      <c r="AXW26" s="27"/>
      <c r="AXX26" s="27"/>
      <c r="AXY26" s="27"/>
      <c r="AXZ26" s="27"/>
      <c r="AYA26" s="27"/>
      <c r="AYB26" s="27"/>
      <c r="AYC26" s="27"/>
      <c r="AYD26" s="27"/>
      <c r="AYE26" s="27"/>
      <c r="AYF26" s="27"/>
      <c r="AYG26" s="27"/>
      <c r="AYH26" s="27"/>
      <c r="AYI26" s="27"/>
      <c r="AYJ26" s="27"/>
      <c r="AYK26" s="27"/>
      <c r="AYL26" s="27"/>
      <c r="AYM26" s="27"/>
      <c r="AYN26" s="27"/>
      <c r="AYO26" s="27"/>
      <c r="AYP26" s="27"/>
      <c r="AYQ26" s="27"/>
      <c r="AYR26" s="27"/>
      <c r="AYS26" s="27"/>
      <c r="AYT26" s="27"/>
      <c r="AYU26" s="27"/>
      <c r="AYV26" s="27"/>
      <c r="AYW26" s="27"/>
      <c r="AYX26" s="27"/>
      <c r="AYY26" s="27"/>
      <c r="AYZ26" s="27"/>
      <c r="AZA26" s="27"/>
      <c r="AZB26" s="27"/>
      <c r="AZC26" s="27"/>
      <c r="AZD26" s="27"/>
      <c r="AZE26" s="27"/>
      <c r="AZF26" s="27"/>
      <c r="AZG26" s="27"/>
      <c r="AZH26" s="27"/>
      <c r="AZI26" s="27"/>
      <c r="AZJ26" s="27"/>
      <c r="AZK26" s="27"/>
      <c r="AZL26" s="27"/>
      <c r="AZM26" s="27"/>
      <c r="AZN26" s="27"/>
      <c r="AZO26" s="27"/>
      <c r="AZP26" s="27"/>
      <c r="AZQ26" s="27"/>
      <c r="AZR26" s="27"/>
      <c r="AZS26" s="27"/>
      <c r="AZT26" s="27"/>
      <c r="AZU26" s="27"/>
      <c r="AZV26" s="27"/>
      <c r="AZW26" s="27"/>
      <c r="AZX26" s="27"/>
      <c r="AZY26" s="27"/>
      <c r="AZZ26" s="27"/>
      <c r="BAA26" s="27"/>
      <c r="BAB26" s="27"/>
      <c r="BAC26" s="27"/>
      <c r="BAD26" s="27"/>
      <c r="BAE26" s="27"/>
      <c r="BAF26" s="27"/>
      <c r="BAG26" s="27"/>
      <c r="BAH26" s="27"/>
      <c r="BAI26" s="27"/>
      <c r="BAJ26" s="27"/>
      <c r="BAK26" s="27"/>
      <c r="BAL26" s="27"/>
      <c r="BAM26" s="27"/>
      <c r="BAN26" s="27"/>
      <c r="BAO26" s="27"/>
      <c r="BAP26" s="27"/>
      <c r="BAQ26" s="27"/>
      <c r="BAR26" s="27"/>
      <c r="BAS26" s="27"/>
      <c r="BAT26" s="27"/>
      <c r="BAU26" s="27"/>
      <c r="BAV26" s="27"/>
      <c r="BAW26" s="27"/>
      <c r="BAX26" s="27"/>
      <c r="BAY26" s="27"/>
      <c r="BAZ26" s="27"/>
      <c r="BBA26" s="27"/>
      <c r="BBB26" s="27"/>
      <c r="BBC26" s="27"/>
      <c r="BBD26" s="27"/>
      <c r="BBE26" s="27"/>
      <c r="BBF26" s="27"/>
      <c r="BBG26" s="27"/>
      <c r="BBH26" s="27"/>
      <c r="BBI26" s="27"/>
      <c r="BBJ26" s="27"/>
      <c r="BBK26" s="27"/>
      <c r="BBL26" s="27"/>
      <c r="BBM26" s="27"/>
      <c r="BBN26" s="27"/>
      <c r="BBO26" s="27"/>
      <c r="BBP26" s="27"/>
      <c r="BBQ26" s="27"/>
      <c r="BBR26" s="27"/>
      <c r="BBS26" s="27"/>
      <c r="BBT26" s="27"/>
      <c r="BBU26" s="27"/>
      <c r="BBV26" s="27"/>
      <c r="BBW26" s="27"/>
      <c r="BBX26" s="27"/>
      <c r="BBY26" s="27"/>
      <c r="BBZ26" s="27"/>
      <c r="BCA26" s="27"/>
      <c r="BCB26" s="27"/>
      <c r="BCC26" s="27"/>
      <c r="BCD26" s="27"/>
      <c r="BCE26" s="27"/>
      <c r="BCF26" s="27"/>
      <c r="BCG26" s="27"/>
      <c r="BCH26" s="27"/>
      <c r="BCI26" s="27"/>
      <c r="BCJ26" s="27"/>
      <c r="BCK26" s="27"/>
      <c r="BCL26" s="27"/>
      <c r="BCM26" s="27"/>
      <c r="BCN26" s="27"/>
      <c r="BCO26" s="27"/>
      <c r="BCP26" s="27"/>
      <c r="BCQ26" s="27"/>
      <c r="BCR26" s="27"/>
      <c r="BCS26" s="27"/>
      <c r="BCT26" s="27"/>
      <c r="BCU26" s="27"/>
      <c r="BCV26" s="27"/>
      <c r="BCW26" s="27"/>
      <c r="BCX26" s="27"/>
      <c r="BCY26" s="27"/>
      <c r="BCZ26" s="27"/>
      <c r="BDA26" s="27"/>
      <c r="BDB26" s="27"/>
      <c r="BDC26" s="27"/>
      <c r="BDD26" s="27"/>
      <c r="BDE26" s="27"/>
      <c r="BDF26" s="27"/>
      <c r="BDG26" s="27"/>
      <c r="BDH26" s="27"/>
      <c r="BDI26" s="27"/>
      <c r="BDJ26" s="27"/>
      <c r="BDK26" s="27"/>
      <c r="BDL26" s="27"/>
      <c r="BDM26" s="27"/>
      <c r="BDN26" s="27"/>
      <c r="BDO26" s="27"/>
      <c r="BDP26" s="27"/>
      <c r="BDQ26" s="27"/>
      <c r="BDR26" s="27"/>
      <c r="BDS26" s="27"/>
      <c r="BDT26" s="27"/>
      <c r="BDU26" s="27"/>
      <c r="BDV26" s="27"/>
      <c r="BDW26" s="27"/>
      <c r="BDX26" s="27"/>
      <c r="BDY26" s="27"/>
      <c r="BDZ26" s="27"/>
      <c r="BEA26" s="27"/>
      <c r="BEB26" s="27"/>
      <c r="BEC26" s="27"/>
      <c r="BED26" s="27"/>
      <c r="BEE26" s="27"/>
      <c r="BEF26" s="27"/>
      <c r="BEG26" s="27"/>
      <c r="BEH26" s="27"/>
      <c r="BEI26" s="27"/>
      <c r="BEJ26" s="27"/>
      <c r="BEK26" s="27"/>
      <c r="BEL26" s="27"/>
      <c r="BEM26" s="27"/>
      <c r="BEN26" s="27"/>
      <c r="BEO26" s="27"/>
      <c r="BEP26" s="27"/>
      <c r="BEQ26" s="27"/>
      <c r="BER26" s="27"/>
      <c r="BES26" s="27"/>
      <c r="BET26" s="27"/>
      <c r="BEU26" s="27"/>
      <c r="BEV26" s="27"/>
      <c r="BEW26" s="27"/>
      <c r="BEX26" s="27"/>
      <c r="BEY26" s="27"/>
      <c r="BEZ26" s="27"/>
      <c r="BFA26" s="27"/>
      <c r="BFB26" s="27"/>
      <c r="BFC26" s="27"/>
      <c r="BFD26" s="27"/>
      <c r="BFE26" s="27"/>
      <c r="BFF26" s="27"/>
      <c r="BFG26" s="27"/>
      <c r="BFH26" s="27"/>
      <c r="BFI26" s="27"/>
      <c r="BFJ26" s="27"/>
      <c r="BFK26" s="27"/>
      <c r="BFL26" s="27"/>
      <c r="BFM26" s="27"/>
      <c r="BFN26" s="27"/>
      <c r="BFO26" s="27"/>
      <c r="BFP26" s="27"/>
      <c r="BFQ26" s="27"/>
      <c r="BFR26" s="27"/>
      <c r="BFS26" s="27"/>
      <c r="BFT26" s="27"/>
      <c r="BFU26" s="27"/>
      <c r="BFV26" s="27"/>
      <c r="BFW26" s="27"/>
      <c r="BFX26" s="27"/>
      <c r="BFY26" s="27"/>
      <c r="BFZ26" s="27"/>
      <c r="BGA26" s="27"/>
      <c r="BGB26" s="27"/>
      <c r="BGC26" s="27"/>
      <c r="BGD26" s="27"/>
      <c r="BGE26" s="27"/>
      <c r="BGF26" s="27"/>
      <c r="BGG26" s="27"/>
      <c r="BGH26" s="27"/>
      <c r="BGI26" s="27"/>
      <c r="BGJ26" s="27"/>
      <c r="BGK26" s="27"/>
      <c r="BGL26" s="27"/>
      <c r="BGM26" s="27"/>
      <c r="BGN26" s="27"/>
      <c r="BGO26" s="27"/>
      <c r="BGP26" s="27"/>
      <c r="BGQ26" s="27"/>
      <c r="BGR26" s="27"/>
      <c r="BGS26" s="27"/>
      <c r="BGT26" s="27"/>
      <c r="BGU26" s="27"/>
      <c r="BGV26" s="27"/>
      <c r="BGW26" s="27"/>
      <c r="BGX26" s="27"/>
      <c r="BGY26" s="27"/>
      <c r="BGZ26" s="27"/>
      <c r="BHA26" s="27"/>
      <c r="BHB26" s="27"/>
      <c r="BHC26" s="27"/>
      <c r="BHD26" s="27"/>
      <c r="BHE26" s="27"/>
      <c r="BHF26" s="27"/>
      <c r="BHG26" s="27"/>
      <c r="BHH26" s="27"/>
      <c r="BHI26" s="27"/>
      <c r="BHJ26" s="27"/>
      <c r="BHK26" s="27"/>
      <c r="BHL26" s="27"/>
      <c r="BHM26" s="27"/>
      <c r="BHN26" s="27"/>
      <c r="BHO26" s="27"/>
      <c r="BHP26" s="27"/>
      <c r="BHQ26" s="27"/>
      <c r="BHR26" s="27"/>
      <c r="BHS26" s="27"/>
      <c r="BHT26" s="27"/>
      <c r="BHU26" s="27"/>
      <c r="BHV26" s="27"/>
      <c r="BHW26" s="27"/>
      <c r="BHX26" s="27"/>
      <c r="BHY26" s="27"/>
      <c r="BHZ26" s="27"/>
      <c r="BIA26" s="27"/>
      <c r="BIB26" s="27"/>
      <c r="BIC26" s="27"/>
      <c r="BID26" s="27"/>
      <c r="BIE26" s="27"/>
      <c r="BIF26" s="27"/>
      <c r="BIG26" s="27"/>
      <c r="BIH26" s="27"/>
      <c r="BII26" s="27"/>
      <c r="BIJ26" s="27"/>
      <c r="BIK26" s="27"/>
      <c r="BIL26" s="27"/>
      <c r="BIM26" s="27"/>
      <c r="BIN26" s="27"/>
      <c r="BIO26" s="27"/>
      <c r="BIP26" s="27"/>
      <c r="BIQ26" s="27"/>
      <c r="BIR26" s="27"/>
      <c r="BIS26" s="27"/>
      <c r="BIT26" s="27"/>
      <c r="BIU26" s="27"/>
      <c r="BIV26" s="27"/>
      <c r="BIW26" s="27"/>
      <c r="BIX26" s="27"/>
      <c r="BIY26" s="27"/>
      <c r="BIZ26" s="27"/>
      <c r="BJA26" s="27"/>
      <c r="BJB26" s="27"/>
      <c r="BJC26" s="27"/>
      <c r="BJD26" s="27"/>
      <c r="BJE26" s="27"/>
      <c r="BJF26" s="27"/>
      <c r="BJG26" s="27"/>
      <c r="BJH26" s="27"/>
      <c r="BJI26" s="27"/>
      <c r="BJJ26" s="27"/>
      <c r="BJK26" s="27"/>
      <c r="BJL26" s="27"/>
      <c r="BJM26" s="27"/>
      <c r="BJN26" s="27"/>
      <c r="BJO26" s="27"/>
      <c r="BJP26" s="27"/>
      <c r="BJQ26" s="27"/>
      <c r="BJR26" s="27"/>
      <c r="BJS26" s="27"/>
      <c r="BJT26" s="27"/>
      <c r="BJU26" s="27"/>
      <c r="BJV26" s="27"/>
      <c r="BJW26" s="27"/>
      <c r="BJX26" s="27"/>
      <c r="BJY26" s="27"/>
      <c r="BJZ26" s="27"/>
      <c r="BKA26" s="27"/>
      <c r="BKB26" s="27"/>
      <c r="BKC26" s="27"/>
      <c r="BKD26" s="27"/>
      <c r="BKE26" s="27"/>
      <c r="BKF26" s="27"/>
      <c r="BKG26" s="27"/>
      <c r="BKH26" s="27"/>
      <c r="BKI26" s="27"/>
      <c r="BKJ26" s="27"/>
      <c r="BKK26" s="27"/>
      <c r="BKL26" s="27"/>
      <c r="BKM26" s="27"/>
      <c r="BKN26" s="27"/>
      <c r="BKO26" s="27"/>
      <c r="BKP26" s="27"/>
      <c r="BKQ26" s="27"/>
      <c r="BKR26" s="27"/>
      <c r="BKS26" s="27"/>
      <c r="BKT26" s="27"/>
      <c r="BKU26" s="27"/>
      <c r="BKV26" s="27"/>
      <c r="BKW26" s="27"/>
      <c r="BKX26" s="27"/>
      <c r="BKY26" s="27"/>
      <c r="BKZ26" s="27"/>
      <c r="BLA26" s="27"/>
      <c r="BLB26" s="27"/>
      <c r="BLC26" s="27"/>
      <c r="BLD26" s="27"/>
      <c r="BLE26" s="27"/>
      <c r="BLF26" s="27"/>
      <c r="BLG26" s="27"/>
      <c r="BLH26" s="27"/>
      <c r="BLI26" s="27"/>
      <c r="BLJ26" s="27"/>
      <c r="BLK26" s="27"/>
      <c r="BLL26" s="27"/>
      <c r="BLM26" s="27"/>
      <c r="BLN26" s="27"/>
      <c r="BLO26" s="27"/>
      <c r="BLP26" s="27"/>
      <c r="BLQ26" s="27"/>
      <c r="BLR26" s="27"/>
      <c r="BLS26" s="27"/>
      <c r="BLT26" s="27"/>
      <c r="BLU26" s="27"/>
      <c r="BLV26" s="27"/>
      <c r="BLW26" s="27"/>
      <c r="BLX26" s="27"/>
      <c r="BLY26" s="27"/>
      <c r="BLZ26" s="27"/>
      <c r="BMA26" s="27"/>
      <c r="BMB26" s="27"/>
      <c r="BMC26" s="27"/>
      <c r="BMD26" s="27"/>
      <c r="BME26" s="27"/>
      <c r="BMF26" s="27"/>
      <c r="BMG26" s="27"/>
      <c r="BMH26" s="27"/>
      <c r="BMI26" s="27"/>
      <c r="BMJ26" s="27"/>
      <c r="BMK26" s="27"/>
      <c r="BML26" s="27"/>
      <c r="BMM26" s="27"/>
      <c r="BMN26" s="27"/>
      <c r="BMO26" s="27"/>
      <c r="BMP26" s="27"/>
      <c r="BMQ26" s="27"/>
      <c r="BMR26" s="27"/>
      <c r="BMS26" s="27"/>
      <c r="BMT26" s="27"/>
      <c r="BMU26" s="27"/>
      <c r="BMV26" s="27"/>
      <c r="BMW26" s="27"/>
      <c r="BMX26" s="27"/>
      <c r="BMY26" s="27"/>
      <c r="BMZ26" s="27"/>
      <c r="BNA26" s="27"/>
      <c r="BNB26" s="27"/>
      <c r="BNC26" s="27"/>
      <c r="BND26" s="27"/>
      <c r="BNE26" s="27"/>
      <c r="BNF26" s="27"/>
      <c r="BNG26" s="27"/>
      <c r="BNH26" s="27"/>
      <c r="BNI26" s="27"/>
      <c r="BNJ26" s="27"/>
      <c r="BNK26" s="27"/>
      <c r="BNL26" s="27"/>
      <c r="BNM26" s="27"/>
      <c r="BNN26" s="27"/>
      <c r="BNO26" s="27"/>
      <c r="BNP26" s="27"/>
      <c r="BNQ26" s="27"/>
      <c r="BNR26" s="27"/>
      <c r="BNS26" s="27"/>
      <c r="BNT26" s="27"/>
      <c r="BNU26" s="27"/>
      <c r="BNV26" s="27"/>
      <c r="BNW26" s="27"/>
      <c r="BNX26" s="27"/>
      <c r="BNY26" s="27"/>
      <c r="BNZ26" s="27"/>
      <c r="BOA26" s="27"/>
      <c r="BOB26" s="27"/>
      <c r="BOC26" s="27"/>
      <c r="BOD26" s="27"/>
      <c r="BOE26" s="27"/>
      <c r="BOF26" s="27"/>
      <c r="BOG26" s="27"/>
      <c r="BOH26" s="27"/>
      <c r="BOI26" s="27"/>
      <c r="BOJ26" s="27"/>
      <c r="BOK26" s="27"/>
      <c r="BOL26" s="27"/>
      <c r="BOM26" s="27"/>
      <c r="BON26" s="27"/>
      <c r="BOO26" s="27"/>
      <c r="BOP26" s="27"/>
      <c r="BOQ26" s="27"/>
      <c r="BOR26" s="27"/>
      <c r="BOS26" s="27"/>
      <c r="BOT26" s="27"/>
      <c r="BOU26" s="27"/>
      <c r="BOV26" s="27"/>
      <c r="BOW26" s="27"/>
      <c r="BOX26" s="27"/>
      <c r="BOY26" s="27"/>
      <c r="BOZ26" s="27"/>
      <c r="BPA26" s="27"/>
      <c r="BPB26" s="27"/>
      <c r="BPC26" s="27"/>
      <c r="BPD26" s="27"/>
      <c r="BPE26" s="27"/>
      <c r="BPF26" s="27"/>
      <c r="BPG26" s="27"/>
      <c r="BPH26" s="27"/>
      <c r="BPI26" s="27"/>
      <c r="BPJ26" s="27"/>
      <c r="BPK26" s="27"/>
      <c r="BPL26" s="27"/>
      <c r="BPM26" s="27"/>
      <c r="BPN26" s="27"/>
      <c r="BPO26" s="27"/>
      <c r="BPP26" s="27"/>
      <c r="BPQ26" s="27"/>
      <c r="BPR26" s="27"/>
      <c r="BPS26" s="27"/>
      <c r="BPT26" s="27"/>
      <c r="BPU26" s="27"/>
      <c r="BPV26" s="27"/>
      <c r="BPW26" s="27"/>
      <c r="BPX26" s="27"/>
      <c r="BPY26" s="27"/>
      <c r="BPZ26" s="27"/>
      <c r="BQA26" s="27"/>
      <c r="BQB26" s="27"/>
      <c r="BQC26" s="27"/>
      <c r="BQD26" s="27"/>
      <c r="BQE26" s="27"/>
      <c r="BQF26" s="27"/>
      <c r="BQG26" s="27"/>
      <c r="BQH26" s="27"/>
      <c r="BQI26" s="27"/>
      <c r="BQJ26" s="27"/>
      <c r="BQK26" s="27"/>
      <c r="BQL26" s="27"/>
      <c r="BQM26" s="27"/>
      <c r="BQN26" s="27"/>
      <c r="BQO26" s="27"/>
      <c r="BQP26" s="27"/>
      <c r="BQQ26" s="27"/>
      <c r="BQR26" s="27"/>
      <c r="BQS26" s="27"/>
      <c r="BQT26" s="27"/>
      <c r="BQU26" s="27"/>
      <c r="BQV26" s="27"/>
      <c r="BQW26" s="27"/>
      <c r="BQX26" s="27"/>
      <c r="BQY26" s="27"/>
      <c r="BQZ26" s="27"/>
      <c r="BRA26" s="27"/>
      <c r="BRB26" s="27"/>
      <c r="BRC26" s="27"/>
      <c r="BRD26" s="27"/>
      <c r="BRE26" s="27"/>
      <c r="BRF26" s="27"/>
      <c r="BRG26" s="27"/>
      <c r="BRH26" s="27"/>
      <c r="BRI26" s="27"/>
      <c r="BRJ26" s="27"/>
      <c r="BRK26" s="27"/>
      <c r="BRL26" s="27"/>
      <c r="BRM26" s="27"/>
      <c r="BRN26" s="27"/>
      <c r="BRO26" s="27"/>
      <c r="BRP26" s="27"/>
      <c r="BRQ26" s="27"/>
      <c r="BRR26" s="27"/>
      <c r="BRS26" s="27"/>
      <c r="BRT26" s="27"/>
      <c r="BRU26" s="27"/>
      <c r="BRV26" s="27"/>
      <c r="BRW26" s="27"/>
      <c r="BRX26" s="27"/>
      <c r="BRY26" s="27"/>
      <c r="BRZ26" s="27"/>
      <c r="BSA26" s="27"/>
      <c r="BSB26" s="27"/>
      <c r="BSC26" s="27"/>
      <c r="BSD26" s="27"/>
      <c r="BSE26" s="27"/>
      <c r="BSF26" s="27"/>
      <c r="BSG26" s="27"/>
      <c r="BSH26" s="27"/>
      <c r="BSI26" s="27"/>
      <c r="BSJ26" s="27"/>
      <c r="BSK26" s="27"/>
      <c r="BSL26" s="27"/>
      <c r="BSM26" s="27"/>
      <c r="BSN26" s="27"/>
      <c r="BSO26" s="27"/>
      <c r="BSP26" s="27"/>
      <c r="BSQ26" s="27"/>
      <c r="BSR26" s="27"/>
      <c r="BSS26" s="27"/>
      <c r="BST26" s="27"/>
      <c r="BSU26" s="27"/>
      <c r="BSV26" s="27"/>
      <c r="BSW26" s="27"/>
      <c r="BSX26" s="27"/>
      <c r="BSY26" s="27"/>
      <c r="BSZ26" s="27"/>
      <c r="BTA26" s="27"/>
      <c r="BTB26" s="27"/>
      <c r="BTC26" s="27"/>
      <c r="BTD26" s="27"/>
      <c r="BTE26" s="27"/>
      <c r="BTF26" s="27"/>
      <c r="BTG26" s="27"/>
      <c r="BTH26" s="27"/>
      <c r="BTI26" s="27"/>
      <c r="BTJ26" s="27"/>
      <c r="BTK26" s="27"/>
      <c r="BTL26" s="27"/>
      <c r="BTM26" s="27"/>
      <c r="BTN26" s="27"/>
      <c r="BTO26" s="27"/>
      <c r="BTP26" s="27"/>
      <c r="BTQ26" s="27"/>
      <c r="BTR26" s="27"/>
      <c r="BTS26" s="27"/>
      <c r="BTT26" s="27"/>
      <c r="BTU26" s="27"/>
      <c r="BTV26" s="27"/>
      <c r="BTW26" s="27"/>
      <c r="BTX26" s="27"/>
      <c r="BTY26" s="27"/>
      <c r="BTZ26" s="27"/>
      <c r="BUA26" s="27"/>
      <c r="BUB26" s="27"/>
      <c r="BUC26" s="27"/>
      <c r="BUD26" s="27"/>
      <c r="BUE26" s="27"/>
      <c r="BUF26" s="27"/>
      <c r="BUG26" s="27"/>
      <c r="BUH26" s="27"/>
      <c r="BUI26" s="27"/>
      <c r="BUJ26" s="27"/>
      <c r="BUK26" s="27"/>
      <c r="BUL26" s="27"/>
      <c r="BUM26" s="27"/>
      <c r="BUN26" s="27"/>
      <c r="BUO26" s="27"/>
      <c r="BUP26" s="27"/>
      <c r="BUQ26" s="27"/>
      <c r="BUR26" s="27"/>
      <c r="BUS26" s="27"/>
      <c r="BUT26" s="27"/>
      <c r="BUU26" s="27"/>
      <c r="BUV26" s="27"/>
      <c r="BUW26" s="27"/>
      <c r="BUX26" s="27"/>
      <c r="BUY26" s="27"/>
      <c r="BUZ26" s="27"/>
      <c r="BVA26" s="27"/>
      <c r="BVB26" s="27"/>
      <c r="BVC26" s="27"/>
      <c r="BVD26" s="27"/>
      <c r="BVE26" s="27"/>
      <c r="BVF26" s="27"/>
      <c r="BVG26" s="27"/>
      <c r="BVH26" s="27"/>
      <c r="BVI26" s="27"/>
      <c r="BVJ26" s="27"/>
      <c r="BVK26" s="27"/>
      <c r="BVL26" s="27"/>
      <c r="BVM26" s="27"/>
      <c r="BVN26" s="27"/>
      <c r="BVO26" s="27"/>
      <c r="BVP26" s="27"/>
      <c r="BVQ26" s="27"/>
      <c r="BVR26" s="27"/>
      <c r="BVS26" s="27"/>
      <c r="BVT26" s="27"/>
      <c r="BVU26" s="27"/>
      <c r="BVV26" s="27"/>
      <c r="BVW26" s="27"/>
      <c r="BVX26" s="27"/>
      <c r="BVY26" s="27"/>
      <c r="BVZ26" s="27"/>
      <c r="BWA26" s="27"/>
      <c r="BWB26" s="27"/>
      <c r="BWC26" s="27"/>
      <c r="BWD26" s="27"/>
      <c r="BWE26" s="27"/>
      <c r="BWF26" s="27"/>
      <c r="BWG26" s="27"/>
      <c r="BWH26" s="27"/>
      <c r="BWI26" s="27"/>
      <c r="BWJ26" s="27"/>
      <c r="BWK26" s="27"/>
      <c r="BWL26" s="27"/>
      <c r="BWM26" s="27"/>
      <c r="BWN26" s="27"/>
      <c r="BWO26" s="27"/>
      <c r="BWP26" s="27"/>
      <c r="BWQ26" s="27"/>
      <c r="BWR26" s="27"/>
      <c r="BWS26" s="27"/>
      <c r="BWT26" s="27"/>
      <c r="BWU26" s="27"/>
      <c r="BWV26" s="27"/>
      <c r="BWW26" s="27"/>
      <c r="BWX26" s="27"/>
      <c r="BWY26" s="27"/>
      <c r="BWZ26" s="27"/>
      <c r="BXA26" s="27"/>
      <c r="BXB26" s="27"/>
      <c r="BXC26" s="27"/>
      <c r="BXD26" s="27"/>
      <c r="BXE26" s="27"/>
      <c r="BXF26" s="27"/>
      <c r="BXG26" s="27"/>
      <c r="BXH26" s="27"/>
      <c r="BXI26" s="27"/>
      <c r="BXJ26" s="27"/>
      <c r="BXK26" s="27"/>
      <c r="BXL26" s="27"/>
      <c r="BXM26" s="27"/>
      <c r="BXN26" s="27"/>
      <c r="BXO26" s="27"/>
      <c r="BXP26" s="27"/>
      <c r="BXQ26" s="27"/>
      <c r="BXR26" s="27"/>
      <c r="BXS26" s="27"/>
      <c r="BXT26" s="27"/>
      <c r="BXU26" s="27"/>
      <c r="BXV26" s="27"/>
      <c r="BXW26" s="27"/>
      <c r="BXX26" s="27"/>
      <c r="BXY26" s="27"/>
      <c r="BXZ26" s="27"/>
      <c r="BYA26" s="27"/>
      <c r="BYB26" s="27"/>
      <c r="BYC26" s="27"/>
      <c r="BYD26" s="27"/>
      <c r="BYE26" s="27"/>
      <c r="BYF26" s="27"/>
      <c r="BYG26" s="27"/>
      <c r="BYH26" s="27"/>
      <c r="BYI26" s="27"/>
      <c r="BYJ26" s="27"/>
      <c r="BYK26" s="27"/>
      <c r="BYL26" s="27"/>
      <c r="BYM26" s="27"/>
      <c r="BYN26" s="27"/>
      <c r="BYO26" s="27"/>
      <c r="BYP26" s="27"/>
      <c r="BYQ26" s="27"/>
      <c r="BYR26" s="27"/>
      <c r="BYS26" s="27"/>
      <c r="BYT26" s="27"/>
      <c r="BYU26" s="27"/>
      <c r="BYV26" s="27"/>
      <c r="BYW26" s="27"/>
      <c r="BYX26" s="27"/>
      <c r="BYY26" s="27"/>
      <c r="BYZ26" s="27"/>
      <c r="BZA26" s="27"/>
      <c r="BZB26" s="27"/>
      <c r="BZC26" s="27"/>
      <c r="BZD26" s="27"/>
      <c r="BZE26" s="27"/>
      <c r="BZF26" s="27"/>
      <c r="BZG26" s="27"/>
      <c r="BZH26" s="27"/>
      <c r="BZI26" s="27"/>
      <c r="BZJ26" s="27"/>
      <c r="BZK26" s="27"/>
      <c r="BZL26" s="27"/>
      <c r="BZM26" s="27"/>
      <c r="BZN26" s="27"/>
      <c r="BZO26" s="27"/>
      <c r="BZP26" s="27"/>
      <c r="BZQ26" s="27"/>
      <c r="BZR26" s="27"/>
      <c r="BZS26" s="27"/>
      <c r="BZT26" s="27"/>
      <c r="BZU26" s="27"/>
      <c r="BZV26" s="27"/>
      <c r="BZW26" s="27"/>
      <c r="BZX26" s="27"/>
      <c r="BZY26" s="27"/>
      <c r="BZZ26" s="27"/>
      <c r="CAA26" s="27"/>
      <c r="CAB26" s="27"/>
      <c r="CAC26" s="27"/>
      <c r="CAD26" s="27"/>
      <c r="CAE26" s="27"/>
      <c r="CAF26" s="27"/>
      <c r="CAG26" s="27"/>
      <c r="CAH26" s="27"/>
      <c r="CAI26" s="27"/>
      <c r="CAJ26" s="27"/>
      <c r="CAK26" s="27"/>
      <c r="CAL26" s="27"/>
      <c r="CAM26" s="27"/>
      <c r="CAN26" s="27"/>
      <c r="CAO26" s="27"/>
      <c r="CAP26" s="27"/>
      <c r="CAQ26" s="27"/>
      <c r="CAR26" s="27"/>
      <c r="CAS26" s="27"/>
      <c r="CAT26" s="27"/>
      <c r="CAU26" s="27"/>
      <c r="CAV26" s="27"/>
      <c r="CAW26" s="27"/>
      <c r="CAX26" s="27"/>
      <c r="CAY26" s="27"/>
      <c r="CAZ26" s="27"/>
      <c r="CBA26" s="27"/>
      <c r="CBB26" s="27"/>
      <c r="CBC26" s="27"/>
      <c r="CBD26" s="27"/>
      <c r="CBE26" s="27"/>
      <c r="CBF26" s="27"/>
      <c r="CBG26" s="27"/>
      <c r="CBH26" s="27"/>
      <c r="CBI26" s="27"/>
      <c r="CBJ26" s="27"/>
      <c r="CBK26" s="27"/>
      <c r="CBL26" s="27"/>
      <c r="CBM26" s="27"/>
      <c r="CBN26" s="27"/>
      <c r="CBO26" s="27"/>
      <c r="CBP26" s="27"/>
      <c r="CBQ26" s="27"/>
      <c r="CBR26" s="27"/>
      <c r="CBS26" s="27"/>
      <c r="CBT26" s="27"/>
      <c r="CBU26" s="27"/>
      <c r="CBV26" s="27"/>
      <c r="CBW26" s="27"/>
      <c r="CBX26" s="27"/>
      <c r="CBY26" s="27"/>
      <c r="CBZ26" s="27"/>
      <c r="CCA26" s="27"/>
      <c r="CCB26" s="27"/>
      <c r="CCC26" s="27"/>
      <c r="CCD26" s="27"/>
      <c r="CCE26" s="27"/>
      <c r="CCF26" s="27"/>
      <c r="CCG26" s="27"/>
      <c r="CCH26" s="27"/>
      <c r="CCI26" s="27"/>
      <c r="CCJ26" s="27"/>
      <c r="CCK26" s="27"/>
      <c r="CCL26" s="27"/>
      <c r="CCM26" s="27"/>
      <c r="CCN26" s="27"/>
      <c r="CCO26" s="27"/>
      <c r="CCP26" s="27"/>
      <c r="CCQ26" s="27"/>
      <c r="CCR26" s="27"/>
      <c r="CCS26" s="27"/>
      <c r="CCT26" s="27"/>
      <c r="CCU26" s="27"/>
      <c r="CCV26" s="27"/>
      <c r="CCW26" s="27"/>
      <c r="CCX26" s="27"/>
      <c r="CCY26" s="27"/>
      <c r="CCZ26" s="27"/>
      <c r="CDA26" s="27"/>
      <c r="CDB26" s="27"/>
      <c r="CDC26" s="27"/>
      <c r="CDD26" s="27"/>
      <c r="CDE26" s="27"/>
      <c r="CDF26" s="27"/>
      <c r="CDG26" s="27"/>
      <c r="CDH26" s="27"/>
      <c r="CDI26" s="27"/>
      <c r="CDJ26" s="27"/>
      <c r="CDK26" s="27"/>
      <c r="CDL26" s="27"/>
      <c r="CDM26" s="27"/>
      <c r="CDN26" s="27"/>
      <c r="CDO26" s="27"/>
      <c r="CDP26" s="27"/>
      <c r="CDQ26" s="27"/>
      <c r="CDR26" s="27"/>
      <c r="CDS26" s="27"/>
      <c r="CDT26" s="27"/>
      <c r="CDU26" s="27"/>
      <c r="CDV26" s="27"/>
      <c r="CDW26" s="27"/>
      <c r="CDX26" s="27"/>
      <c r="CDY26" s="27"/>
      <c r="CDZ26" s="27"/>
      <c r="CEA26" s="27"/>
      <c r="CEB26" s="27"/>
      <c r="CEC26" s="27"/>
      <c r="CED26" s="27"/>
      <c r="CEE26" s="27"/>
      <c r="CEF26" s="27"/>
      <c r="CEG26" s="27"/>
      <c r="CEH26" s="27"/>
      <c r="CEI26" s="27"/>
      <c r="CEJ26" s="27"/>
      <c r="CEK26" s="27"/>
      <c r="CEL26" s="27"/>
      <c r="CEM26" s="27"/>
      <c r="CEN26" s="27"/>
      <c r="CEO26" s="27"/>
      <c r="CEP26" s="27"/>
      <c r="CEQ26" s="27"/>
      <c r="CER26" s="27"/>
      <c r="CES26" s="27"/>
      <c r="CET26" s="27"/>
      <c r="CEU26" s="27"/>
      <c r="CEV26" s="27"/>
      <c r="CEW26" s="27"/>
      <c r="CEX26" s="27"/>
      <c r="CEY26" s="27"/>
      <c r="CEZ26" s="27"/>
      <c r="CFA26" s="27"/>
      <c r="CFB26" s="27"/>
      <c r="CFC26" s="27"/>
      <c r="CFD26" s="27"/>
      <c r="CFE26" s="27"/>
      <c r="CFF26" s="27"/>
      <c r="CFG26" s="27"/>
      <c r="CFH26" s="27"/>
      <c r="CFI26" s="27"/>
      <c r="CFJ26" s="27"/>
      <c r="CFK26" s="27"/>
      <c r="CFL26" s="27"/>
      <c r="CFM26" s="27"/>
      <c r="CFN26" s="27"/>
      <c r="CFO26" s="27"/>
      <c r="CFP26" s="27"/>
      <c r="CFQ26" s="27"/>
      <c r="CFR26" s="27"/>
      <c r="CFS26" s="27"/>
      <c r="CFT26" s="27"/>
      <c r="CFU26" s="27"/>
      <c r="CFV26" s="27"/>
      <c r="CFW26" s="27"/>
      <c r="CFX26" s="27"/>
      <c r="CFY26" s="27"/>
      <c r="CFZ26" s="27"/>
      <c r="CGA26" s="27"/>
      <c r="CGB26" s="27"/>
      <c r="CGC26" s="27"/>
      <c r="CGD26" s="27"/>
      <c r="CGE26" s="27"/>
      <c r="CGF26" s="27"/>
      <c r="CGG26" s="27"/>
      <c r="CGH26" s="27"/>
      <c r="CGI26" s="27"/>
      <c r="CGJ26" s="27"/>
      <c r="CGK26" s="27"/>
      <c r="CGL26" s="27"/>
      <c r="CGM26" s="27"/>
      <c r="CGN26" s="27"/>
      <c r="CGO26" s="27"/>
      <c r="CGP26" s="27"/>
      <c r="CGQ26" s="27"/>
      <c r="CGR26" s="27"/>
      <c r="CGS26" s="27"/>
      <c r="CGT26" s="27"/>
      <c r="CGU26" s="27"/>
      <c r="CGV26" s="27"/>
      <c r="CGW26" s="27"/>
      <c r="CGX26" s="27"/>
      <c r="CGY26" s="27"/>
      <c r="CGZ26" s="27"/>
      <c r="CHA26" s="27"/>
      <c r="CHB26" s="27"/>
      <c r="CHC26" s="27"/>
      <c r="CHD26" s="27"/>
      <c r="CHE26" s="27"/>
      <c r="CHF26" s="27"/>
      <c r="CHG26" s="27"/>
      <c r="CHH26" s="27"/>
      <c r="CHI26" s="27"/>
      <c r="CHJ26" s="27"/>
      <c r="CHK26" s="27"/>
      <c r="CHL26" s="27"/>
      <c r="CHM26" s="27"/>
      <c r="CHN26" s="27"/>
      <c r="CHO26" s="27"/>
      <c r="CHP26" s="27"/>
      <c r="CHQ26" s="27"/>
      <c r="CHR26" s="27"/>
      <c r="CHS26" s="27"/>
      <c r="CHT26" s="27"/>
      <c r="CHU26" s="27"/>
      <c r="CHV26" s="27"/>
      <c r="CHW26" s="27"/>
      <c r="CHX26" s="27"/>
      <c r="CHY26" s="27"/>
      <c r="CHZ26" s="27"/>
      <c r="CIA26" s="27"/>
      <c r="CIB26" s="27"/>
      <c r="CIC26" s="27"/>
      <c r="CID26" s="27"/>
      <c r="CIE26" s="27"/>
      <c r="CIF26" s="27"/>
      <c r="CIG26" s="27"/>
      <c r="CIH26" s="27"/>
      <c r="CII26" s="27"/>
      <c r="CIJ26" s="27"/>
      <c r="CIK26" s="27"/>
      <c r="CIL26" s="27"/>
      <c r="CIM26" s="27"/>
      <c r="CIN26" s="27"/>
      <c r="CIO26" s="27"/>
      <c r="CIP26" s="27"/>
      <c r="CIQ26" s="27"/>
      <c r="CIR26" s="27"/>
      <c r="CIS26" s="27"/>
      <c r="CIT26" s="27"/>
      <c r="CIU26" s="27"/>
      <c r="CIV26" s="27"/>
      <c r="CIW26" s="27"/>
      <c r="CIX26" s="27"/>
      <c r="CIY26" s="27"/>
      <c r="CIZ26" s="27"/>
      <c r="CJA26" s="27"/>
      <c r="CJB26" s="27"/>
      <c r="CJC26" s="27"/>
      <c r="CJD26" s="27"/>
      <c r="CJE26" s="27"/>
      <c r="CJF26" s="27"/>
      <c r="CJG26" s="27"/>
      <c r="CJH26" s="27"/>
      <c r="CJI26" s="27"/>
      <c r="CJJ26" s="27"/>
      <c r="CJK26" s="27"/>
      <c r="CJL26" s="27"/>
      <c r="CJM26" s="27"/>
      <c r="CJN26" s="27"/>
      <c r="CJO26" s="27"/>
      <c r="CJP26" s="27"/>
      <c r="CJQ26" s="27"/>
      <c r="CJR26" s="27"/>
      <c r="CJS26" s="27"/>
      <c r="CJT26" s="27"/>
      <c r="CJU26" s="27"/>
      <c r="CJV26" s="27"/>
      <c r="CJW26" s="27"/>
      <c r="CJX26" s="27"/>
      <c r="CJY26" s="27"/>
      <c r="CJZ26" s="27"/>
      <c r="CKA26" s="27"/>
      <c r="CKB26" s="27"/>
      <c r="CKC26" s="27"/>
      <c r="CKD26" s="27"/>
      <c r="CKE26" s="27"/>
      <c r="CKF26" s="27"/>
      <c r="CKG26" s="27"/>
      <c r="CKH26" s="27"/>
      <c r="CKI26" s="27"/>
      <c r="CKJ26" s="27"/>
      <c r="CKK26" s="27"/>
      <c r="CKL26" s="27"/>
      <c r="CKM26" s="27"/>
      <c r="CKN26" s="27"/>
      <c r="CKO26" s="27"/>
      <c r="CKP26" s="27"/>
      <c r="CKQ26" s="27"/>
      <c r="CKR26" s="27"/>
      <c r="CKS26" s="27"/>
      <c r="CKT26" s="27"/>
      <c r="CKU26" s="27"/>
      <c r="CKV26" s="27"/>
      <c r="CKW26" s="27"/>
      <c r="CKX26" s="27"/>
      <c r="CKY26" s="27"/>
      <c r="CKZ26" s="27"/>
      <c r="CLA26" s="27"/>
      <c r="CLB26" s="27"/>
      <c r="CLC26" s="27"/>
      <c r="CLD26" s="27"/>
      <c r="CLE26" s="27"/>
      <c r="CLF26" s="27"/>
      <c r="CLG26" s="27"/>
      <c r="CLH26" s="27"/>
      <c r="CLI26" s="27"/>
      <c r="CLJ26" s="27"/>
      <c r="CLK26" s="27"/>
      <c r="CLL26" s="27"/>
      <c r="CLM26" s="27"/>
      <c r="CLN26" s="27"/>
      <c r="CLO26" s="27"/>
      <c r="CLP26" s="27"/>
      <c r="CLQ26" s="27"/>
      <c r="CLR26" s="27"/>
      <c r="CLS26" s="27"/>
      <c r="CLT26" s="27"/>
      <c r="CLU26" s="27"/>
      <c r="CLV26" s="27"/>
      <c r="CLW26" s="27"/>
      <c r="CLX26" s="27"/>
      <c r="CLY26" s="27"/>
      <c r="CLZ26" s="27"/>
      <c r="CMA26" s="27"/>
      <c r="CMB26" s="27"/>
      <c r="CMC26" s="27"/>
      <c r="CMD26" s="27"/>
      <c r="CME26" s="27"/>
      <c r="CMF26" s="27"/>
      <c r="CMG26" s="27"/>
      <c r="CMH26" s="27"/>
      <c r="CMI26" s="27"/>
      <c r="CMJ26" s="27"/>
      <c r="CMK26" s="27"/>
      <c r="CML26" s="27"/>
      <c r="CMM26" s="27"/>
      <c r="CMN26" s="27"/>
      <c r="CMO26" s="27"/>
      <c r="CMP26" s="27"/>
      <c r="CMQ26" s="27"/>
      <c r="CMR26" s="27"/>
      <c r="CMS26" s="27"/>
      <c r="CMT26" s="27"/>
      <c r="CMU26" s="27"/>
      <c r="CMV26" s="27"/>
      <c r="CMW26" s="27"/>
      <c r="CMX26" s="27"/>
      <c r="CMY26" s="27"/>
      <c r="CMZ26" s="27"/>
      <c r="CNA26" s="27"/>
      <c r="CNB26" s="27"/>
      <c r="CNC26" s="27"/>
      <c r="CND26" s="27"/>
      <c r="CNE26" s="27"/>
      <c r="CNF26" s="27"/>
      <c r="CNG26" s="27"/>
      <c r="CNH26" s="27"/>
      <c r="CNI26" s="27"/>
      <c r="CNJ26" s="27"/>
      <c r="CNK26" s="27"/>
      <c r="CNL26" s="27"/>
      <c r="CNM26" s="27"/>
      <c r="CNN26" s="27"/>
      <c r="CNO26" s="27"/>
      <c r="CNP26" s="27"/>
      <c r="CNQ26" s="27"/>
      <c r="CNR26" s="27"/>
      <c r="CNS26" s="27"/>
      <c r="CNT26" s="27"/>
      <c r="CNU26" s="27"/>
      <c r="CNV26" s="27"/>
      <c r="CNW26" s="27"/>
      <c r="CNX26" s="27"/>
      <c r="CNY26" s="27"/>
      <c r="CNZ26" s="27"/>
      <c r="COA26" s="27"/>
      <c r="COB26" s="27"/>
      <c r="COC26" s="27"/>
      <c r="COD26" s="27"/>
      <c r="COE26" s="27"/>
      <c r="COF26" s="27"/>
      <c r="COG26" s="27"/>
      <c r="COH26" s="27"/>
      <c r="COI26" s="27"/>
      <c r="COJ26" s="27"/>
      <c r="COK26" s="27"/>
      <c r="COL26" s="27"/>
      <c r="COM26" s="27"/>
      <c r="CON26" s="27"/>
      <c r="COO26" s="27"/>
      <c r="COP26" s="27"/>
      <c r="COQ26" s="27"/>
      <c r="COR26" s="27"/>
      <c r="COS26" s="27"/>
      <c r="COT26" s="27"/>
      <c r="COU26" s="27"/>
      <c r="COV26" s="27"/>
      <c r="COW26" s="27"/>
      <c r="COX26" s="27"/>
      <c r="COY26" s="27"/>
      <c r="COZ26" s="27"/>
      <c r="CPA26" s="27"/>
      <c r="CPB26" s="27"/>
      <c r="CPC26" s="27"/>
      <c r="CPD26" s="27"/>
      <c r="CPE26" s="27"/>
      <c r="CPF26" s="27"/>
      <c r="CPG26" s="27"/>
      <c r="CPH26" s="27"/>
      <c r="CPI26" s="27"/>
      <c r="CPJ26" s="27"/>
      <c r="CPK26" s="27"/>
      <c r="CPL26" s="27"/>
      <c r="CPM26" s="27"/>
      <c r="CPN26" s="27"/>
      <c r="CPO26" s="27"/>
      <c r="CPP26" s="27"/>
      <c r="CPQ26" s="27"/>
      <c r="CPR26" s="27"/>
      <c r="CPS26" s="27"/>
      <c r="CPT26" s="27"/>
      <c r="CPU26" s="27"/>
      <c r="CPV26" s="27"/>
      <c r="CPW26" s="27"/>
      <c r="CPX26" s="27"/>
      <c r="CPY26" s="27"/>
      <c r="CPZ26" s="27"/>
      <c r="CQA26" s="27"/>
      <c r="CQB26" s="27"/>
      <c r="CQC26" s="27"/>
      <c r="CQD26" s="27"/>
      <c r="CQE26" s="27"/>
      <c r="CQF26" s="27"/>
      <c r="CQG26" s="27"/>
      <c r="CQH26" s="27"/>
      <c r="CQI26" s="27"/>
      <c r="CQJ26" s="27"/>
      <c r="CQK26" s="27"/>
      <c r="CQL26" s="27"/>
      <c r="CQM26" s="27"/>
      <c r="CQN26" s="27"/>
      <c r="CQO26" s="27"/>
      <c r="CQP26" s="27"/>
      <c r="CQQ26" s="27"/>
      <c r="CQR26" s="27"/>
      <c r="CQS26" s="27"/>
      <c r="CQT26" s="27"/>
      <c r="CQU26" s="27"/>
      <c r="CQV26" s="27"/>
      <c r="CQW26" s="27"/>
      <c r="CQX26" s="27"/>
      <c r="CQY26" s="27"/>
      <c r="CQZ26" s="27"/>
      <c r="CRA26" s="27"/>
      <c r="CRB26" s="27"/>
      <c r="CRC26" s="27"/>
      <c r="CRD26" s="27"/>
      <c r="CRE26" s="27"/>
      <c r="CRF26" s="27"/>
      <c r="CRG26" s="27"/>
      <c r="CRH26" s="27"/>
      <c r="CRI26" s="27"/>
      <c r="CRJ26" s="27"/>
      <c r="CRK26" s="27"/>
      <c r="CRL26" s="27"/>
      <c r="CRM26" s="27"/>
      <c r="CRN26" s="27"/>
      <c r="CRO26" s="27"/>
      <c r="CRP26" s="27"/>
      <c r="CRQ26" s="27"/>
      <c r="CRR26" s="27"/>
      <c r="CRS26" s="27"/>
      <c r="CRT26" s="27"/>
      <c r="CRU26" s="27"/>
      <c r="CRV26" s="27"/>
      <c r="CRW26" s="27"/>
      <c r="CRX26" s="27"/>
      <c r="CRY26" s="27"/>
      <c r="CRZ26" s="27"/>
      <c r="CSA26" s="27"/>
      <c r="CSB26" s="27"/>
      <c r="CSC26" s="27"/>
      <c r="CSD26" s="27"/>
      <c r="CSE26" s="27"/>
      <c r="CSF26" s="27"/>
      <c r="CSG26" s="27"/>
      <c r="CSH26" s="27"/>
      <c r="CSI26" s="27"/>
      <c r="CSJ26" s="27"/>
      <c r="CSK26" s="27"/>
      <c r="CSL26" s="27"/>
      <c r="CSM26" s="27"/>
      <c r="CSN26" s="27"/>
      <c r="CSO26" s="27"/>
      <c r="CSP26" s="27"/>
      <c r="CSQ26" s="27"/>
      <c r="CSR26" s="27"/>
      <c r="CSS26" s="27"/>
      <c r="CST26" s="27"/>
      <c r="CSU26" s="27"/>
      <c r="CSV26" s="27"/>
      <c r="CSW26" s="27"/>
      <c r="CSX26" s="27"/>
      <c r="CSY26" s="27"/>
      <c r="CSZ26" s="27"/>
      <c r="CTA26" s="27"/>
      <c r="CTB26" s="27"/>
      <c r="CTC26" s="27"/>
      <c r="CTD26" s="27"/>
      <c r="CTE26" s="27"/>
      <c r="CTF26" s="27"/>
      <c r="CTG26" s="27"/>
      <c r="CTH26" s="27"/>
      <c r="CTI26" s="27"/>
      <c r="CTJ26" s="27"/>
      <c r="CTK26" s="27"/>
      <c r="CTL26" s="27"/>
      <c r="CTM26" s="27"/>
      <c r="CTN26" s="27"/>
      <c r="CTO26" s="27"/>
      <c r="CTP26" s="27"/>
      <c r="CTQ26" s="27"/>
      <c r="CTR26" s="27"/>
      <c r="CTS26" s="27"/>
      <c r="CTT26" s="27"/>
      <c r="CTU26" s="27"/>
      <c r="CTV26" s="27"/>
      <c r="CTW26" s="27"/>
      <c r="CTX26" s="27"/>
      <c r="CTY26" s="27"/>
      <c r="CTZ26" s="27"/>
      <c r="CUA26" s="27"/>
    </row>
    <row r="27" s="30" customFormat="1" ht="16" customHeight="1" spans="1:2575">
      <c r="A27" s="268">
        <v>36</v>
      </c>
      <c r="B27" s="268" t="s">
        <v>13</v>
      </c>
      <c r="C27" s="268" t="s">
        <v>37</v>
      </c>
      <c r="D27" s="82" t="s">
        <v>330</v>
      </c>
      <c r="E27" s="29" t="s">
        <v>742</v>
      </c>
      <c r="F27" s="31" t="s">
        <v>747</v>
      </c>
      <c r="G27" s="31" t="s">
        <v>744</v>
      </c>
      <c r="H27" s="32">
        <v>10040178</v>
      </c>
      <c r="I27" s="32">
        <v>2010.1</v>
      </c>
      <c r="J27" s="119" t="s">
        <v>745</v>
      </c>
      <c r="K27" s="31" t="s">
        <v>42</v>
      </c>
      <c r="L27" s="31" t="s">
        <v>667</v>
      </c>
      <c r="M27" s="29" t="s">
        <v>674</v>
      </c>
      <c r="N27" s="94">
        <v>45574</v>
      </c>
      <c r="O27" s="94">
        <v>45938</v>
      </c>
      <c r="P27" s="29">
        <v>300</v>
      </c>
      <c r="Q27" s="85"/>
      <c r="R27" s="251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27"/>
      <c r="AIR27" s="27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  <c r="ALK27" s="27"/>
      <c r="ALL27" s="27"/>
      <c r="ALM27" s="27"/>
      <c r="ALN27" s="27"/>
      <c r="ALO27" s="27"/>
      <c r="ALP27" s="27"/>
      <c r="ALQ27" s="27"/>
      <c r="ALR27" s="27"/>
      <c r="ALS27" s="27"/>
      <c r="ALT27" s="27"/>
      <c r="ALU27" s="27"/>
      <c r="ALV27" s="27"/>
      <c r="ALW27" s="27"/>
      <c r="ALX27" s="27"/>
      <c r="ALY27" s="27"/>
      <c r="ALZ27" s="27"/>
      <c r="AMA27" s="27"/>
      <c r="AMB27" s="27"/>
      <c r="AMC27" s="27"/>
      <c r="AMD27" s="27"/>
      <c r="AME27" s="27"/>
      <c r="AMF27" s="27"/>
      <c r="AMG27" s="27"/>
      <c r="AMH27" s="27"/>
      <c r="AMI27" s="27"/>
      <c r="AMJ27" s="27"/>
      <c r="AMK27" s="27"/>
      <c r="AML27" s="27"/>
      <c r="AMM27" s="27"/>
      <c r="AMN27" s="27"/>
      <c r="AMO27" s="27"/>
      <c r="AMP27" s="27"/>
      <c r="AMQ27" s="27"/>
      <c r="AMR27" s="27"/>
      <c r="AMS27" s="27"/>
      <c r="AMT27" s="27"/>
      <c r="AMU27" s="27"/>
      <c r="AMV27" s="27"/>
      <c r="AMW27" s="27"/>
      <c r="AMX27" s="27"/>
      <c r="AMY27" s="27"/>
      <c r="AMZ27" s="27"/>
      <c r="ANA27" s="27"/>
      <c r="ANB27" s="27"/>
      <c r="ANC27" s="27"/>
      <c r="AND27" s="27"/>
      <c r="ANE27" s="27"/>
      <c r="ANF27" s="27"/>
      <c r="ANG27" s="27"/>
      <c r="ANH27" s="27"/>
      <c r="ANI27" s="27"/>
      <c r="ANJ27" s="27"/>
      <c r="ANK27" s="27"/>
      <c r="ANL27" s="27"/>
      <c r="ANM27" s="27"/>
      <c r="ANN27" s="27"/>
      <c r="ANO27" s="27"/>
      <c r="ANP27" s="27"/>
      <c r="ANQ27" s="27"/>
      <c r="ANR27" s="27"/>
      <c r="ANS27" s="27"/>
      <c r="ANT27" s="27"/>
      <c r="ANU27" s="27"/>
      <c r="ANV27" s="27"/>
      <c r="ANW27" s="27"/>
      <c r="ANX27" s="27"/>
      <c r="ANY27" s="27"/>
      <c r="ANZ27" s="27"/>
      <c r="AOA27" s="27"/>
      <c r="AOB27" s="27"/>
      <c r="AOC27" s="27"/>
      <c r="AOD27" s="27"/>
      <c r="AOE27" s="27"/>
      <c r="AOF27" s="27"/>
      <c r="AOG27" s="27"/>
      <c r="AOH27" s="27"/>
      <c r="AOI27" s="27"/>
      <c r="AOJ27" s="27"/>
      <c r="AOK27" s="27"/>
      <c r="AOL27" s="27"/>
      <c r="AOM27" s="27"/>
      <c r="AON27" s="27"/>
      <c r="AOO27" s="27"/>
      <c r="AOP27" s="27"/>
      <c r="AOQ27" s="27"/>
      <c r="AOR27" s="27"/>
      <c r="AOS27" s="27"/>
      <c r="AOT27" s="27"/>
      <c r="AOU27" s="27"/>
      <c r="AOV27" s="27"/>
      <c r="AOW27" s="27"/>
      <c r="AOX27" s="27"/>
      <c r="AOY27" s="27"/>
      <c r="AOZ27" s="27"/>
      <c r="APA27" s="27"/>
      <c r="APB27" s="27"/>
      <c r="APC27" s="27"/>
      <c r="APD27" s="27"/>
      <c r="APE27" s="27"/>
      <c r="APF27" s="27"/>
      <c r="APG27" s="27"/>
      <c r="APH27" s="27"/>
      <c r="API27" s="27"/>
      <c r="APJ27" s="27"/>
      <c r="APK27" s="27"/>
      <c r="APL27" s="27"/>
      <c r="APM27" s="27"/>
      <c r="APN27" s="27"/>
      <c r="APO27" s="27"/>
      <c r="APP27" s="27"/>
      <c r="APQ27" s="27"/>
      <c r="APR27" s="27"/>
      <c r="APS27" s="27"/>
      <c r="APT27" s="27"/>
      <c r="APU27" s="27"/>
      <c r="APV27" s="27"/>
      <c r="APW27" s="27"/>
      <c r="APX27" s="27"/>
      <c r="APY27" s="27"/>
      <c r="APZ27" s="27"/>
      <c r="AQA27" s="27"/>
      <c r="AQB27" s="27"/>
      <c r="AQC27" s="27"/>
      <c r="AQD27" s="27"/>
      <c r="AQE27" s="27"/>
      <c r="AQF27" s="27"/>
      <c r="AQG27" s="27"/>
      <c r="AQH27" s="27"/>
      <c r="AQI27" s="27"/>
      <c r="AQJ27" s="27"/>
      <c r="AQK27" s="27"/>
      <c r="AQL27" s="27"/>
      <c r="AQM27" s="27"/>
      <c r="AQN27" s="27"/>
      <c r="AQO27" s="27"/>
      <c r="AQP27" s="27"/>
      <c r="AQQ27" s="27"/>
      <c r="AQR27" s="27"/>
      <c r="AQS27" s="27"/>
      <c r="AQT27" s="27"/>
      <c r="AQU27" s="27"/>
      <c r="AQV27" s="27"/>
      <c r="AQW27" s="27"/>
      <c r="AQX27" s="27"/>
      <c r="AQY27" s="27"/>
      <c r="AQZ27" s="27"/>
      <c r="ARA27" s="27"/>
      <c r="ARB27" s="27"/>
      <c r="ARC27" s="27"/>
      <c r="ARD27" s="27"/>
      <c r="ARE27" s="27"/>
      <c r="ARF27" s="27"/>
      <c r="ARG27" s="27"/>
      <c r="ARH27" s="27"/>
      <c r="ARI27" s="27"/>
      <c r="ARJ27" s="27"/>
      <c r="ARK27" s="27"/>
      <c r="ARL27" s="27"/>
      <c r="ARM27" s="27"/>
      <c r="ARN27" s="27"/>
      <c r="ARO27" s="27"/>
      <c r="ARP27" s="27"/>
      <c r="ARQ27" s="27"/>
      <c r="ARR27" s="27"/>
      <c r="ARS27" s="27"/>
      <c r="ART27" s="27"/>
      <c r="ARU27" s="27"/>
      <c r="ARV27" s="27"/>
      <c r="ARW27" s="27"/>
      <c r="ARX27" s="27"/>
      <c r="ARY27" s="27"/>
      <c r="ARZ27" s="27"/>
      <c r="ASA27" s="27"/>
      <c r="ASB27" s="27"/>
      <c r="ASC27" s="27"/>
      <c r="ASD27" s="27"/>
      <c r="ASE27" s="27"/>
      <c r="ASF27" s="27"/>
      <c r="ASG27" s="27"/>
      <c r="ASH27" s="27"/>
      <c r="ASI27" s="27"/>
      <c r="ASJ27" s="27"/>
      <c r="ASK27" s="27"/>
      <c r="ASL27" s="27"/>
      <c r="ASM27" s="27"/>
      <c r="ASN27" s="27"/>
      <c r="ASO27" s="27"/>
      <c r="ASP27" s="27"/>
      <c r="ASQ27" s="27"/>
      <c r="ASR27" s="27"/>
      <c r="ASS27" s="27"/>
      <c r="AST27" s="27"/>
      <c r="ASU27" s="27"/>
      <c r="ASV27" s="27"/>
      <c r="ASW27" s="27"/>
      <c r="ASX27" s="27"/>
      <c r="ASY27" s="27"/>
      <c r="ASZ27" s="27"/>
      <c r="ATA27" s="27"/>
      <c r="ATB27" s="27"/>
      <c r="ATC27" s="27"/>
      <c r="ATD27" s="27"/>
      <c r="ATE27" s="27"/>
      <c r="ATF27" s="27"/>
      <c r="ATG27" s="27"/>
      <c r="ATH27" s="27"/>
      <c r="ATI27" s="27"/>
      <c r="ATJ27" s="27"/>
      <c r="ATK27" s="27"/>
      <c r="ATL27" s="27"/>
      <c r="ATM27" s="27"/>
      <c r="ATN27" s="27"/>
      <c r="ATO27" s="27"/>
      <c r="ATP27" s="27"/>
      <c r="ATQ27" s="27"/>
      <c r="ATR27" s="27"/>
      <c r="ATS27" s="27"/>
      <c r="ATT27" s="27"/>
      <c r="ATU27" s="27"/>
      <c r="ATV27" s="27"/>
      <c r="ATW27" s="27"/>
      <c r="ATX27" s="27"/>
      <c r="ATY27" s="27"/>
      <c r="ATZ27" s="27"/>
      <c r="AUA27" s="27"/>
      <c r="AUB27" s="27"/>
      <c r="AUC27" s="27"/>
      <c r="AUD27" s="27"/>
      <c r="AUE27" s="27"/>
      <c r="AUF27" s="27"/>
      <c r="AUG27" s="27"/>
      <c r="AUH27" s="27"/>
      <c r="AUI27" s="27"/>
      <c r="AUJ27" s="27"/>
      <c r="AUK27" s="27"/>
      <c r="AUL27" s="27"/>
      <c r="AUM27" s="27"/>
      <c r="AUN27" s="27"/>
      <c r="AUO27" s="27"/>
      <c r="AUP27" s="27"/>
      <c r="AUQ27" s="27"/>
      <c r="AUR27" s="27"/>
      <c r="AUS27" s="27"/>
      <c r="AUT27" s="27"/>
      <c r="AUU27" s="27"/>
      <c r="AUV27" s="27"/>
      <c r="AUW27" s="27"/>
      <c r="AUX27" s="27"/>
      <c r="AUY27" s="27"/>
      <c r="AUZ27" s="27"/>
      <c r="AVA27" s="27"/>
      <c r="AVB27" s="27"/>
      <c r="AVC27" s="27"/>
      <c r="AVD27" s="27"/>
      <c r="AVE27" s="27"/>
      <c r="AVF27" s="27"/>
      <c r="AVG27" s="27"/>
      <c r="AVH27" s="27"/>
      <c r="AVI27" s="27"/>
      <c r="AVJ27" s="27"/>
      <c r="AVK27" s="27"/>
      <c r="AVL27" s="27"/>
      <c r="AVM27" s="27"/>
      <c r="AVN27" s="27"/>
      <c r="AVO27" s="27"/>
      <c r="AVP27" s="27"/>
      <c r="AVQ27" s="27"/>
      <c r="AVR27" s="27"/>
      <c r="AVS27" s="27"/>
      <c r="AVT27" s="27"/>
      <c r="AVU27" s="27"/>
      <c r="AVV27" s="27"/>
      <c r="AVW27" s="27"/>
      <c r="AVX27" s="27"/>
      <c r="AVY27" s="27"/>
      <c r="AVZ27" s="27"/>
      <c r="AWA27" s="27"/>
      <c r="AWB27" s="27"/>
      <c r="AWC27" s="27"/>
      <c r="AWD27" s="27"/>
      <c r="AWE27" s="27"/>
      <c r="AWF27" s="27"/>
      <c r="AWG27" s="27"/>
      <c r="AWH27" s="27"/>
      <c r="AWI27" s="27"/>
      <c r="AWJ27" s="27"/>
      <c r="AWK27" s="27"/>
      <c r="AWL27" s="27"/>
      <c r="AWM27" s="27"/>
      <c r="AWN27" s="27"/>
      <c r="AWO27" s="27"/>
      <c r="AWP27" s="27"/>
      <c r="AWQ27" s="27"/>
      <c r="AWR27" s="27"/>
      <c r="AWS27" s="27"/>
      <c r="AWT27" s="27"/>
      <c r="AWU27" s="27"/>
      <c r="AWV27" s="27"/>
      <c r="AWW27" s="27"/>
      <c r="AWX27" s="27"/>
      <c r="AWY27" s="27"/>
      <c r="AWZ27" s="27"/>
      <c r="AXA27" s="27"/>
      <c r="AXB27" s="27"/>
      <c r="AXC27" s="27"/>
      <c r="AXD27" s="27"/>
      <c r="AXE27" s="27"/>
      <c r="AXF27" s="27"/>
      <c r="AXG27" s="27"/>
      <c r="AXH27" s="27"/>
      <c r="AXI27" s="27"/>
      <c r="AXJ27" s="27"/>
      <c r="AXK27" s="27"/>
      <c r="AXL27" s="27"/>
      <c r="AXM27" s="27"/>
      <c r="AXN27" s="27"/>
      <c r="AXO27" s="27"/>
      <c r="AXP27" s="27"/>
      <c r="AXQ27" s="27"/>
      <c r="AXR27" s="27"/>
      <c r="AXS27" s="27"/>
      <c r="AXT27" s="27"/>
      <c r="AXU27" s="27"/>
      <c r="AXV27" s="27"/>
      <c r="AXW27" s="27"/>
      <c r="AXX27" s="27"/>
      <c r="AXY27" s="27"/>
      <c r="AXZ27" s="27"/>
      <c r="AYA27" s="27"/>
      <c r="AYB27" s="27"/>
      <c r="AYC27" s="27"/>
      <c r="AYD27" s="27"/>
      <c r="AYE27" s="27"/>
      <c r="AYF27" s="27"/>
      <c r="AYG27" s="27"/>
      <c r="AYH27" s="27"/>
      <c r="AYI27" s="27"/>
      <c r="AYJ27" s="27"/>
      <c r="AYK27" s="27"/>
      <c r="AYL27" s="27"/>
      <c r="AYM27" s="27"/>
      <c r="AYN27" s="27"/>
      <c r="AYO27" s="27"/>
      <c r="AYP27" s="27"/>
      <c r="AYQ27" s="27"/>
      <c r="AYR27" s="27"/>
      <c r="AYS27" s="27"/>
      <c r="AYT27" s="27"/>
      <c r="AYU27" s="27"/>
      <c r="AYV27" s="27"/>
      <c r="AYW27" s="27"/>
      <c r="AYX27" s="27"/>
      <c r="AYY27" s="27"/>
      <c r="AYZ27" s="27"/>
      <c r="AZA27" s="27"/>
      <c r="AZB27" s="27"/>
      <c r="AZC27" s="27"/>
      <c r="AZD27" s="27"/>
      <c r="AZE27" s="27"/>
      <c r="AZF27" s="27"/>
      <c r="AZG27" s="27"/>
      <c r="AZH27" s="27"/>
      <c r="AZI27" s="27"/>
      <c r="AZJ27" s="27"/>
      <c r="AZK27" s="27"/>
      <c r="AZL27" s="27"/>
      <c r="AZM27" s="27"/>
      <c r="AZN27" s="27"/>
      <c r="AZO27" s="27"/>
      <c r="AZP27" s="27"/>
      <c r="AZQ27" s="27"/>
      <c r="AZR27" s="27"/>
      <c r="AZS27" s="27"/>
      <c r="AZT27" s="27"/>
      <c r="AZU27" s="27"/>
      <c r="AZV27" s="27"/>
      <c r="AZW27" s="27"/>
      <c r="AZX27" s="27"/>
      <c r="AZY27" s="27"/>
      <c r="AZZ27" s="27"/>
      <c r="BAA27" s="27"/>
      <c r="BAB27" s="27"/>
      <c r="BAC27" s="27"/>
      <c r="BAD27" s="27"/>
      <c r="BAE27" s="27"/>
      <c r="BAF27" s="27"/>
      <c r="BAG27" s="27"/>
      <c r="BAH27" s="27"/>
      <c r="BAI27" s="27"/>
      <c r="BAJ27" s="27"/>
      <c r="BAK27" s="27"/>
      <c r="BAL27" s="27"/>
      <c r="BAM27" s="27"/>
      <c r="BAN27" s="27"/>
      <c r="BAO27" s="27"/>
      <c r="BAP27" s="27"/>
      <c r="BAQ27" s="27"/>
      <c r="BAR27" s="27"/>
      <c r="BAS27" s="27"/>
      <c r="BAT27" s="27"/>
      <c r="BAU27" s="27"/>
      <c r="BAV27" s="27"/>
      <c r="BAW27" s="27"/>
      <c r="BAX27" s="27"/>
      <c r="BAY27" s="27"/>
      <c r="BAZ27" s="27"/>
      <c r="BBA27" s="27"/>
      <c r="BBB27" s="27"/>
      <c r="BBC27" s="27"/>
      <c r="BBD27" s="27"/>
      <c r="BBE27" s="27"/>
      <c r="BBF27" s="27"/>
      <c r="BBG27" s="27"/>
      <c r="BBH27" s="27"/>
      <c r="BBI27" s="27"/>
      <c r="BBJ27" s="27"/>
      <c r="BBK27" s="27"/>
      <c r="BBL27" s="27"/>
      <c r="BBM27" s="27"/>
      <c r="BBN27" s="27"/>
      <c r="BBO27" s="27"/>
      <c r="BBP27" s="27"/>
      <c r="BBQ27" s="27"/>
      <c r="BBR27" s="27"/>
      <c r="BBS27" s="27"/>
      <c r="BBT27" s="27"/>
      <c r="BBU27" s="27"/>
      <c r="BBV27" s="27"/>
      <c r="BBW27" s="27"/>
      <c r="BBX27" s="27"/>
      <c r="BBY27" s="27"/>
      <c r="BBZ27" s="27"/>
      <c r="BCA27" s="27"/>
      <c r="BCB27" s="27"/>
      <c r="BCC27" s="27"/>
      <c r="BCD27" s="27"/>
      <c r="BCE27" s="27"/>
      <c r="BCF27" s="27"/>
      <c r="BCG27" s="27"/>
      <c r="BCH27" s="27"/>
      <c r="BCI27" s="27"/>
      <c r="BCJ27" s="27"/>
      <c r="BCK27" s="27"/>
      <c r="BCL27" s="27"/>
      <c r="BCM27" s="27"/>
      <c r="BCN27" s="27"/>
      <c r="BCO27" s="27"/>
      <c r="BCP27" s="27"/>
      <c r="BCQ27" s="27"/>
      <c r="BCR27" s="27"/>
      <c r="BCS27" s="27"/>
      <c r="BCT27" s="27"/>
      <c r="BCU27" s="27"/>
      <c r="BCV27" s="27"/>
      <c r="BCW27" s="27"/>
      <c r="BCX27" s="27"/>
      <c r="BCY27" s="27"/>
      <c r="BCZ27" s="27"/>
      <c r="BDA27" s="27"/>
      <c r="BDB27" s="27"/>
      <c r="BDC27" s="27"/>
      <c r="BDD27" s="27"/>
      <c r="BDE27" s="27"/>
      <c r="BDF27" s="27"/>
      <c r="BDG27" s="27"/>
      <c r="BDH27" s="27"/>
      <c r="BDI27" s="27"/>
      <c r="BDJ27" s="27"/>
      <c r="BDK27" s="27"/>
      <c r="BDL27" s="27"/>
      <c r="BDM27" s="27"/>
      <c r="BDN27" s="27"/>
      <c r="BDO27" s="27"/>
      <c r="BDP27" s="27"/>
      <c r="BDQ27" s="27"/>
      <c r="BDR27" s="27"/>
      <c r="BDS27" s="27"/>
      <c r="BDT27" s="27"/>
      <c r="BDU27" s="27"/>
      <c r="BDV27" s="27"/>
      <c r="BDW27" s="27"/>
      <c r="BDX27" s="27"/>
      <c r="BDY27" s="27"/>
      <c r="BDZ27" s="27"/>
      <c r="BEA27" s="27"/>
      <c r="BEB27" s="27"/>
      <c r="BEC27" s="27"/>
      <c r="BED27" s="27"/>
      <c r="BEE27" s="27"/>
      <c r="BEF27" s="27"/>
      <c r="BEG27" s="27"/>
      <c r="BEH27" s="27"/>
      <c r="BEI27" s="27"/>
      <c r="BEJ27" s="27"/>
      <c r="BEK27" s="27"/>
      <c r="BEL27" s="27"/>
      <c r="BEM27" s="27"/>
      <c r="BEN27" s="27"/>
      <c r="BEO27" s="27"/>
      <c r="BEP27" s="27"/>
      <c r="BEQ27" s="27"/>
      <c r="BER27" s="27"/>
      <c r="BES27" s="27"/>
      <c r="BET27" s="27"/>
      <c r="BEU27" s="27"/>
      <c r="BEV27" s="27"/>
      <c r="BEW27" s="27"/>
      <c r="BEX27" s="27"/>
      <c r="BEY27" s="27"/>
      <c r="BEZ27" s="27"/>
      <c r="BFA27" s="27"/>
      <c r="BFB27" s="27"/>
      <c r="BFC27" s="27"/>
      <c r="BFD27" s="27"/>
      <c r="BFE27" s="27"/>
      <c r="BFF27" s="27"/>
      <c r="BFG27" s="27"/>
      <c r="BFH27" s="27"/>
      <c r="BFI27" s="27"/>
      <c r="BFJ27" s="27"/>
      <c r="BFK27" s="27"/>
      <c r="BFL27" s="27"/>
      <c r="BFM27" s="27"/>
      <c r="BFN27" s="27"/>
      <c r="BFO27" s="27"/>
      <c r="BFP27" s="27"/>
      <c r="BFQ27" s="27"/>
      <c r="BFR27" s="27"/>
      <c r="BFS27" s="27"/>
      <c r="BFT27" s="27"/>
      <c r="BFU27" s="27"/>
      <c r="BFV27" s="27"/>
      <c r="BFW27" s="27"/>
      <c r="BFX27" s="27"/>
      <c r="BFY27" s="27"/>
      <c r="BFZ27" s="27"/>
      <c r="BGA27" s="27"/>
      <c r="BGB27" s="27"/>
      <c r="BGC27" s="27"/>
      <c r="BGD27" s="27"/>
      <c r="BGE27" s="27"/>
      <c r="BGF27" s="27"/>
      <c r="BGG27" s="27"/>
      <c r="BGH27" s="27"/>
      <c r="BGI27" s="27"/>
      <c r="BGJ27" s="27"/>
      <c r="BGK27" s="27"/>
      <c r="BGL27" s="27"/>
      <c r="BGM27" s="27"/>
      <c r="BGN27" s="27"/>
      <c r="BGO27" s="27"/>
      <c r="BGP27" s="27"/>
      <c r="BGQ27" s="27"/>
      <c r="BGR27" s="27"/>
      <c r="BGS27" s="27"/>
      <c r="BGT27" s="27"/>
      <c r="BGU27" s="27"/>
      <c r="BGV27" s="27"/>
      <c r="BGW27" s="27"/>
      <c r="BGX27" s="27"/>
      <c r="BGY27" s="27"/>
      <c r="BGZ27" s="27"/>
      <c r="BHA27" s="27"/>
      <c r="BHB27" s="27"/>
      <c r="BHC27" s="27"/>
      <c r="BHD27" s="27"/>
      <c r="BHE27" s="27"/>
      <c r="BHF27" s="27"/>
      <c r="BHG27" s="27"/>
      <c r="BHH27" s="27"/>
      <c r="BHI27" s="27"/>
      <c r="BHJ27" s="27"/>
      <c r="BHK27" s="27"/>
      <c r="BHL27" s="27"/>
      <c r="BHM27" s="27"/>
      <c r="BHN27" s="27"/>
      <c r="BHO27" s="27"/>
      <c r="BHP27" s="27"/>
      <c r="BHQ27" s="27"/>
      <c r="BHR27" s="27"/>
      <c r="BHS27" s="27"/>
      <c r="BHT27" s="27"/>
      <c r="BHU27" s="27"/>
      <c r="BHV27" s="27"/>
      <c r="BHW27" s="27"/>
      <c r="BHX27" s="27"/>
      <c r="BHY27" s="27"/>
      <c r="BHZ27" s="27"/>
      <c r="BIA27" s="27"/>
      <c r="BIB27" s="27"/>
      <c r="BIC27" s="27"/>
      <c r="BID27" s="27"/>
      <c r="BIE27" s="27"/>
      <c r="BIF27" s="27"/>
      <c r="BIG27" s="27"/>
      <c r="BIH27" s="27"/>
      <c r="BII27" s="27"/>
      <c r="BIJ27" s="27"/>
      <c r="BIK27" s="27"/>
      <c r="BIL27" s="27"/>
      <c r="BIM27" s="27"/>
      <c r="BIN27" s="27"/>
      <c r="BIO27" s="27"/>
      <c r="BIP27" s="27"/>
      <c r="BIQ27" s="27"/>
      <c r="BIR27" s="27"/>
      <c r="BIS27" s="27"/>
      <c r="BIT27" s="27"/>
      <c r="BIU27" s="27"/>
      <c r="BIV27" s="27"/>
      <c r="BIW27" s="27"/>
      <c r="BIX27" s="27"/>
      <c r="BIY27" s="27"/>
      <c r="BIZ27" s="27"/>
      <c r="BJA27" s="27"/>
      <c r="BJB27" s="27"/>
      <c r="BJC27" s="27"/>
      <c r="BJD27" s="27"/>
      <c r="BJE27" s="27"/>
      <c r="BJF27" s="27"/>
      <c r="BJG27" s="27"/>
      <c r="BJH27" s="27"/>
      <c r="BJI27" s="27"/>
      <c r="BJJ27" s="27"/>
      <c r="BJK27" s="27"/>
      <c r="BJL27" s="27"/>
      <c r="BJM27" s="27"/>
      <c r="BJN27" s="27"/>
      <c r="BJO27" s="27"/>
      <c r="BJP27" s="27"/>
      <c r="BJQ27" s="27"/>
      <c r="BJR27" s="27"/>
      <c r="BJS27" s="27"/>
      <c r="BJT27" s="27"/>
      <c r="BJU27" s="27"/>
      <c r="BJV27" s="27"/>
      <c r="BJW27" s="27"/>
      <c r="BJX27" s="27"/>
      <c r="BJY27" s="27"/>
      <c r="BJZ27" s="27"/>
      <c r="BKA27" s="27"/>
      <c r="BKB27" s="27"/>
      <c r="BKC27" s="27"/>
      <c r="BKD27" s="27"/>
      <c r="BKE27" s="27"/>
      <c r="BKF27" s="27"/>
      <c r="BKG27" s="27"/>
      <c r="BKH27" s="27"/>
      <c r="BKI27" s="27"/>
      <c r="BKJ27" s="27"/>
      <c r="BKK27" s="27"/>
      <c r="BKL27" s="27"/>
      <c r="BKM27" s="27"/>
      <c r="BKN27" s="27"/>
      <c r="BKO27" s="27"/>
      <c r="BKP27" s="27"/>
      <c r="BKQ27" s="27"/>
      <c r="BKR27" s="27"/>
      <c r="BKS27" s="27"/>
      <c r="BKT27" s="27"/>
      <c r="BKU27" s="27"/>
      <c r="BKV27" s="27"/>
      <c r="BKW27" s="27"/>
      <c r="BKX27" s="27"/>
      <c r="BKY27" s="27"/>
      <c r="BKZ27" s="27"/>
      <c r="BLA27" s="27"/>
      <c r="BLB27" s="27"/>
      <c r="BLC27" s="27"/>
      <c r="BLD27" s="27"/>
      <c r="BLE27" s="27"/>
      <c r="BLF27" s="27"/>
      <c r="BLG27" s="27"/>
      <c r="BLH27" s="27"/>
      <c r="BLI27" s="27"/>
      <c r="BLJ27" s="27"/>
      <c r="BLK27" s="27"/>
      <c r="BLL27" s="27"/>
      <c r="BLM27" s="27"/>
      <c r="BLN27" s="27"/>
      <c r="BLO27" s="27"/>
      <c r="BLP27" s="27"/>
      <c r="BLQ27" s="27"/>
      <c r="BLR27" s="27"/>
      <c r="BLS27" s="27"/>
      <c r="BLT27" s="27"/>
      <c r="BLU27" s="27"/>
      <c r="BLV27" s="27"/>
      <c r="BLW27" s="27"/>
      <c r="BLX27" s="27"/>
      <c r="BLY27" s="27"/>
      <c r="BLZ27" s="27"/>
      <c r="BMA27" s="27"/>
      <c r="BMB27" s="27"/>
      <c r="BMC27" s="27"/>
      <c r="BMD27" s="27"/>
      <c r="BME27" s="27"/>
      <c r="BMF27" s="27"/>
      <c r="BMG27" s="27"/>
      <c r="BMH27" s="27"/>
      <c r="BMI27" s="27"/>
      <c r="BMJ27" s="27"/>
      <c r="BMK27" s="27"/>
      <c r="BML27" s="27"/>
      <c r="BMM27" s="27"/>
      <c r="BMN27" s="27"/>
      <c r="BMO27" s="27"/>
      <c r="BMP27" s="27"/>
      <c r="BMQ27" s="27"/>
      <c r="BMR27" s="27"/>
      <c r="BMS27" s="27"/>
      <c r="BMT27" s="27"/>
      <c r="BMU27" s="27"/>
      <c r="BMV27" s="27"/>
      <c r="BMW27" s="27"/>
      <c r="BMX27" s="27"/>
      <c r="BMY27" s="27"/>
      <c r="BMZ27" s="27"/>
      <c r="BNA27" s="27"/>
      <c r="BNB27" s="27"/>
      <c r="BNC27" s="27"/>
      <c r="BND27" s="27"/>
      <c r="BNE27" s="27"/>
      <c r="BNF27" s="27"/>
      <c r="BNG27" s="27"/>
      <c r="BNH27" s="27"/>
      <c r="BNI27" s="27"/>
      <c r="BNJ27" s="27"/>
      <c r="BNK27" s="27"/>
      <c r="BNL27" s="27"/>
      <c r="BNM27" s="27"/>
      <c r="BNN27" s="27"/>
      <c r="BNO27" s="27"/>
      <c r="BNP27" s="27"/>
      <c r="BNQ27" s="27"/>
      <c r="BNR27" s="27"/>
      <c r="BNS27" s="27"/>
      <c r="BNT27" s="27"/>
      <c r="BNU27" s="27"/>
      <c r="BNV27" s="27"/>
      <c r="BNW27" s="27"/>
      <c r="BNX27" s="27"/>
      <c r="BNY27" s="27"/>
      <c r="BNZ27" s="27"/>
      <c r="BOA27" s="27"/>
      <c r="BOB27" s="27"/>
      <c r="BOC27" s="27"/>
      <c r="BOD27" s="27"/>
      <c r="BOE27" s="27"/>
      <c r="BOF27" s="27"/>
      <c r="BOG27" s="27"/>
      <c r="BOH27" s="27"/>
      <c r="BOI27" s="27"/>
      <c r="BOJ27" s="27"/>
      <c r="BOK27" s="27"/>
      <c r="BOL27" s="27"/>
      <c r="BOM27" s="27"/>
      <c r="BON27" s="27"/>
      <c r="BOO27" s="27"/>
      <c r="BOP27" s="27"/>
      <c r="BOQ27" s="27"/>
      <c r="BOR27" s="27"/>
      <c r="BOS27" s="27"/>
      <c r="BOT27" s="27"/>
      <c r="BOU27" s="27"/>
      <c r="BOV27" s="27"/>
      <c r="BOW27" s="27"/>
      <c r="BOX27" s="27"/>
      <c r="BOY27" s="27"/>
      <c r="BOZ27" s="27"/>
      <c r="BPA27" s="27"/>
      <c r="BPB27" s="27"/>
      <c r="BPC27" s="27"/>
      <c r="BPD27" s="27"/>
      <c r="BPE27" s="27"/>
      <c r="BPF27" s="27"/>
      <c r="BPG27" s="27"/>
      <c r="BPH27" s="27"/>
      <c r="BPI27" s="27"/>
      <c r="BPJ27" s="27"/>
      <c r="BPK27" s="27"/>
      <c r="BPL27" s="27"/>
      <c r="BPM27" s="27"/>
      <c r="BPN27" s="27"/>
      <c r="BPO27" s="27"/>
      <c r="BPP27" s="27"/>
      <c r="BPQ27" s="27"/>
      <c r="BPR27" s="27"/>
      <c r="BPS27" s="27"/>
      <c r="BPT27" s="27"/>
      <c r="BPU27" s="27"/>
      <c r="BPV27" s="27"/>
      <c r="BPW27" s="27"/>
      <c r="BPX27" s="27"/>
      <c r="BPY27" s="27"/>
      <c r="BPZ27" s="27"/>
      <c r="BQA27" s="27"/>
      <c r="BQB27" s="27"/>
      <c r="BQC27" s="27"/>
      <c r="BQD27" s="27"/>
      <c r="BQE27" s="27"/>
      <c r="BQF27" s="27"/>
      <c r="BQG27" s="27"/>
      <c r="BQH27" s="27"/>
      <c r="BQI27" s="27"/>
      <c r="BQJ27" s="27"/>
      <c r="BQK27" s="27"/>
      <c r="BQL27" s="27"/>
      <c r="BQM27" s="27"/>
      <c r="BQN27" s="27"/>
      <c r="BQO27" s="27"/>
      <c r="BQP27" s="27"/>
      <c r="BQQ27" s="27"/>
      <c r="BQR27" s="27"/>
      <c r="BQS27" s="27"/>
      <c r="BQT27" s="27"/>
      <c r="BQU27" s="27"/>
      <c r="BQV27" s="27"/>
      <c r="BQW27" s="27"/>
      <c r="BQX27" s="27"/>
      <c r="BQY27" s="27"/>
      <c r="BQZ27" s="27"/>
      <c r="BRA27" s="27"/>
      <c r="BRB27" s="27"/>
      <c r="BRC27" s="27"/>
      <c r="BRD27" s="27"/>
      <c r="BRE27" s="27"/>
      <c r="BRF27" s="27"/>
      <c r="BRG27" s="27"/>
      <c r="BRH27" s="27"/>
      <c r="BRI27" s="27"/>
      <c r="BRJ27" s="27"/>
      <c r="BRK27" s="27"/>
      <c r="BRL27" s="27"/>
      <c r="BRM27" s="27"/>
      <c r="BRN27" s="27"/>
      <c r="BRO27" s="27"/>
      <c r="BRP27" s="27"/>
      <c r="BRQ27" s="27"/>
      <c r="BRR27" s="27"/>
      <c r="BRS27" s="27"/>
      <c r="BRT27" s="27"/>
      <c r="BRU27" s="27"/>
      <c r="BRV27" s="27"/>
      <c r="BRW27" s="27"/>
      <c r="BRX27" s="27"/>
      <c r="BRY27" s="27"/>
      <c r="BRZ27" s="27"/>
      <c r="BSA27" s="27"/>
      <c r="BSB27" s="27"/>
      <c r="BSC27" s="27"/>
      <c r="BSD27" s="27"/>
      <c r="BSE27" s="27"/>
      <c r="BSF27" s="27"/>
      <c r="BSG27" s="27"/>
      <c r="BSH27" s="27"/>
      <c r="BSI27" s="27"/>
      <c r="BSJ27" s="27"/>
      <c r="BSK27" s="27"/>
      <c r="BSL27" s="27"/>
      <c r="BSM27" s="27"/>
      <c r="BSN27" s="27"/>
      <c r="BSO27" s="27"/>
      <c r="BSP27" s="27"/>
      <c r="BSQ27" s="27"/>
      <c r="BSR27" s="27"/>
      <c r="BSS27" s="27"/>
      <c r="BST27" s="27"/>
      <c r="BSU27" s="27"/>
      <c r="BSV27" s="27"/>
      <c r="BSW27" s="27"/>
      <c r="BSX27" s="27"/>
      <c r="BSY27" s="27"/>
      <c r="BSZ27" s="27"/>
      <c r="BTA27" s="27"/>
      <c r="BTB27" s="27"/>
      <c r="BTC27" s="27"/>
      <c r="BTD27" s="27"/>
      <c r="BTE27" s="27"/>
      <c r="BTF27" s="27"/>
      <c r="BTG27" s="27"/>
      <c r="BTH27" s="27"/>
      <c r="BTI27" s="27"/>
      <c r="BTJ27" s="27"/>
      <c r="BTK27" s="27"/>
      <c r="BTL27" s="27"/>
      <c r="BTM27" s="27"/>
      <c r="BTN27" s="27"/>
      <c r="BTO27" s="27"/>
      <c r="BTP27" s="27"/>
      <c r="BTQ27" s="27"/>
      <c r="BTR27" s="27"/>
      <c r="BTS27" s="27"/>
      <c r="BTT27" s="27"/>
      <c r="BTU27" s="27"/>
      <c r="BTV27" s="27"/>
      <c r="BTW27" s="27"/>
      <c r="BTX27" s="27"/>
      <c r="BTY27" s="27"/>
      <c r="BTZ27" s="27"/>
      <c r="BUA27" s="27"/>
      <c r="BUB27" s="27"/>
      <c r="BUC27" s="27"/>
      <c r="BUD27" s="27"/>
      <c r="BUE27" s="27"/>
      <c r="BUF27" s="27"/>
      <c r="BUG27" s="27"/>
      <c r="BUH27" s="27"/>
      <c r="BUI27" s="27"/>
      <c r="BUJ27" s="27"/>
      <c r="BUK27" s="27"/>
      <c r="BUL27" s="27"/>
      <c r="BUM27" s="27"/>
      <c r="BUN27" s="27"/>
      <c r="BUO27" s="27"/>
      <c r="BUP27" s="27"/>
      <c r="BUQ27" s="27"/>
      <c r="BUR27" s="27"/>
      <c r="BUS27" s="27"/>
      <c r="BUT27" s="27"/>
      <c r="BUU27" s="27"/>
      <c r="BUV27" s="27"/>
      <c r="BUW27" s="27"/>
      <c r="BUX27" s="27"/>
      <c r="BUY27" s="27"/>
      <c r="BUZ27" s="27"/>
      <c r="BVA27" s="27"/>
      <c r="BVB27" s="27"/>
      <c r="BVC27" s="27"/>
      <c r="BVD27" s="27"/>
      <c r="BVE27" s="27"/>
      <c r="BVF27" s="27"/>
      <c r="BVG27" s="27"/>
      <c r="BVH27" s="27"/>
      <c r="BVI27" s="27"/>
      <c r="BVJ27" s="27"/>
      <c r="BVK27" s="27"/>
      <c r="BVL27" s="27"/>
      <c r="BVM27" s="27"/>
      <c r="BVN27" s="27"/>
      <c r="BVO27" s="27"/>
      <c r="BVP27" s="27"/>
      <c r="BVQ27" s="27"/>
      <c r="BVR27" s="27"/>
      <c r="BVS27" s="27"/>
      <c r="BVT27" s="27"/>
      <c r="BVU27" s="27"/>
      <c r="BVV27" s="27"/>
      <c r="BVW27" s="27"/>
      <c r="BVX27" s="27"/>
      <c r="BVY27" s="27"/>
      <c r="BVZ27" s="27"/>
      <c r="BWA27" s="27"/>
      <c r="BWB27" s="27"/>
      <c r="BWC27" s="27"/>
      <c r="BWD27" s="27"/>
      <c r="BWE27" s="27"/>
      <c r="BWF27" s="27"/>
      <c r="BWG27" s="27"/>
      <c r="BWH27" s="27"/>
      <c r="BWI27" s="27"/>
      <c r="BWJ27" s="27"/>
      <c r="BWK27" s="27"/>
      <c r="BWL27" s="27"/>
      <c r="BWM27" s="27"/>
      <c r="BWN27" s="27"/>
      <c r="BWO27" s="27"/>
      <c r="BWP27" s="27"/>
      <c r="BWQ27" s="27"/>
      <c r="BWR27" s="27"/>
      <c r="BWS27" s="27"/>
      <c r="BWT27" s="27"/>
      <c r="BWU27" s="27"/>
      <c r="BWV27" s="27"/>
      <c r="BWW27" s="27"/>
      <c r="BWX27" s="27"/>
      <c r="BWY27" s="27"/>
      <c r="BWZ27" s="27"/>
      <c r="BXA27" s="27"/>
      <c r="BXB27" s="27"/>
      <c r="BXC27" s="27"/>
      <c r="BXD27" s="27"/>
      <c r="BXE27" s="27"/>
      <c r="BXF27" s="27"/>
      <c r="BXG27" s="27"/>
      <c r="BXH27" s="27"/>
      <c r="BXI27" s="27"/>
      <c r="BXJ27" s="27"/>
      <c r="BXK27" s="27"/>
      <c r="BXL27" s="27"/>
      <c r="BXM27" s="27"/>
      <c r="BXN27" s="27"/>
      <c r="BXO27" s="27"/>
      <c r="BXP27" s="27"/>
      <c r="BXQ27" s="27"/>
      <c r="BXR27" s="27"/>
      <c r="BXS27" s="27"/>
      <c r="BXT27" s="27"/>
      <c r="BXU27" s="27"/>
      <c r="BXV27" s="27"/>
      <c r="BXW27" s="27"/>
      <c r="BXX27" s="27"/>
      <c r="BXY27" s="27"/>
      <c r="BXZ27" s="27"/>
      <c r="BYA27" s="27"/>
      <c r="BYB27" s="27"/>
      <c r="BYC27" s="27"/>
      <c r="BYD27" s="27"/>
      <c r="BYE27" s="27"/>
      <c r="BYF27" s="27"/>
      <c r="BYG27" s="27"/>
      <c r="BYH27" s="27"/>
      <c r="BYI27" s="27"/>
      <c r="BYJ27" s="27"/>
      <c r="BYK27" s="27"/>
      <c r="BYL27" s="27"/>
      <c r="BYM27" s="27"/>
      <c r="BYN27" s="27"/>
      <c r="BYO27" s="27"/>
      <c r="BYP27" s="27"/>
      <c r="BYQ27" s="27"/>
      <c r="BYR27" s="27"/>
      <c r="BYS27" s="27"/>
      <c r="BYT27" s="27"/>
      <c r="BYU27" s="27"/>
      <c r="BYV27" s="27"/>
      <c r="BYW27" s="27"/>
      <c r="BYX27" s="27"/>
      <c r="BYY27" s="27"/>
      <c r="BYZ27" s="27"/>
      <c r="BZA27" s="27"/>
      <c r="BZB27" s="27"/>
      <c r="BZC27" s="27"/>
      <c r="BZD27" s="27"/>
      <c r="BZE27" s="27"/>
      <c r="BZF27" s="27"/>
      <c r="BZG27" s="27"/>
      <c r="BZH27" s="27"/>
      <c r="BZI27" s="27"/>
      <c r="BZJ27" s="27"/>
      <c r="BZK27" s="27"/>
      <c r="BZL27" s="27"/>
      <c r="BZM27" s="27"/>
      <c r="BZN27" s="27"/>
      <c r="BZO27" s="27"/>
      <c r="BZP27" s="27"/>
      <c r="BZQ27" s="27"/>
      <c r="BZR27" s="27"/>
      <c r="BZS27" s="27"/>
      <c r="BZT27" s="27"/>
      <c r="BZU27" s="27"/>
      <c r="BZV27" s="27"/>
      <c r="BZW27" s="27"/>
      <c r="BZX27" s="27"/>
      <c r="BZY27" s="27"/>
      <c r="BZZ27" s="27"/>
      <c r="CAA27" s="27"/>
      <c r="CAB27" s="27"/>
      <c r="CAC27" s="27"/>
      <c r="CAD27" s="27"/>
      <c r="CAE27" s="27"/>
      <c r="CAF27" s="27"/>
      <c r="CAG27" s="27"/>
      <c r="CAH27" s="27"/>
      <c r="CAI27" s="27"/>
      <c r="CAJ27" s="27"/>
      <c r="CAK27" s="27"/>
      <c r="CAL27" s="27"/>
      <c r="CAM27" s="27"/>
      <c r="CAN27" s="27"/>
      <c r="CAO27" s="27"/>
      <c r="CAP27" s="27"/>
      <c r="CAQ27" s="27"/>
      <c r="CAR27" s="27"/>
      <c r="CAS27" s="27"/>
      <c r="CAT27" s="27"/>
      <c r="CAU27" s="27"/>
      <c r="CAV27" s="27"/>
      <c r="CAW27" s="27"/>
      <c r="CAX27" s="27"/>
      <c r="CAY27" s="27"/>
      <c r="CAZ27" s="27"/>
      <c r="CBA27" s="27"/>
      <c r="CBB27" s="27"/>
      <c r="CBC27" s="27"/>
      <c r="CBD27" s="27"/>
      <c r="CBE27" s="27"/>
      <c r="CBF27" s="27"/>
      <c r="CBG27" s="27"/>
      <c r="CBH27" s="27"/>
      <c r="CBI27" s="27"/>
      <c r="CBJ27" s="27"/>
      <c r="CBK27" s="27"/>
      <c r="CBL27" s="27"/>
      <c r="CBM27" s="27"/>
      <c r="CBN27" s="27"/>
      <c r="CBO27" s="27"/>
      <c r="CBP27" s="27"/>
      <c r="CBQ27" s="27"/>
      <c r="CBR27" s="27"/>
      <c r="CBS27" s="27"/>
      <c r="CBT27" s="27"/>
      <c r="CBU27" s="27"/>
      <c r="CBV27" s="27"/>
      <c r="CBW27" s="27"/>
      <c r="CBX27" s="27"/>
      <c r="CBY27" s="27"/>
      <c r="CBZ27" s="27"/>
      <c r="CCA27" s="27"/>
      <c r="CCB27" s="27"/>
      <c r="CCC27" s="27"/>
      <c r="CCD27" s="27"/>
      <c r="CCE27" s="27"/>
      <c r="CCF27" s="27"/>
      <c r="CCG27" s="27"/>
      <c r="CCH27" s="27"/>
      <c r="CCI27" s="27"/>
      <c r="CCJ27" s="27"/>
      <c r="CCK27" s="27"/>
      <c r="CCL27" s="27"/>
      <c r="CCM27" s="27"/>
      <c r="CCN27" s="27"/>
      <c r="CCO27" s="27"/>
      <c r="CCP27" s="27"/>
      <c r="CCQ27" s="27"/>
      <c r="CCR27" s="27"/>
      <c r="CCS27" s="27"/>
      <c r="CCT27" s="27"/>
      <c r="CCU27" s="27"/>
      <c r="CCV27" s="27"/>
      <c r="CCW27" s="27"/>
      <c r="CCX27" s="27"/>
      <c r="CCY27" s="27"/>
      <c r="CCZ27" s="27"/>
      <c r="CDA27" s="27"/>
      <c r="CDB27" s="27"/>
      <c r="CDC27" s="27"/>
      <c r="CDD27" s="27"/>
      <c r="CDE27" s="27"/>
      <c r="CDF27" s="27"/>
      <c r="CDG27" s="27"/>
      <c r="CDH27" s="27"/>
      <c r="CDI27" s="27"/>
      <c r="CDJ27" s="27"/>
      <c r="CDK27" s="27"/>
      <c r="CDL27" s="27"/>
      <c r="CDM27" s="27"/>
      <c r="CDN27" s="27"/>
      <c r="CDO27" s="27"/>
      <c r="CDP27" s="27"/>
      <c r="CDQ27" s="27"/>
      <c r="CDR27" s="27"/>
      <c r="CDS27" s="27"/>
      <c r="CDT27" s="27"/>
      <c r="CDU27" s="27"/>
      <c r="CDV27" s="27"/>
      <c r="CDW27" s="27"/>
      <c r="CDX27" s="27"/>
      <c r="CDY27" s="27"/>
      <c r="CDZ27" s="27"/>
      <c r="CEA27" s="27"/>
      <c r="CEB27" s="27"/>
      <c r="CEC27" s="27"/>
      <c r="CED27" s="27"/>
      <c r="CEE27" s="27"/>
      <c r="CEF27" s="27"/>
      <c r="CEG27" s="27"/>
      <c r="CEH27" s="27"/>
      <c r="CEI27" s="27"/>
      <c r="CEJ27" s="27"/>
      <c r="CEK27" s="27"/>
      <c r="CEL27" s="27"/>
      <c r="CEM27" s="27"/>
      <c r="CEN27" s="27"/>
      <c r="CEO27" s="27"/>
      <c r="CEP27" s="27"/>
      <c r="CEQ27" s="27"/>
      <c r="CER27" s="27"/>
      <c r="CES27" s="27"/>
      <c r="CET27" s="27"/>
      <c r="CEU27" s="27"/>
      <c r="CEV27" s="27"/>
      <c r="CEW27" s="27"/>
      <c r="CEX27" s="27"/>
      <c r="CEY27" s="27"/>
      <c r="CEZ27" s="27"/>
      <c r="CFA27" s="27"/>
      <c r="CFB27" s="27"/>
      <c r="CFC27" s="27"/>
      <c r="CFD27" s="27"/>
      <c r="CFE27" s="27"/>
      <c r="CFF27" s="27"/>
      <c r="CFG27" s="27"/>
      <c r="CFH27" s="27"/>
      <c r="CFI27" s="27"/>
      <c r="CFJ27" s="27"/>
      <c r="CFK27" s="27"/>
      <c r="CFL27" s="27"/>
      <c r="CFM27" s="27"/>
      <c r="CFN27" s="27"/>
      <c r="CFO27" s="27"/>
      <c r="CFP27" s="27"/>
      <c r="CFQ27" s="27"/>
      <c r="CFR27" s="27"/>
      <c r="CFS27" s="27"/>
      <c r="CFT27" s="27"/>
      <c r="CFU27" s="27"/>
      <c r="CFV27" s="27"/>
      <c r="CFW27" s="27"/>
      <c r="CFX27" s="27"/>
      <c r="CFY27" s="27"/>
      <c r="CFZ27" s="27"/>
      <c r="CGA27" s="27"/>
      <c r="CGB27" s="27"/>
      <c r="CGC27" s="27"/>
      <c r="CGD27" s="27"/>
      <c r="CGE27" s="27"/>
      <c r="CGF27" s="27"/>
      <c r="CGG27" s="27"/>
      <c r="CGH27" s="27"/>
      <c r="CGI27" s="27"/>
      <c r="CGJ27" s="27"/>
      <c r="CGK27" s="27"/>
      <c r="CGL27" s="27"/>
      <c r="CGM27" s="27"/>
      <c r="CGN27" s="27"/>
      <c r="CGO27" s="27"/>
      <c r="CGP27" s="27"/>
      <c r="CGQ27" s="27"/>
      <c r="CGR27" s="27"/>
      <c r="CGS27" s="27"/>
      <c r="CGT27" s="27"/>
      <c r="CGU27" s="27"/>
      <c r="CGV27" s="27"/>
      <c r="CGW27" s="27"/>
      <c r="CGX27" s="27"/>
      <c r="CGY27" s="27"/>
      <c r="CGZ27" s="27"/>
      <c r="CHA27" s="27"/>
      <c r="CHB27" s="27"/>
      <c r="CHC27" s="27"/>
      <c r="CHD27" s="27"/>
      <c r="CHE27" s="27"/>
      <c r="CHF27" s="27"/>
      <c r="CHG27" s="27"/>
      <c r="CHH27" s="27"/>
      <c r="CHI27" s="27"/>
      <c r="CHJ27" s="27"/>
      <c r="CHK27" s="27"/>
      <c r="CHL27" s="27"/>
      <c r="CHM27" s="27"/>
      <c r="CHN27" s="27"/>
      <c r="CHO27" s="27"/>
      <c r="CHP27" s="27"/>
      <c r="CHQ27" s="27"/>
      <c r="CHR27" s="27"/>
      <c r="CHS27" s="27"/>
      <c r="CHT27" s="27"/>
      <c r="CHU27" s="27"/>
      <c r="CHV27" s="27"/>
      <c r="CHW27" s="27"/>
      <c r="CHX27" s="27"/>
      <c r="CHY27" s="27"/>
      <c r="CHZ27" s="27"/>
      <c r="CIA27" s="27"/>
      <c r="CIB27" s="27"/>
      <c r="CIC27" s="27"/>
      <c r="CID27" s="27"/>
      <c r="CIE27" s="27"/>
      <c r="CIF27" s="27"/>
      <c r="CIG27" s="27"/>
      <c r="CIH27" s="27"/>
      <c r="CII27" s="27"/>
      <c r="CIJ27" s="27"/>
      <c r="CIK27" s="27"/>
      <c r="CIL27" s="27"/>
      <c r="CIM27" s="27"/>
      <c r="CIN27" s="27"/>
      <c r="CIO27" s="27"/>
      <c r="CIP27" s="27"/>
      <c r="CIQ27" s="27"/>
      <c r="CIR27" s="27"/>
      <c r="CIS27" s="27"/>
      <c r="CIT27" s="27"/>
      <c r="CIU27" s="27"/>
      <c r="CIV27" s="27"/>
      <c r="CIW27" s="27"/>
      <c r="CIX27" s="27"/>
      <c r="CIY27" s="27"/>
      <c r="CIZ27" s="27"/>
      <c r="CJA27" s="27"/>
      <c r="CJB27" s="27"/>
      <c r="CJC27" s="27"/>
      <c r="CJD27" s="27"/>
      <c r="CJE27" s="27"/>
      <c r="CJF27" s="27"/>
      <c r="CJG27" s="27"/>
      <c r="CJH27" s="27"/>
      <c r="CJI27" s="27"/>
      <c r="CJJ27" s="27"/>
      <c r="CJK27" s="27"/>
      <c r="CJL27" s="27"/>
      <c r="CJM27" s="27"/>
      <c r="CJN27" s="27"/>
      <c r="CJO27" s="27"/>
      <c r="CJP27" s="27"/>
      <c r="CJQ27" s="27"/>
      <c r="CJR27" s="27"/>
      <c r="CJS27" s="27"/>
      <c r="CJT27" s="27"/>
      <c r="CJU27" s="27"/>
      <c r="CJV27" s="27"/>
      <c r="CJW27" s="27"/>
      <c r="CJX27" s="27"/>
      <c r="CJY27" s="27"/>
      <c r="CJZ27" s="27"/>
      <c r="CKA27" s="27"/>
      <c r="CKB27" s="27"/>
      <c r="CKC27" s="27"/>
      <c r="CKD27" s="27"/>
      <c r="CKE27" s="27"/>
      <c r="CKF27" s="27"/>
      <c r="CKG27" s="27"/>
      <c r="CKH27" s="27"/>
      <c r="CKI27" s="27"/>
      <c r="CKJ27" s="27"/>
      <c r="CKK27" s="27"/>
      <c r="CKL27" s="27"/>
      <c r="CKM27" s="27"/>
      <c r="CKN27" s="27"/>
      <c r="CKO27" s="27"/>
      <c r="CKP27" s="27"/>
      <c r="CKQ27" s="27"/>
      <c r="CKR27" s="27"/>
      <c r="CKS27" s="27"/>
      <c r="CKT27" s="27"/>
      <c r="CKU27" s="27"/>
      <c r="CKV27" s="27"/>
      <c r="CKW27" s="27"/>
      <c r="CKX27" s="27"/>
      <c r="CKY27" s="27"/>
      <c r="CKZ27" s="27"/>
      <c r="CLA27" s="27"/>
      <c r="CLB27" s="27"/>
      <c r="CLC27" s="27"/>
      <c r="CLD27" s="27"/>
      <c r="CLE27" s="27"/>
      <c r="CLF27" s="27"/>
      <c r="CLG27" s="27"/>
      <c r="CLH27" s="27"/>
      <c r="CLI27" s="27"/>
      <c r="CLJ27" s="27"/>
      <c r="CLK27" s="27"/>
      <c r="CLL27" s="27"/>
      <c r="CLM27" s="27"/>
      <c r="CLN27" s="27"/>
      <c r="CLO27" s="27"/>
      <c r="CLP27" s="27"/>
      <c r="CLQ27" s="27"/>
      <c r="CLR27" s="27"/>
      <c r="CLS27" s="27"/>
      <c r="CLT27" s="27"/>
      <c r="CLU27" s="27"/>
      <c r="CLV27" s="27"/>
      <c r="CLW27" s="27"/>
      <c r="CLX27" s="27"/>
      <c r="CLY27" s="27"/>
      <c r="CLZ27" s="27"/>
      <c r="CMA27" s="27"/>
      <c r="CMB27" s="27"/>
      <c r="CMC27" s="27"/>
      <c r="CMD27" s="27"/>
      <c r="CME27" s="27"/>
      <c r="CMF27" s="27"/>
      <c r="CMG27" s="27"/>
      <c r="CMH27" s="27"/>
      <c r="CMI27" s="27"/>
      <c r="CMJ27" s="27"/>
      <c r="CMK27" s="27"/>
      <c r="CML27" s="27"/>
      <c r="CMM27" s="27"/>
      <c r="CMN27" s="27"/>
      <c r="CMO27" s="27"/>
      <c r="CMP27" s="27"/>
      <c r="CMQ27" s="27"/>
      <c r="CMR27" s="27"/>
      <c r="CMS27" s="27"/>
      <c r="CMT27" s="27"/>
      <c r="CMU27" s="27"/>
      <c r="CMV27" s="27"/>
      <c r="CMW27" s="27"/>
      <c r="CMX27" s="27"/>
      <c r="CMY27" s="27"/>
      <c r="CMZ27" s="27"/>
      <c r="CNA27" s="27"/>
      <c r="CNB27" s="27"/>
      <c r="CNC27" s="27"/>
      <c r="CND27" s="27"/>
      <c r="CNE27" s="27"/>
      <c r="CNF27" s="27"/>
      <c r="CNG27" s="27"/>
      <c r="CNH27" s="27"/>
      <c r="CNI27" s="27"/>
      <c r="CNJ27" s="27"/>
      <c r="CNK27" s="27"/>
      <c r="CNL27" s="27"/>
      <c r="CNM27" s="27"/>
      <c r="CNN27" s="27"/>
      <c r="CNO27" s="27"/>
      <c r="CNP27" s="27"/>
      <c r="CNQ27" s="27"/>
      <c r="CNR27" s="27"/>
      <c r="CNS27" s="27"/>
      <c r="CNT27" s="27"/>
      <c r="CNU27" s="27"/>
      <c r="CNV27" s="27"/>
      <c r="CNW27" s="27"/>
      <c r="CNX27" s="27"/>
      <c r="CNY27" s="27"/>
      <c r="CNZ27" s="27"/>
      <c r="COA27" s="27"/>
      <c r="COB27" s="27"/>
      <c r="COC27" s="27"/>
      <c r="COD27" s="27"/>
      <c r="COE27" s="27"/>
      <c r="COF27" s="27"/>
      <c r="COG27" s="27"/>
      <c r="COH27" s="27"/>
      <c r="COI27" s="27"/>
      <c r="COJ27" s="27"/>
      <c r="COK27" s="27"/>
      <c r="COL27" s="27"/>
      <c r="COM27" s="27"/>
      <c r="CON27" s="27"/>
      <c r="COO27" s="27"/>
      <c r="COP27" s="27"/>
      <c r="COQ27" s="27"/>
      <c r="COR27" s="27"/>
      <c r="COS27" s="27"/>
      <c r="COT27" s="27"/>
      <c r="COU27" s="27"/>
      <c r="COV27" s="27"/>
      <c r="COW27" s="27"/>
      <c r="COX27" s="27"/>
      <c r="COY27" s="27"/>
      <c r="COZ27" s="27"/>
      <c r="CPA27" s="27"/>
      <c r="CPB27" s="27"/>
      <c r="CPC27" s="27"/>
      <c r="CPD27" s="27"/>
      <c r="CPE27" s="27"/>
      <c r="CPF27" s="27"/>
      <c r="CPG27" s="27"/>
      <c r="CPH27" s="27"/>
      <c r="CPI27" s="27"/>
      <c r="CPJ27" s="27"/>
      <c r="CPK27" s="27"/>
      <c r="CPL27" s="27"/>
      <c r="CPM27" s="27"/>
      <c r="CPN27" s="27"/>
      <c r="CPO27" s="27"/>
      <c r="CPP27" s="27"/>
      <c r="CPQ27" s="27"/>
      <c r="CPR27" s="27"/>
      <c r="CPS27" s="27"/>
      <c r="CPT27" s="27"/>
      <c r="CPU27" s="27"/>
      <c r="CPV27" s="27"/>
      <c r="CPW27" s="27"/>
      <c r="CPX27" s="27"/>
      <c r="CPY27" s="27"/>
      <c r="CPZ27" s="27"/>
      <c r="CQA27" s="27"/>
      <c r="CQB27" s="27"/>
      <c r="CQC27" s="27"/>
      <c r="CQD27" s="27"/>
      <c r="CQE27" s="27"/>
      <c r="CQF27" s="27"/>
      <c r="CQG27" s="27"/>
      <c r="CQH27" s="27"/>
      <c r="CQI27" s="27"/>
      <c r="CQJ27" s="27"/>
      <c r="CQK27" s="27"/>
      <c r="CQL27" s="27"/>
      <c r="CQM27" s="27"/>
      <c r="CQN27" s="27"/>
      <c r="CQO27" s="27"/>
      <c r="CQP27" s="27"/>
      <c r="CQQ27" s="27"/>
      <c r="CQR27" s="27"/>
      <c r="CQS27" s="27"/>
      <c r="CQT27" s="27"/>
      <c r="CQU27" s="27"/>
      <c r="CQV27" s="27"/>
      <c r="CQW27" s="27"/>
      <c r="CQX27" s="27"/>
      <c r="CQY27" s="27"/>
      <c r="CQZ27" s="27"/>
      <c r="CRA27" s="27"/>
      <c r="CRB27" s="27"/>
      <c r="CRC27" s="27"/>
      <c r="CRD27" s="27"/>
      <c r="CRE27" s="27"/>
      <c r="CRF27" s="27"/>
      <c r="CRG27" s="27"/>
      <c r="CRH27" s="27"/>
      <c r="CRI27" s="27"/>
      <c r="CRJ27" s="27"/>
      <c r="CRK27" s="27"/>
      <c r="CRL27" s="27"/>
      <c r="CRM27" s="27"/>
      <c r="CRN27" s="27"/>
      <c r="CRO27" s="27"/>
      <c r="CRP27" s="27"/>
      <c r="CRQ27" s="27"/>
      <c r="CRR27" s="27"/>
      <c r="CRS27" s="27"/>
      <c r="CRT27" s="27"/>
      <c r="CRU27" s="27"/>
      <c r="CRV27" s="27"/>
      <c r="CRW27" s="27"/>
      <c r="CRX27" s="27"/>
      <c r="CRY27" s="27"/>
      <c r="CRZ27" s="27"/>
      <c r="CSA27" s="27"/>
      <c r="CSB27" s="27"/>
      <c r="CSC27" s="27"/>
      <c r="CSD27" s="27"/>
      <c r="CSE27" s="27"/>
      <c r="CSF27" s="27"/>
      <c r="CSG27" s="27"/>
      <c r="CSH27" s="27"/>
      <c r="CSI27" s="27"/>
      <c r="CSJ27" s="27"/>
      <c r="CSK27" s="27"/>
      <c r="CSL27" s="27"/>
      <c r="CSM27" s="27"/>
      <c r="CSN27" s="27"/>
      <c r="CSO27" s="27"/>
      <c r="CSP27" s="27"/>
      <c r="CSQ27" s="27"/>
      <c r="CSR27" s="27"/>
      <c r="CSS27" s="27"/>
      <c r="CST27" s="27"/>
      <c r="CSU27" s="27"/>
      <c r="CSV27" s="27"/>
      <c r="CSW27" s="27"/>
      <c r="CSX27" s="27"/>
      <c r="CSY27" s="27"/>
      <c r="CSZ27" s="27"/>
      <c r="CTA27" s="27"/>
      <c r="CTB27" s="27"/>
      <c r="CTC27" s="27"/>
      <c r="CTD27" s="27"/>
      <c r="CTE27" s="27"/>
      <c r="CTF27" s="27"/>
      <c r="CTG27" s="27"/>
      <c r="CTH27" s="27"/>
      <c r="CTI27" s="27"/>
      <c r="CTJ27" s="27"/>
      <c r="CTK27" s="27"/>
      <c r="CTL27" s="27"/>
      <c r="CTM27" s="27"/>
      <c r="CTN27" s="27"/>
      <c r="CTO27" s="27"/>
      <c r="CTP27" s="27"/>
      <c r="CTQ27" s="27"/>
      <c r="CTR27" s="27"/>
      <c r="CTS27" s="27"/>
      <c r="CTT27" s="27"/>
      <c r="CTU27" s="27"/>
      <c r="CTV27" s="27"/>
      <c r="CTW27" s="27"/>
      <c r="CTX27" s="27"/>
      <c r="CTY27" s="27"/>
      <c r="CTZ27" s="27"/>
      <c r="CUA27" s="27"/>
    </row>
    <row r="28" s="30" customFormat="1" ht="22" customHeight="1" spans="1:2575">
      <c r="A28" s="268">
        <v>37</v>
      </c>
      <c r="B28" s="268" t="s">
        <v>13</v>
      </c>
      <c r="C28" s="268" t="s">
        <v>37</v>
      </c>
      <c r="D28" s="82" t="s">
        <v>330</v>
      </c>
      <c r="E28" s="29" t="s">
        <v>742</v>
      </c>
      <c r="F28" s="31" t="s">
        <v>748</v>
      </c>
      <c r="G28" s="31" t="s">
        <v>744</v>
      </c>
      <c r="H28" s="32">
        <v>10040179</v>
      </c>
      <c r="I28" s="32">
        <v>2010.1</v>
      </c>
      <c r="J28" s="119" t="s">
        <v>745</v>
      </c>
      <c r="K28" s="31" t="s">
        <v>42</v>
      </c>
      <c r="L28" s="31" t="s">
        <v>667</v>
      </c>
      <c r="M28" s="29" t="s">
        <v>674</v>
      </c>
      <c r="N28" s="94">
        <v>45574</v>
      </c>
      <c r="O28" s="94">
        <v>45938</v>
      </c>
      <c r="P28" s="29">
        <v>300</v>
      </c>
      <c r="Q28" s="85"/>
      <c r="R28" s="251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7"/>
      <c r="AMG28" s="27"/>
      <c r="AMH28" s="27"/>
      <c r="AMI28" s="27"/>
      <c r="AMJ28" s="27"/>
      <c r="AMK28" s="27"/>
      <c r="AML28" s="27"/>
      <c r="AMM28" s="27"/>
      <c r="AMN28" s="27"/>
      <c r="AMO28" s="27"/>
      <c r="AMP28" s="27"/>
      <c r="AMQ28" s="27"/>
      <c r="AMR28" s="27"/>
      <c r="AMS28" s="27"/>
      <c r="AMT28" s="27"/>
      <c r="AMU28" s="27"/>
      <c r="AMV28" s="27"/>
      <c r="AMW28" s="27"/>
      <c r="AMX28" s="27"/>
      <c r="AMY28" s="27"/>
      <c r="AMZ28" s="27"/>
      <c r="ANA28" s="27"/>
      <c r="ANB28" s="27"/>
      <c r="ANC28" s="27"/>
      <c r="AND28" s="27"/>
      <c r="ANE28" s="27"/>
      <c r="ANF28" s="27"/>
      <c r="ANG28" s="27"/>
      <c r="ANH28" s="27"/>
      <c r="ANI28" s="27"/>
      <c r="ANJ28" s="27"/>
      <c r="ANK28" s="27"/>
      <c r="ANL28" s="27"/>
      <c r="ANM28" s="27"/>
      <c r="ANN28" s="27"/>
      <c r="ANO28" s="27"/>
      <c r="ANP28" s="27"/>
      <c r="ANQ28" s="27"/>
      <c r="ANR28" s="27"/>
      <c r="ANS28" s="27"/>
      <c r="ANT28" s="27"/>
      <c r="ANU28" s="27"/>
      <c r="ANV28" s="27"/>
      <c r="ANW28" s="27"/>
      <c r="ANX28" s="27"/>
      <c r="ANY28" s="27"/>
      <c r="ANZ28" s="27"/>
      <c r="AOA28" s="27"/>
      <c r="AOB28" s="27"/>
      <c r="AOC28" s="27"/>
      <c r="AOD28" s="27"/>
      <c r="AOE28" s="27"/>
      <c r="AOF28" s="27"/>
      <c r="AOG28" s="27"/>
      <c r="AOH28" s="27"/>
      <c r="AOI28" s="27"/>
      <c r="AOJ28" s="27"/>
      <c r="AOK28" s="27"/>
      <c r="AOL28" s="27"/>
      <c r="AOM28" s="27"/>
      <c r="AON28" s="27"/>
      <c r="AOO28" s="27"/>
      <c r="AOP28" s="27"/>
      <c r="AOQ28" s="27"/>
      <c r="AOR28" s="27"/>
      <c r="AOS28" s="27"/>
      <c r="AOT28" s="27"/>
      <c r="AOU28" s="27"/>
      <c r="AOV28" s="27"/>
      <c r="AOW28" s="27"/>
      <c r="AOX28" s="27"/>
      <c r="AOY28" s="27"/>
      <c r="AOZ28" s="27"/>
      <c r="APA28" s="27"/>
      <c r="APB28" s="27"/>
      <c r="APC28" s="27"/>
      <c r="APD28" s="27"/>
      <c r="APE28" s="27"/>
      <c r="APF28" s="27"/>
      <c r="APG28" s="27"/>
      <c r="APH28" s="27"/>
      <c r="API28" s="27"/>
      <c r="APJ28" s="27"/>
      <c r="APK28" s="27"/>
      <c r="APL28" s="27"/>
      <c r="APM28" s="27"/>
      <c r="APN28" s="27"/>
      <c r="APO28" s="27"/>
      <c r="APP28" s="27"/>
      <c r="APQ28" s="27"/>
      <c r="APR28" s="27"/>
      <c r="APS28" s="27"/>
      <c r="APT28" s="27"/>
      <c r="APU28" s="27"/>
      <c r="APV28" s="27"/>
      <c r="APW28" s="27"/>
      <c r="APX28" s="27"/>
      <c r="APY28" s="27"/>
      <c r="APZ28" s="27"/>
      <c r="AQA28" s="27"/>
      <c r="AQB28" s="27"/>
      <c r="AQC28" s="27"/>
      <c r="AQD28" s="27"/>
      <c r="AQE28" s="27"/>
      <c r="AQF28" s="27"/>
      <c r="AQG28" s="27"/>
      <c r="AQH28" s="27"/>
      <c r="AQI28" s="27"/>
      <c r="AQJ28" s="27"/>
      <c r="AQK28" s="27"/>
      <c r="AQL28" s="27"/>
      <c r="AQM28" s="27"/>
      <c r="AQN28" s="27"/>
      <c r="AQO28" s="27"/>
      <c r="AQP28" s="27"/>
      <c r="AQQ28" s="27"/>
      <c r="AQR28" s="27"/>
      <c r="AQS28" s="27"/>
      <c r="AQT28" s="27"/>
      <c r="AQU28" s="27"/>
      <c r="AQV28" s="27"/>
      <c r="AQW28" s="27"/>
      <c r="AQX28" s="27"/>
      <c r="AQY28" s="27"/>
      <c r="AQZ28" s="27"/>
      <c r="ARA28" s="27"/>
      <c r="ARB28" s="27"/>
      <c r="ARC28" s="27"/>
      <c r="ARD28" s="27"/>
      <c r="ARE28" s="27"/>
      <c r="ARF28" s="27"/>
      <c r="ARG28" s="27"/>
      <c r="ARH28" s="27"/>
      <c r="ARI28" s="27"/>
      <c r="ARJ28" s="27"/>
      <c r="ARK28" s="27"/>
      <c r="ARL28" s="27"/>
      <c r="ARM28" s="27"/>
      <c r="ARN28" s="27"/>
      <c r="ARO28" s="27"/>
      <c r="ARP28" s="27"/>
      <c r="ARQ28" s="27"/>
      <c r="ARR28" s="27"/>
      <c r="ARS28" s="27"/>
      <c r="ART28" s="27"/>
      <c r="ARU28" s="27"/>
      <c r="ARV28" s="27"/>
      <c r="ARW28" s="27"/>
      <c r="ARX28" s="27"/>
      <c r="ARY28" s="27"/>
      <c r="ARZ28" s="27"/>
      <c r="ASA28" s="27"/>
      <c r="ASB28" s="27"/>
      <c r="ASC28" s="27"/>
      <c r="ASD28" s="27"/>
      <c r="ASE28" s="27"/>
      <c r="ASF28" s="27"/>
      <c r="ASG28" s="27"/>
      <c r="ASH28" s="27"/>
      <c r="ASI28" s="27"/>
      <c r="ASJ28" s="27"/>
      <c r="ASK28" s="27"/>
      <c r="ASL28" s="27"/>
      <c r="ASM28" s="27"/>
      <c r="ASN28" s="27"/>
      <c r="ASO28" s="27"/>
      <c r="ASP28" s="27"/>
      <c r="ASQ28" s="27"/>
      <c r="ASR28" s="27"/>
      <c r="ASS28" s="27"/>
      <c r="AST28" s="27"/>
      <c r="ASU28" s="27"/>
      <c r="ASV28" s="27"/>
      <c r="ASW28" s="27"/>
      <c r="ASX28" s="27"/>
      <c r="ASY28" s="27"/>
      <c r="ASZ28" s="27"/>
      <c r="ATA28" s="27"/>
      <c r="ATB28" s="27"/>
      <c r="ATC28" s="27"/>
      <c r="ATD28" s="27"/>
      <c r="ATE28" s="27"/>
      <c r="ATF28" s="27"/>
      <c r="ATG28" s="27"/>
      <c r="ATH28" s="27"/>
      <c r="ATI28" s="27"/>
      <c r="ATJ28" s="27"/>
      <c r="ATK28" s="27"/>
      <c r="ATL28" s="27"/>
      <c r="ATM28" s="27"/>
      <c r="ATN28" s="27"/>
      <c r="ATO28" s="27"/>
      <c r="ATP28" s="27"/>
      <c r="ATQ28" s="27"/>
      <c r="ATR28" s="27"/>
      <c r="ATS28" s="27"/>
      <c r="ATT28" s="27"/>
      <c r="ATU28" s="27"/>
      <c r="ATV28" s="27"/>
      <c r="ATW28" s="27"/>
      <c r="ATX28" s="27"/>
      <c r="ATY28" s="27"/>
      <c r="ATZ28" s="27"/>
      <c r="AUA28" s="27"/>
      <c r="AUB28" s="27"/>
      <c r="AUC28" s="27"/>
      <c r="AUD28" s="27"/>
      <c r="AUE28" s="27"/>
      <c r="AUF28" s="27"/>
      <c r="AUG28" s="27"/>
      <c r="AUH28" s="27"/>
      <c r="AUI28" s="27"/>
      <c r="AUJ28" s="27"/>
      <c r="AUK28" s="27"/>
      <c r="AUL28" s="27"/>
      <c r="AUM28" s="27"/>
      <c r="AUN28" s="27"/>
      <c r="AUO28" s="27"/>
      <c r="AUP28" s="27"/>
      <c r="AUQ28" s="27"/>
      <c r="AUR28" s="27"/>
      <c r="AUS28" s="27"/>
      <c r="AUT28" s="27"/>
      <c r="AUU28" s="27"/>
      <c r="AUV28" s="27"/>
      <c r="AUW28" s="27"/>
      <c r="AUX28" s="27"/>
      <c r="AUY28" s="27"/>
      <c r="AUZ28" s="27"/>
      <c r="AVA28" s="27"/>
      <c r="AVB28" s="27"/>
      <c r="AVC28" s="27"/>
      <c r="AVD28" s="27"/>
      <c r="AVE28" s="27"/>
      <c r="AVF28" s="27"/>
      <c r="AVG28" s="27"/>
      <c r="AVH28" s="27"/>
      <c r="AVI28" s="27"/>
      <c r="AVJ28" s="27"/>
      <c r="AVK28" s="27"/>
      <c r="AVL28" s="27"/>
      <c r="AVM28" s="27"/>
      <c r="AVN28" s="27"/>
      <c r="AVO28" s="27"/>
      <c r="AVP28" s="27"/>
      <c r="AVQ28" s="27"/>
      <c r="AVR28" s="27"/>
      <c r="AVS28" s="27"/>
      <c r="AVT28" s="27"/>
      <c r="AVU28" s="27"/>
      <c r="AVV28" s="27"/>
      <c r="AVW28" s="27"/>
      <c r="AVX28" s="27"/>
      <c r="AVY28" s="27"/>
      <c r="AVZ28" s="27"/>
      <c r="AWA28" s="27"/>
      <c r="AWB28" s="27"/>
      <c r="AWC28" s="27"/>
      <c r="AWD28" s="27"/>
      <c r="AWE28" s="27"/>
      <c r="AWF28" s="27"/>
      <c r="AWG28" s="27"/>
      <c r="AWH28" s="27"/>
      <c r="AWI28" s="27"/>
      <c r="AWJ28" s="27"/>
      <c r="AWK28" s="27"/>
      <c r="AWL28" s="27"/>
      <c r="AWM28" s="27"/>
      <c r="AWN28" s="27"/>
      <c r="AWO28" s="27"/>
      <c r="AWP28" s="27"/>
      <c r="AWQ28" s="27"/>
      <c r="AWR28" s="27"/>
      <c r="AWS28" s="27"/>
      <c r="AWT28" s="27"/>
      <c r="AWU28" s="27"/>
      <c r="AWV28" s="27"/>
      <c r="AWW28" s="27"/>
      <c r="AWX28" s="27"/>
      <c r="AWY28" s="27"/>
      <c r="AWZ28" s="27"/>
      <c r="AXA28" s="27"/>
      <c r="AXB28" s="27"/>
      <c r="AXC28" s="27"/>
      <c r="AXD28" s="27"/>
      <c r="AXE28" s="27"/>
      <c r="AXF28" s="27"/>
      <c r="AXG28" s="27"/>
      <c r="AXH28" s="27"/>
      <c r="AXI28" s="27"/>
      <c r="AXJ28" s="27"/>
      <c r="AXK28" s="27"/>
      <c r="AXL28" s="27"/>
      <c r="AXM28" s="27"/>
      <c r="AXN28" s="27"/>
      <c r="AXO28" s="27"/>
      <c r="AXP28" s="27"/>
      <c r="AXQ28" s="27"/>
      <c r="AXR28" s="27"/>
      <c r="AXS28" s="27"/>
      <c r="AXT28" s="27"/>
      <c r="AXU28" s="27"/>
      <c r="AXV28" s="27"/>
      <c r="AXW28" s="27"/>
      <c r="AXX28" s="27"/>
      <c r="AXY28" s="27"/>
      <c r="AXZ28" s="27"/>
      <c r="AYA28" s="27"/>
      <c r="AYB28" s="27"/>
      <c r="AYC28" s="27"/>
      <c r="AYD28" s="27"/>
      <c r="AYE28" s="27"/>
      <c r="AYF28" s="27"/>
      <c r="AYG28" s="27"/>
      <c r="AYH28" s="27"/>
      <c r="AYI28" s="27"/>
      <c r="AYJ28" s="27"/>
      <c r="AYK28" s="27"/>
      <c r="AYL28" s="27"/>
      <c r="AYM28" s="27"/>
      <c r="AYN28" s="27"/>
      <c r="AYO28" s="27"/>
      <c r="AYP28" s="27"/>
      <c r="AYQ28" s="27"/>
      <c r="AYR28" s="27"/>
      <c r="AYS28" s="27"/>
      <c r="AYT28" s="27"/>
      <c r="AYU28" s="27"/>
      <c r="AYV28" s="27"/>
      <c r="AYW28" s="27"/>
      <c r="AYX28" s="27"/>
      <c r="AYY28" s="27"/>
      <c r="AYZ28" s="27"/>
      <c r="AZA28" s="27"/>
      <c r="AZB28" s="27"/>
      <c r="AZC28" s="27"/>
      <c r="AZD28" s="27"/>
      <c r="AZE28" s="27"/>
      <c r="AZF28" s="27"/>
      <c r="AZG28" s="27"/>
      <c r="AZH28" s="27"/>
      <c r="AZI28" s="27"/>
      <c r="AZJ28" s="27"/>
      <c r="AZK28" s="27"/>
      <c r="AZL28" s="27"/>
      <c r="AZM28" s="27"/>
      <c r="AZN28" s="27"/>
      <c r="AZO28" s="27"/>
      <c r="AZP28" s="27"/>
      <c r="AZQ28" s="27"/>
      <c r="AZR28" s="27"/>
      <c r="AZS28" s="27"/>
      <c r="AZT28" s="27"/>
      <c r="AZU28" s="27"/>
      <c r="AZV28" s="27"/>
      <c r="AZW28" s="27"/>
      <c r="AZX28" s="27"/>
      <c r="AZY28" s="27"/>
      <c r="AZZ28" s="27"/>
      <c r="BAA28" s="27"/>
      <c r="BAB28" s="27"/>
      <c r="BAC28" s="27"/>
      <c r="BAD28" s="27"/>
      <c r="BAE28" s="27"/>
      <c r="BAF28" s="27"/>
      <c r="BAG28" s="27"/>
      <c r="BAH28" s="27"/>
      <c r="BAI28" s="27"/>
      <c r="BAJ28" s="27"/>
      <c r="BAK28" s="27"/>
      <c r="BAL28" s="27"/>
      <c r="BAM28" s="27"/>
      <c r="BAN28" s="27"/>
      <c r="BAO28" s="27"/>
      <c r="BAP28" s="27"/>
      <c r="BAQ28" s="27"/>
      <c r="BAR28" s="27"/>
      <c r="BAS28" s="27"/>
      <c r="BAT28" s="27"/>
      <c r="BAU28" s="27"/>
      <c r="BAV28" s="27"/>
      <c r="BAW28" s="27"/>
      <c r="BAX28" s="27"/>
      <c r="BAY28" s="27"/>
      <c r="BAZ28" s="27"/>
      <c r="BBA28" s="27"/>
      <c r="BBB28" s="27"/>
      <c r="BBC28" s="27"/>
      <c r="BBD28" s="27"/>
      <c r="BBE28" s="27"/>
      <c r="BBF28" s="27"/>
      <c r="BBG28" s="27"/>
      <c r="BBH28" s="27"/>
      <c r="BBI28" s="27"/>
      <c r="BBJ28" s="27"/>
      <c r="BBK28" s="27"/>
      <c r="BBL28" s="27"/>
      <c r="BBM28" s="27"/>
      <c r="BBN28" s="27"/>
      <c r="BBO28" s="27"/>
      <c r="BBP28" s="27"/>
      <c r="BBQ28" s="27"/>
      <c r="BBR28" s="27"/>
      <c r="BBS28" s="27"/>
      <c r="BBT28" s="27"/>
      <c r="BBU28" s="27"/>
      <c r="BBV28" s="27"/>
      <c r="BBW28" s="27"/>
      <c r="BBX28" s="27"/>
      <c r="BBY28" s="27"/>
      <c r="BBZ28" s="27"/>
      <c r="BCA28" s="27"/>
      <c r="BCB28" s="27"/>
      <c r="BCC28" s="27"/>
      <c r="BCD28" s="27"/>
      <c r="BCE28" s="27"/>
      <c r="BCF28" s="27"/>
      <c r="BCG28" s="27"/>
      <c r="BCH28" s="27"/>
      <c r="BCI28" s="27"/>
      <c r="BCJ28" s="27"/>
      <c r="BCK28" s="27"/>
      <c r="BCL28" s="27"/>
      <c r="BCM28" s="27"/>
      <c r="BCN28" s="27"/>
      <c r="BCO28" s="27"/>
      <c r="BCP28" s="27"/>
      <c r="BCQ28" s="27"/>
      <c r="BCR28" s="27"/>
      <c r="BCS28" s="27"/>
      <c r="BCT28" s="27"/>
      <c r="BCU28" s="27"/>
      <c r="BCV28" s="27"/>
      <c r="BCW28" s="27"/>
      <c r="BCX28" s="27"/>
      <c r="BCY28" s="27"/>
      <c r="BCZ28" s="27"/>
      <c r="BDA28" s="27"/>
      <c r="BDB28" s="27"/>
      <c r="BDC28" s="27"/>
      <c r="BDD28" s="27"/>
      <c r="BDE28" s="27"/>
      <c r="BDF28" s="27"/>
      <c r="BDG28" s="27"/>
      <c r="BDH28" s="27"/>
      <c r="BDI28" s="27"/>
      <c r="BDJ28" s="27"/>
      <c r="BDK28" s="27"/>
      <c r="BDL28" s="27"/>
      <c r="BDM28" s="27"/>
      <c r="BDN28" s="27"/>
      <c r="BDO28" s="27"/>
      <c r="BDP28" s="27"/>
      <c r="BDQ28" s="27"/>
      <c r="BDR28" s="27"/>
      <c r="BDS28" s="27"/>
      <c r="BDT28" s="27"/>
      <c r="BDU28" s="27"/>
      <c r="BDV28" s="27"/>
      <c r="BDW28" s="27"/>
      <c r="BDX28" s="27"/>
      <c r="BDY28" s="27"/>
      <c r="BDZ28" s="27"/>
      <c r="BEA28" s="27"/>
      <c r="BEB28" s="27"/>
      <c r="BEC28" s="27"/>
      <c r="BED28" s="27"/>
      <c r="BEE28" s="27"/>
      <c r="BEF28" s="27"/>
      <c r="BEG28" s="27"/>
      <c r="BEH28" s="27"/>
      <c r="BEI28" s="27"/>
      <c r="BEJ28" s="27"/>
      <c r="BEK28" s="27"/>
      <c r="BEL28" s="27"/>
      <c r="BEM28" s="27"/>
      <c r="BEN28" s="27"/>
      <c r="BEO28" s="27"/>
      <c r="BEP28" s="27"/>
      <c r="BEQ28" s="27"/>
      <c r="BER28" s="27"/>
      <c r="BES28" s="27"/>
      <c r="BET28" s="27"/>
      <c r="BEU28" s="27"/>
      <c r="BEV28" s="27"/>
      <c r="BEW28" s="27"/>
      <c r="BEX28" s="27"/>
      <c r="BEY28" s="27"/>
      <c r="BEZ28" s="27"/>
      <c r="BFA28" s="27"/>
      <c r="BFB28" s="27"/>
      <c r="BFC28" s="27"/>
      <c r="BFD28" s="27"/>
      <c r="BFE28" s="27"/>
      <c r="BFF28" s="27"/>
      <c r="BFG28" s="27"/>
      <c r="BFH28" s="27"/>
      <c r="BFI28" s="27"/>
      <c r="BFJ28" s="27"/>
      <c r="BFK28" s="27"/>
      <c r="BFL28" s="27"/>
      <c r="BFM28" s="27"/>
      <c r="BFN28" s="27"/>
      <c r="BFO28" s="27"/>
      <c r="BFP28" s="27"/>
      <c r="BFQ28" s="27"/>
      <c r="BFR28" s="27"/>
      <c r="BFS28" s="27"/>
      <c r="BFT28" s="27"/>
      <c r="BFU28" s="27"/>
      <c r="BFV28" s="27"/>
      <c r="BFW28" s="27"/>
      <c r="BFX28" s="27"/>
      <c r="BFY28" s="27"/>
      <c r="BFZ28" s="27"/>
      <c r="BGA28" s="27"/>
      <c r="BGB28" s="27"/>
      <c r="BGC28" s="27"/>
      <c r="BGD28" s="27"/>
      <c r="BGE28" s="27"/>
      <c r="BGF28" s="27"/>
      <c r="BGG28" s="27"/>
      <c r="BGH28" s="27"/>
      <c r="BGI28" s="27"/>
      <c r="BGJ28" s="27"/>
      <c r="BGK28" s="27"/>
      <c r="BGL28" s="27"/>
      <c r="BGM28" s="27"/>
      <c r="BGN28" s="27"/>
      <c r="BGO28" s="27"/>
      <c r="BGP28" s="27"/>
      <c r="BGQ28" s="27"/>
      <c r="BGR28" s="27"/>
      <c r="BGS28" s="27"/>
      <c r="BGT28" s="27"/>
      <c r="BGU28" s="27"/>
      <c r="BGV28" s="27"/>
      <c r="BGW28" s="27"/>
      <c r="BGX28" s="27"/>
      <c r="BGY28" s="27"/>
      <c r="BGZ28" s="27"/>
      <c r="BHA28" s="27"/>
      <c r="BHB28" s="27"/>
      <c r="BHC28" s="27"/>
      <c r="BHD28" s="27"/>
      <c r="BHE28" s="27"/>
      <c r="BHF28" s="27"/>
      <c r="BHG28" s="27"/>
      <c r="BHH28" s="27"/>
      <c r="BHI28" s="27"/>
      <c r="BHJ28" s="27"/>
      <c r="BHK28" s="27"/>
      <c r="BHL28" s="27"/>
      <c r="BHM28" s="27"/>
      <c r="BHN28" s="27"/>
      <c r="BHO28" s="27"/>
      <c r="BHP28" s="27"/>
      <c r="BHQ28" s="27"/>
      <c r="BHR28" s="27"/>
      <c r="BHS28" s="27"/>
      <c r="BHT28" s="27"/>
      <c r="BHU28" s="27"/>
      <c r="BHV28" s="27"/>
      <c r="BHW28" s="27"/>
      <c r="BHX28" s="27"/>
      <c r="BHY28" s="27"/>
      <c r="BHZ28" s="27"/>
      <c r="BIA28" s="27"/>
      <c r="BIB28" s="27"/>
      <c r="BIC28" s="27"/>
      <c r="BID28" s="27"/>
      <c r="BIE28" s="27"/>
      <c r="BIF28" s="27"/>
      <c r="BIG28" s="27"/>
      <c r="BIH28" s="27"/>
      <c r="BII28" s="27"/>
      <c r="BIJ28" s="27"/>
      <c r="BIK28" s="27"/>
      <c r="BIL28" s="27"/>
      <c r="BIM28" s="27"/>
      <c r="BIN28" s="27"/>
      <c r="BIO28" s="27"/>
      <c r="BIP28" s="27"/>
      <c r="BIQ28" s="27"/>
      <c r="BIR28" s="27"/>
      <c r="BIS28" s="27"/>
      <c r="BIT28" s="27"/>
      <c r="BIU28" s="27"/>
      <c r="BIV28" s="27"/>
      <c r="BIW28" s="27"/>
      <c r="BIX28" s="27"/>
      <c r="BIY28" s="27"/>
      <c r="BIZ28" s="27"/>
      <c r="BJA28" s="27"/>
      <c r="BJB28" s="27"/>
      <c r="BJC28" s="27"/>
      <c r="BJD28" s="27"/>
      <c r="BJE28" s="27"/>
      <c r="BJF28" s="27"/>
      <c r="BJG28" s="27"/>
      <c r="BJH28" s="27"/>
      <c r="BJI28" s="27"/>
      <c r="BJJ28" s="27"/>
      <c r="BJK28" s="27"/>
      <c r="BJL28" s="27"/>
      <c r="BJM28" s="27"/>
      <c r="BJN28" s="27"/>
      <c r="BJO28" s="27"/>
      <c r="BJP28" s="27"/>
      <c r="BJQ28" s="27"/>
      <c r="BJR28" s="27"/>
      <c r="BJS28" s="27"/>
      <c r="BJT28" s="27"/>
      <c r="BJU28" s="27"/>
      <c r="BJV28" s="27"/>
      <c r="BJW28" s="27"/>
      <c r="BJX28" s="27"/>
      <c r="BJY28" s="27"/>
      <c r="BJZ28" s="27"/>
      <c r="BKA28" s="27"/>
      <c r="BKB28" s="27"/>
      <c r="BKC28" s="27"/>
      <c r="BKD28" s="27"/>
      <c r="BKE28" s="27"/>
      <c r="BKF28" s="27"/>
      <c r="BKG28" s="27"/>
      <c r="BKH28" s="27"/>
      <c r="BKI28" s="27"/>
      <c r="BKJ28" s="27"/>
      <c r="BKK28" s="27"/>
      <c r="BKL28" s="27"/>
      <c r="BKM28" s="27"/>
      <c r="BKN28" s="27"/>
      <c r="BKO28" s="27"/>
      <c r="BKP28" s="27"/>
      <c r="BKQ28" s="27"/>
      <c r="BKR28" s="27"/>
      <c r="BKS28" s="27"/>
      <c r="BKT28" s="27"/>
      <c r="BKU28" s="27"/>
      <c r="BKV28" s="27"/>
      <c r="BKW28" s="27"/>
      <c r="BKX28" s="27"/>
      <c r="BKY28" s="27"/>
      <c r="BKZ28" s="27"/>
      <c r="BLA28" s="27"/>
      <c r="BLB28" s="27"/>
      <c r="BLC28" s="27"/>
      <c r="BLD28" s="27"/>
      <c r="BLE28" s="27"/>
      <c r="BLF28" s="27"/>
      <c r="BLG28" s="27"/>
      <c r="BLH28" s="27"/>
      <c r="BLI28" s="27"/>
      <c r="BLJ28" s="27"/>
      <c r="BLK28" s="27"/>
      <c r="BLL28" s="27"/>
      <c r="BLM28" s="27"/>
      <c r="BLN28" s="27"/>
      <c r="BLO28" s="27"/>
      <c r="BLP28" s="27"/>
      <c r="BLQ28" s="27"/>
      <c r="BLR28" s="27"/>
      <c r="BLS28" s="27"/>
      <c r="BLT28" s="27"/>
      <c r="BLU28" s="27"/>
      <c r="BLV28" s="27"/>
      <c r="BLW28" s="27"/>
      <c r="BLX28" s="27"/>
      <c r="BLY28" s="27"/>
      <c r="BLZ28" s="27"/>
      <c r="BMA28" s="27"/>
      <c r="BMB28" s="27"/>
      <c r="BMC28" s="27"/>
      <c r="BMD28" s="27"/>
      <c r="BME28" s="27"/>
      <c r="BMF28" s="27"/>
      <c r="BMG28" s="27"/>
      <c r="BMH28" s="27"/>
      <c r="BMI28" s="27"/>
      <c r="BMJ28" s="27"/>
      <c r="BMK28" s="27"/>
      <c r="BML28" s="27"/>
      <c r="BMM28" s="27"/>
      <c r="BMN28" s="27"/>
      <c r="BMO28" s="27"/>
      <c r="BMP28" s="27"/>
      <c r="BMQ28" s="27"/>
      <c r="BMR28" s="27"/>
      <c r="BMS28" s="27"/>
      <c r="BMT28" s="27"/>
      <c r="BMU28" s="27"/>
      <c r="BMV28" s="27"/>
      <c r="BMW28" s="27"/>
      <c r="BMX28" s="27"/>
      <c r="BMY28" s="27"/>
      <c r="BMZ28" s="27"/>
      <c r="BNA28" s="27"/>
      <c r="BNB28" s="27"/>
      <c r="BNC28" s="27"/>
      <c r="BND28" s="27"/>
      <c r="BNE28" s="27"/>
      <c r="BNF28" s="27"/>
      <c r="BNG28" s="27"/>
      <c r="BNH28" s="27"/>
      <c r="BNI28" s="27"/>
      <c r="BNJ28" s="27"/>
      <c r="BNK28" s="27"/>
      <c r="BNL28" s="27"/>
      <c r="BNM28" s="27"/>
      <c r="BNN28" s="27"/>
      <c r="BNO28" s="27"/>
      <c r="BNP28" s="27"/>
      <c r="BNQ28" s="27"/>
      <c r="BNR28" s="27"/>
      <c r="BNS28" s="27"/>
      <c r="BNT28" s="27"/>
      <c r="BNU28" s="27"/>
      <c r="BNV28" s="27"/>
      <c r="BNW28" s="27"/>
      <c r="BNX28" s="27"/>
      <c r="BNY28" s="27"/>
      <c r="BNZ28" s="27"/>
      <c r="BOA28" s="27"/>
      <c r="BOB28" s="27"/>
      <c r="BOC28" s="27"/>
      <c r="BOD28" s="27"/>
      <c r="BOE28" s="27"/>
      <c r="BOF28" s="27"/>
      <c r="BOG28" s="27"/>
      <c r="BOH28" s="27"/>
      <c r="BOI28" s="27"/>
      <c r="BOJ28" s="27"/>
      <c r="BOK28" s="27"/>
      <c r="BOL28" s="27"/>
      <c r="BOM28" s="27"/>
      <c r="BON28" s="27"/>
      <c r="BOO28" s="27"/>
      <c r="BOP28" s="27"/>
      <c r="BOQ28" s="27"/>
      <c r="BOR28" s="27"/>
      <c r="BOS28" s="27"/>
      <c r="BOT28" s="27"/>
      <c r="BOU28" s="27"/>
      <c r="BOV28" s="27"/>
      <c r="BOW28" s="27"/>
      <c r="BOX28" s="27"/>
      <c r="BOY28" s="27"/>
      <c r="BOZ28" s="27"/>
      <c r="BPA28" s="27"/>
      <c r="BPB28" s="27"/>
      <c r="BPC28" s="27"/>
      <c r="BPD28" s="27"/>
      <c r="BPE28" s="27"/>
      <c r="BPF28" s="27"/>
      <c r="BPG28" s="27"/>
      <c r="BPH28" s="27"/>
      <c r="BPI28" s="27"/>
      <c r="BPJ28" s="27"/>
      <c r="BPK28" s="27"/>
      <c r="BPL28" s="27"/>
      <c r="BPM28" s="27"/>
      <c r="BPN28" s="27"/>
      <c r="BPO28" s="27"/>
      <c r="BPP28" s="27"/>
      <c r="BPQ28" s="27"/>
      <c r="BPR28" s="27"/>
      <c r="BPS28" s="27"/>
      <c r="BPT28" s="27"/>
      <c r="BPU28" s="27"/>
      <c r="BPV28" s="27"/>
      <c r="BPW28" s="27"/>
      <c r="BPX28" s="27"/>
      <c r="BPY28" s="27"/>
      <c r="BPZ28" s="27"/>
      <c r="BQA28" s="27"/>
      <c r="BQB28" s="27"/>
      <c r="BQC28" s="27"/>
      <c r="BQD28" s="27"/>
      <c r="BQE28" s="27"/>
      <c r="BQF28" s="27"/>
      <c r="BQG28" s="27"/>
      <c r="BQH28" s="27"/>
      <c r="BQI28" s="27"/>
      <c r="BQJ28" s="27"/>
      <c r="BQK28" s="27"/>
      <c r="BQL28" s="27"/>
      <c r="BQM28" s="27"/>
      <c r="BQN28" s="27"/>
      <c r="BQO28" s="27"/>
      <c r="BQP28" s="27"/>
      <c r="BQQ28" s="27"/>
      <c r="BQR28" s="27"/>
      <c r="BQS28" s="27"/>
      <c r="BQT28" s="27"/>
      <c r="BQU28" s="27"/>
      <c r="BQV28" s="27"/>
      <c r="BQW28" s="27"/>
      <c r="BQX28" s="27"/>
      <c r="BQY28" s="27"/>
      <c r="BQZ28" s="27"/>
      <c r="BRA28" s="27"/>
      <c r="BRB28" s="27"/>
      <c r="BRC28" s="27"/>
      <c r="BRD28" s="27"/>
      <c r="BRE28" s="27"/>
      <c r="BRF28" s="27"/>
      <c r="BRG28" s="27"/>
      <c r="BRH28" s="27"/>
      <c r="BRI28" s="27"/>
      <c r="BRJ28" s="27"/>
      <c r="BRK28" s="27"/>
      <c r="BRL28" s="27"/>
      <c r="BRM28" s="27"/>
      <c r="BRN28" s="27"/>
      <c r="BRO28" s="27"/>
      <c r="BRP28" s="27"/>
      <c r="BRQ28" s="27"/>
      <c r="BRR28" s="27"/>
      <c r="BRS28" s="27"/>
      <c r="BRT28" s="27"/>
      <c r="BRU28" s="27"/>
      <c r="BRV28" s="27"/>
      <c r="BRW28" s="27"/>
      <c r="BRX28" s="27"/>
      <c r="BRY28" s="27"/>
      <c r="BRZ28" s="27"/>
      <c r="BSA28" s="27"/>
      <c r="BSB28" s="27"/>
      <c r="BSC28" s="27"/>
      <c r="BSD28" s="27"/>
      <c r="BSE28" s="27"/>
      <c r="BSF28" s="27"/>
      <c r="BSG28" s="27"/>
      <c r="BSH28" s="27"/>
      <c r="BSI28" s="27"/>
      <c r="BSJ28" s="27"/>
      <c r="BSK28" s="27"/>
      <c r="BSL28" s="27"/>
      <c r="BSM28" s="27"/>
      <c r="BSN28" s="27"/>
      <c r="BSO28" s="27"/>
      <c r="BSP28" s="27"/>
      <c r="BSQ28" s="27"/>
      <c r="BSR28" s="27"/>
      <c r="BSS28" s="27"/>
      <c r="BST28" s="27"/>
      <c r="BSU28" s="27"/>
      <c r="BSV28" s="27"/>
      <c r="BSW28" s="27"/>
      <c r="BSX28" s="27"/>
      <c r="BSY28" s="27"/>
      <c r="BSZ28" s="27"/>
      <c r="BTA28" s="27"/>
      <c r="BTB28" s="27"/>
      <c r="BTC28" s="27"/>
      <c r="BTD28" s="27"/>
      <c r="BTE28" s="27"/>
      <c r="BTF28" s="27"/>
      <c r="BTG28" s="27"/>
      <c r="BTH28" s="27"/>
      <c r="BTI28" s="27"/>
      <c r="BTJ28" s="27"/>
      <c r="BTK28" s="27"/>
      <c r="BTL28" s="27"/>
      <c r="BTM28" s="27"/>
      <c r="BTN28" s="27"/>
      <c r="BTO28" s="27"/>
      <c r="BTP28" s="27"/>
      <c r="BTQ28" s="27"/>
      <c r="BTR28" s="27"/>
      <c r="BTS28" s="27"/>
      <c r="BTT28" s="27"/>
      <c r="BTU28" s="27"/>
      <c r="BTV28" s="27"/>
      <c r="BTW28" s="27"/>
      <c r="BTX28" s="27"/>
      <c r="BTY28" s="27"/>
      <c r="BTZ28" s="27"/>
      <c r="BUA28" s="27"/>
      <c r="BUB28" s="27"/>
      <c r="BUC28" s="27"/>
      <c r="BUD28" s="27"/>
      <c r="BUE28" s="27"/>
      <c r="BUF28" s="27"/>
      <c r="BUG28" s="27"/>
      <c r="BUH28" s="27"/>
      <c r="BUI28" s="27"/>
      <c r="BUJ28" s="27"/>
      <c r="BUK28" s="27"/>
      <c r="BUL28" s="27"/>
      <c r="BUM28" s="27"/>
      <c r="BUN28" s="27"/>
      <c r="BUO28" s="27"/>
      <c r="BUP28" s="27"/>
      <c r="BUQ28" s="27"/>
      <c r="BUR28" s="27"/>
      <c r="BUS28" s="27"/>
      <c r="BUT28" s="27"/>
      <c r="BUU28" s="27"/>
      <c r="BUV28" s="27"/>
      <c r="BUW28" s="27"/>
      <c r="BUX28" s="27"/>
      <c r="BUY28" s="27"/>
      <c r="BUZ28" s="27"/>
      <c r="BVA28" s="27"/>
      <c r="BVB28" s="27"/>
      <c r="BVC28" s="27"/>
      <c r="BVD28" s="27"/>
      <c r="BVE28" s="27"/>
      <c r="BVF28" s="27"/>
      <c r="BVG28" s="27"/>
      <c r="BVH28" s="27"/>
      <c r="BVI28" s="27"/>
      <c r="BVJ28" s="27"/>
      <c r="BVK28" s="27"/>
      <c r="BVL28" s="27"/>
      <c r="BVM28" s="27"/>
      <c r="BVN28" s="27"/>
      <c r="BVO28" s="27"/>
      <c r="BVP28" s="27"/>
      <c r="BVQ28" s="27"/>
      <c r="BVR28" s="27"/>
      <c r="BVS28" s="27"/>
      <c r="BVT28" s="27"/>
      <c r="BVU28" s="27"/>
      <c r="BVV28" s="27"/>
      <c r="BVW28" s="27"/>
      <c r="BVX28" s="27"/>
      <c r="BVY28" s="27"/>
      <c r="BVZ28" s="27"/>
      <c r="BWA28" s="27"/>
      <c r="BWB28" s="27"/>
      <c r="BWC28" s="27"/>
      <c r="BWD28" s="27"/>
      <c r="BWE28" s="27"/>
      <c r="BWF28" s="27"/>
      <c r="BWG28" s="27"/>
      <c r="BWH28" s="27"/>
      <c r="BWI28" s="27"/>
      <c r="BWJ28" s="27"/>
      <c r="BWK28" s="27"/>
      <c r="BWL28" s="27"/>
      <c r="BWM28" s="27"/>
      <c r="BWN28" s="27"/>
      <c r="BWO28" s="27"/>
      <c r="BWP28" s="27"/>
      <c r="BWQ28" s="27"/>
      <c r="BWR28" s="27"/>
      <c r="BWS28" s="27"/>
      <c r="BWT28" s="27"/>
      <c r="BWU28" s="27"/>
      <c r="BWV28" s="27"/>
      <c r="BWW28" s="27"/>
      <c r="BWX28" s="27"/>
      <c r="BWY28" s="27"/>
      <c r="BWZ28" s="27"/>
      <c r="BXA28" s="27"/>
      <c r="BXB28" s="27"/>
      <c r="BXC28" s="27"/>
      <c r="BXD28" s="27"/>
      <c r="BXE28" s="27"/>
      <c r="BXF28" s="27"/>
      <c r="BXG28" s="27"/>
      <c r="BXH28" s="27"/>
      <c r="BXI28" s="27"/>
      <c r="BXJ28" s="27"/>
      <c r="BXK28" s="27"/>
      <c r="BXL28" s="27"/>
      <c r="BXM28" s="27"/>
      <c r="BXN28" s="27"/>
      <c r="BXO28" s="27"/>
      <c r="BXP28" s="27"/>
      <c r="BXQ28" s="27"/>
      <c r="BXR28" s="27"/>
      <c r="BXS28" s="27"/>
      <c r="BXT28" s="27"/>
      <c r="BXU28" s="27"/>
      <c r="BXV28" s="27"/>
      <c r="BXW28" s="27"/>
      <c r="BXX28" s="27"/>
      <c r="BXY28" s="27"/>
      <c r="BXZ28" s="27"/>
      <c r="BYA28" s="27"/>
      <c r="BYB28" s="27"/>
      <c r="BYC28" s="27"/>
      <c r="BYD28" s="27"/>
      <c r="BYE28" s="27"/>
      <c r="BYF28" s="27"/>
      <c r="BYG28" s="27"/>
      <c r="BYH28" s="27"/>
      <c r="BYI28" s="27"/>
      <c r="BYJ28" s="27"/>
      <c r="BYK28" s="27"/>
      <c r="BYL28" s="27"/>
      <c r="BYM28" s="27"/>
      <c r="BYN28" s="27"/>
      <c r="BYO28" s="27"/>
      <c r="BYP28" s="27"/>
      <c r="BYQ28" s="27"/>
      <c r="BYR28" s="27"/>
      <c r="BYS28" s="27"/>
      <c r="BYT28" s="27"/>
      <c r="BYU28" s="27"/>
      <c r="BYV28" s="27"/>
      <c r="BYW28" s="27"/>
      <c r="BYX28" s="27"/>
      <c r="BYY28" s="27"/>
      <c r="BYZ28" s="27"/>
      <c r="BZA28" s="27"/>
      <c r="BZB28" s="27"/>
      <c r="BZC28" s="27"/>
      <c r="BZD28" s="27"/>
      <c r="BZE28" s="27"/>
      <c r="BZF28" s="27"/>
      <c r="BZG28" s="27"/>
      <c r="BZH28" s="27"/>
      <c r="BZI28" s="27"/>
      <c r="BZJ28" s="27"/>
      <c r="BZK28" s="27"/>
      <c r="BZL28" s="27"/>
      <c r="BZM28" s="27"/>
      <c r="BZN28" s="27"/>
      <c r="BZO28" s="27"/>
      <c r="BZP28" s="27"/>
      <c r="BZQ28" s="27"/>
      <c r="BZR28" s="27"/>
      <c r="BZS28" s="27"/>
      <c r="BZT28" s="27"/>
      <c r="BZU28" s="27"/>
      <c r="BZV28" s="27"/>
      <c r="BZW28" s="27"/>
      <c r="BZX28" s="27"/>
      <c r="BZY28" s="27"/>
      <c r="BZZ28" s="27"/>
      <c r="CAA28" s="27"/>
      <c r="CAB28" s="27"/>
      <c r="CAC28" s="27"/>
      <c r="CAD28" s="27"/>
      <c r="CAE28" s="27"/>
      <c r="CAF28" s="27"/>
      <c r="CAG28" s="27"/>
      <c r="CAH28" s="27"/>
      <c r="CAI28" s="27"/>
      <c r="CAJ28" s="27"/>
      <c r="CAK28" s="27"/>
      <c r="CAL28" s="27"/>
      <c r="CAM28" s="27"/>
      <c r="CAN28" s="27"/>
      <c r="CAO28" s="27"/>
      <c r="CAP28" s="27"/>
      <c r="CAQ28" s="27"/>
      <c r="CAR28" s="27"/>
      <c r="CAS28" s="27"/>
      <c r="CAT28" s="27"/>
      <c r="CAU28" s="27"/>
      <c r="CAV28" s="27"/>
      <c r="CAW28" s="27"/>
      <c r="CAX28" s="27"/>
      <c r="CAY28" s="27"/>
      <c r="CAZ28" s="27"/>
      <c r="CBA28" s="27"/>
      <c r="CBB28" s="27"/>
      <c r="CBC28" s="27"/>
      <c r="CBD28" s="27"/>
      <c r="CBE28" s="27"/>
      <c r="CBF28" s="27"/>
      <c r="CBG28" s="27"/>
      <c r="CBH28" s="27"/>
      <c r="CBI28" s="27"/>
      <c r="CBJ28" s="27"/>
      <c r="CBK28" s="27"/>
      <c r="CBL28" s="27"/>
      <c r="CBM28" s="27"/>
      <c r="CBN28" s="27"/>
      <c r="CBO28" s="27"/>
      <c r="CBP28" s="27"/>
      <c r="CBQ28" s="27"/>
      <c r="CBR28" s="27"/>
      <c r="CBS28" s="27"/>
      <c r="CBT28" s="27"/>
      <c r="CBU28" s="27"/>
      <c r="CBV28" s="27"/>
      <c r="CBW28" s="27"/>
      <c r="CBX28" s="27"/>
      <c r="CBY28" s="27"/>
      <c r="CBZ28" s="27"/>
      <c r="CCA28" s="27"/>
      <c r="CCB28" s="27"/>
      <c r="CCC28" s="27"/>
      <c r="CCD28" s="27"/>
      <c r="CCE28" s="27"/>
      <c r="CCF28" s="27"/>
      <c r="CCG28" s="27"/>
      <c r="CCH28" s="27"/>
      <c r="CCI28" s="27"/>
      <c r="CCJ28" s="27"/>
      <c r="CCK28" s="27"/>
      <c r="CCL28" s="27"/>
      <c r="CCM28" s="27"/>
      <c r="CCN28" s="27"/>
      <c r="CCO28" s="27"/>
      <c r="CCP28" s="27"/>
      <c r="CCQ28" s="27"/>
      <c r="CCR28" s="27"/>
      <c r="CCS28" s="27"/>
      <c r="CCT28" s="27"/>
      <c r="CCU28" s="27"/>
      <c r="CCV28" s="27"/>
      <c r="CCW28" s="27"/>
      <c r="CCX28" s="27"/>
      <c r="CCY28" s="27"/>
      <c r="CCZ28" s="27"/>
      <c r="CDA28" s="27"/>
      <c r="CDB28" s="27"/>
      <c r="CDC28" s="27"/>
      <c r="CDD28" s="27"/>
      <c r="CDE28" s="27"/>
      <c r="CDF28" s="27"/>
      <c r="CDG28" s="27"/>
      <c r="CDH28" s="27"/>
      <c r="CDI28" s="27"/>
      <c r="CDJ28" s="27"/>
      <c r="CDK28" s="27"/>
      <c r="CDL28" s="27"/>
      <c r="CDM28" s="27"/>
      <c r="CDN28" s="27"/>
      <c r="CDO28" s="27"/>
      <c r="CDP28" s="27"/>
      <c r="CDQ28" s="27"/>
      <c r="CDR28" s="27"/>
      <c r="CDS28" s="27"/>
      <c r="CDT28" s="27"/>
      <c r="CDU28" s="27"/>
      <c r="CDV28" s="27"/>
      <c r="CDW28" s="27"/>
      <c r="CDX28" s="27"/>
      <c r="CDY28" s="27"/>
      <c r="CDZ28" s="27"/>
      <c r="CEA28" s="27"/>
      <c r="CEB28" s="27"/>
      <c r="CEC28" s="27"/>
      <c r="CED28" s="27"/>
      <c r="CEE28" s="27"/>
      <c r="CEF28" s="27"/>
      <c r="CEG28" s="27"/>
      <c r="CEH28" s="27"/>
      <c r="CEI28" s="27"/>
      <c r="CEJ28" s="27"/>
      <c r="CEK28" s="27"/>
      <c r="CEL28" s="27"/>
      <c r="CEM28" s="27"/>
      <c r="CEN28" s="27"/>
      <c r="CEO28" s="27"/>
      <c r="CEP28" s="27"/>
      <c r="CEQ28" s="27"/>
      <c r="CER28" s="27"/>
      <c r="CES28" s="27"/>
      <c r="CET28" s="27"/>
      <c r="CEU28" s="27"/>
      <c r="CEV28" s="27"/>
      <c r="CEW28" s="27"/>
      <c r="CEX28" s="27"/>
      <c r="CEY28" s="27"/>
      <c r="CEZ28" s="27"/>
      <c r="CFA28" s="27"/>
      <c r="CFB28" s="27"/>
      <c r="CFC28" s="27"/>
      <c r="CFD28" s="27"/>
      <c r="CFE28" s="27"/>
      <c r="CFF28" s="27"/>
      <c r="CFG28" s="27"/>
      <c r="CFH28" s="27"/>
      <c r="CFI28" s="27"/>
      <c r="CFJ28" s="27"/>
      <c r="CFK28" s="27"/>
      <c r="CFL28" s="27"/>
      <c r="CFM28" s="27"/>
      <c r="CFN28" s="27"/>
      <c r="CFO28" s="27"/>
      <c r="CFP28" s="27"/>
      <c r="CFQ28" s="27"/>
      <c r="CFR28" s="27"/>
      <c r="CFS28" s="27"/>
      <c r="CFT28" s="27"/>
      <c r="CFU28" s="27"/>
      <c r="CFV28" s="27"/>
      <c r="CFW28" s="27"/>
      <c r="CFX28" s="27"/>
      <c r="CFY28" s="27"/>
      <c r="CFZ28" s="27"/>
      <c r="CGA28" s="27"/>
      <c r="CGB28" s="27"/>
      <c r="CGC28" s="27"/>
      <c r="CGD28" s="27"/>
      <c r="CGE28" s="27"/>
      <c r="CGF28" s="27"/>
      <c r="CGG28" s="27"/>
      <c r="CGH28" s="27"/>
      <c r="CGI28" s="27"/>
      <c r="CGJ28" s="27"/>
      <c r="CGK28" s="27"/>
      <c r="CGL28" s="27"/>
      <c r="CGM28" s="27"/>
      <c r="CGN28" s="27"/>
      <c r="CGO28" s="27"/>
      <c r="CGP28" s="27"/>
      <c r="CGQ28" s="27"/>
      <c r="CGR28" s="27"/>
      <c r="CGS28" s="27"/>
      <c r="CGT28" s="27"/>
      <c r="CGU28" s="27"/>
      <c r="CGV28" s="27"/>
      <c r="CGW28" s="27"/>
      <c r="CGX28" s="27"/>
      <c r="CGY28" s="27"/>
      <c r="CGZ28" s="27"/>
      <c r="CHA28" s="27"/>
      <c r="CHB28" s="27"/>
      <c r="CHC28" s="27"/>
      <c r="CHD28" s="27"/>
      <c r="CHE28" s="27"/>
      <c r="CHF28" s="27"/>
      <c r="CHG28" s="27"/>
      <c r="CHH28" s="27"/>
      <c r="CHI28" s="27"/>
      <c r="CHJ28" s="27"/>
      <c r="CHK28" s="27"/>
      <c r="CHL28" s="27"/>
      <c r="CHM28" s="27"/>
      <c r="CHN28" s="27"/>
      <c r="CHO28" s="27"/>
      <c r="CHP28" s="27"/>
      <c r="CHQ28" s="27"/>
      <c r="CHR28" s="27"/>
      <c r="CHS28" s="27"/>
      <c r="CHT28" s="27"/>
      <c r="CHU28" s="27"/>
      <c r="CHV28" s="27"/>
      <c r="CHW28" s="27"/>
      <c r="CHX28" s="27"/>
      <c r="CHY28" s="27"/>
      <c r="CHZ28" s="27"/>
      <c r="CIA28" s="27"/>
      <c r="CIB28" s="27"/>
      <c r="CIC28" s="27"/>
      <c r="CID28" s="27"/>
      <c r="CIE28" s="27"/>
      <c r="CIF28" s="27"/>
      <c r="CIG28" s="27"/>
      <c r="CIH28" s="27"/>
      <c r="CII28" s="27"/>
      <c r="CIJ28" s="27"/>
      <c r="CIK28" s="27"/>
      <c r="CIL28" s="27"/>
      <c r="CIM28" s="27"/>
      <c r="CIN28" s="27"/>
      <c r="CIO28" s="27"/>
      <c r="CIP28" s="27"/>
      <c r="CIQ28" s="27"/>
      <c r="CIR28" s="27"/>
      <c r="CIS28" s="27"/>
      <c r="CIT28" s="27"/>
      <c r="CIU28" s="27"/>
      <c r="CIV28" s="27"/>
      <c r="CIW28" s="27"/>
      <c r="CIX28" s="27"/>
      <c r="CIY28" s="27"/>
      <c r="CIZ28" s="27"/>
      <c r="CJA28" s="27"/>
      <c r="CJB28" s="27"/>
      <c r="CJC28" s="27"/>
      <c r="CJD28" s="27"/>
      <c r="CJE28" s="27"/>
      <c r="CJF28" s="27"/>
      <c r="CJG28" s="27"/>
      <c r="CJH28" s="27"/>
      <c r="CJI28" s="27"/>
      <c r="CJJ28" s="27"/>
      <c r="CJK28" s="27"/>
      <c r="CJL28" s="27"/>
      <c r="CJM28" s="27"/>
      <c r="CJN28" s="27"/>
      <c r="CJO28" s="27"/>
      <c r="CJP28" s="27"/>
      <c r="CJQ28" s="27"/>
      <c r="CJR28" s="27"/>
      <c r="CJS28" s="27"/>
      <c r="CJT28" s="27"/>
      <c r="CJU28" s="27"/>
      <c r="CJV28" s="27"/>
      <c r="CJW28" s="27"/>
      <c r="CJX28" s="27"/>
      <c r="CJY28" s="27"/>
      <c r="CJZ28" s="27"/>
      <c r="CKA28" s="27"/>
      <c r="CKB28" s="27"/>
      <c r="CKC28" s="27"/>
      <c r="CKD28" s="27"/>
      <c r="CKE28" s="27"/>
      <c r="CKF28" s="27"/>
      <c r="CKG28" s="27"/>
      <c r="CKH28" s="27"/>
      <c r="CKI28" s="27"/>
      <c r="CKJ28" s="27"/>
      <c r="CKK28" s="27"/>
      <c r="CKL28" s="27"/>
      <c r="CKM28" s="27"/>
      <c r="CKN28" s="27"/>
      <c r="CKO28" s="27"/>
      <c r="CKP28" s="27"/>
      <c r="CKQ28" s="27"/>
      <c r="CKR28" s="27"/>
      <c r="CKS28" s="27"/>
      <c r="CKT28" s="27"/>
      <c r="CKU28" s="27"/>
      <c r="CKV28" s="27"/>
      <c r="CKW28" s="27"/>
      <c r="CKX28" s="27"/>
      <c r="CKY28" s="27"/>
      <c r="CKZ28" s="27"/>
      <c r="CLA28" s="27"/>
      <c r="CLB28" s="27"/>
      <c r="CLC28" s="27"/>
      <c r="CLD28" s="27"/>
      <c r="CLE28" s="27"/>
      <c r="CLF28" s="27"/>
      <c r="CLG28" s="27"/>
      <c r="CLH28" s="27"/>
      <c r="CLI28" s="27"/>
      <c r="CLJ28" s="27"/>
      <c r="CLK28" s="27"/>
      <c r="CLL28" s="27"/>
      <c r="CLM28" s="27"/>
      <c r="CLN28" s="27"/>
      <c r="CLO28" s="27"/>
      <c r="CLP28" s="27"/>
      <c r="CLQ28" s="27"/>
      <c r="CLR28" s="27"/>
      <c r="CLS28" s="27"/>
      <c r="CLT28" s="27"/>
      <c r="CLU28" s="27"/>
      <c r="CLV28" s="27"/>
      <c r="CLW28" s="27"/>
      <c r="CLX28" s="27"/>
      <c r="CLY28" s="27"/>
      <c r="CLZ28" s="27"/>
      <c r="CMA28" s="27"/>
      <c r="CMB28" s="27"/>
      <c r="CMC28" s="27"/>
      <c r="CMD28" s="27"/>
      <c r="CME28" s="27"/>
      <c r="CMF28" s="27"/>
      <c r="CMG28" s="27"/>
      <c r="CMH28" s="27"/>
      <c r="CMI28" s="27"/>
      <c r="CMJ28" s="27"/>
      <c r="CMK28" s="27"/>
      <c r="CML28" s="27"/>
      <c r="CMM28" s="27"/>
      <c r="CMN28" s="27"/>
      <c r="CMO28" s="27"/>
      <c r="CMP28" s="27"/>
      <c r="CMQ28" s="27"/>
      <c r="CMR28" s="27"/>
      <c r="CMS28" s="27"/>
      <c r="CMT28" s="27"/>
      <c r="CMU28" s="27"/>
      <c r="CMV28" s="27"/>
      <c r="CMW28" s="27"/>
      <c r="CMX28" s="27"/>
      <c r="CMY28" s="27"/>
      <c r="CMZ28" s="27"/>
      <c r="CNA28" s="27"/>
      <c r="CNB28" s="27"/>
      <c r="CNC28" s="27"/>
      <c r="CND28" s="27"/>
      <c r="CNE28" s="27"/>
      <c r="CNF28" s="27"/>
      <c r="CNG28" s="27"/>
      <c r="CNH28" s="27"/>
      <c r="CNI28" s="27"/>
      <c r="CNJ28" s="27"/>
      <c r="CNK28" s="27"/>
      <c r="CNL28" s="27"/>
      <c r="CNM28" s="27"/>
      <c r="CNN28" s="27"/>
      <c r="CNO28" s="27"/>
      <c r="CNP28" s="27"/>
      <c r="CNQ28" s="27"/>
      <c r="CNR28" s="27"/>
      <c r="CNS28" s="27"/>
      <c r="CNT28" s="27"/>
      <c r="CNU28" s="27"/>
      <c r="CNV28" s="27"/>
      <c r="CNW28" s="27"/>
      <c r="CNX28" s="27"/>
      <c r="CNY28" s="27"/>
      <c r="CNZ28" s="27"/>
      <c r="COA28" s="27"/>
      <c r="COB28" s="27"/>
      <c r="COC28" s="27"/>
      <c r="COD28" s="27"/>
      <c r="COE28" s="27"/>
      <c r="COF28" s="27"/>
      <c r="COG28" s="27"/>
      <c r="COH28" s="27"/>
      <c r="COI28" s="27"/>
      <c r="COJ28" s="27"/>
      <c r="COK28" s="27"/>
      <c r="COL28" s="27"/>
      <c r="COM28" s="27"/>
      <c r="CON28" s="27"/>
      <c r="COO28" s="27"/>
      <c r="COP28" s="27"/>
      <c r="COQ28" s="27"/>
      <c r="COR28" s="27"/>
      <c r="COS28" s="27"/>
      <c r="COT28" s="27"/>
      <c r="COU28" s="27"/>
      <c r="COV28" s="27"/>
      <c r="COW28" s="27"/>
      <c r="COX28" s="27"/>
      <c r="COY28" s="27"/>
      <c r="COZ28" s="27"/>
      <c r="CPA28" s="27"/>
      <c r="CPB28" s="27"/>
      <c r="CPC28" s="27"/>
      <c r="CPD28" s="27"/>
      <c r="CPE28" s="27"/>
      <c r="CPF28" s="27"/>
      <c r="CPG28" s="27"/>
      <c r="CPH28" s="27"/>
      <c r="CPI28" s="27"/>
      <c r="CPJ28" s="27"/>
      <c r="CPK28" s="27"/>
      <c r="CPL28" s="27"/>
      <c r="CPM28" s="27"/>
      <c r="CPN28" s="27"/>
      <c r="CPO28" s="27"/>
      <c r="CPP28" s="27"/>
      <c r="CPQ28" s="27"/>
      <c r="CPR28" s="27"/>
      <c r="CPS28" s="27"/>
      <c r="CPT28" s="27"/>
      <c r="CPU28" s="27"/>
      <c r="CPV28" s="27"/>
      <c r="CPW28" s="27"/>
      <c r="CPX28" s="27"/>
      <c r="CPY28" s="27"/>
      <c r="CPZ28" s="27"/>
      <c r="CQA28" s="27"/>
      <c r="CQB28" s="27"/>
      <c r="CQC28" s="27"/>
      <c r="CQD28" s="27"/>
      <c r="CQE28" s="27"/>
      <c r="CQF28" s="27"/>
      <c r="CQG28" s="27"/>
      <c r="CQH28" s="27"/>
      <c r="CQI28" s="27"/>
      <c r="CQJ28" s="27"/>
      <c r="CQK28" s="27"/>
      <c r="CQL28" s="27"/>
      <c r="CQM28" s="27"/>
      <c r="CQN28" s="27"/>
      <c r="CQO28" s="27"/>
      <c r="CQP28" s="27"/>
      <c r="CQQ28" s="27"/>
      <c r="CQR28" s="27"/>
      <c r="CQS28" s="27"/>
      <c r="CQT28" s="27"/>
      <c r="CQU28" s="27"/>
      <c r="CQV28" s="27"/>
      <c r="CQW28" s="27"/>
      <c r="CQX28" s="27"/>
      <c r="CQY28" s="27"/>
      <c r="CQZ28" s="27"/>
      <c r="CRA28" s="27"/>
      <c r="CRB28" s="27"/>
      <c r="CRC28" s="27"/>
      <c r="CRD28" s="27"/>
      <c r="CRE28" s="27"/>
      <c r="CRF28" s="27"/>
      <c r="CRG28" s="27"/>
      <c r="CRH28" s="27"/>
      <c r="CRI28" s="27"/>
      <c r="CRJ28" s="27"/>
      <c r="CRK28" s="27"/>
      <c r="CRL28" s="27"/>
      <c r="CRM28" s="27"/>
      <c r="CRN28" s="27"/>
      <c r="CRO28" s="27"/>
      <c r="CRP28" s="27"/>
      <c r="CRQ28" s="27"/>
      <c r="CRR28" s="27"/>
      <c r="CRS28" s="27"/>
      <c r="CRT28" s="27"/>
      <c r="CRU28" s="27"/>
      <c r="CRV28" s="27"/>
      <c r="CRW28" s="27"/>
      <c r="CRX28" s="27"/>
      <c r="CRY28" s="27"/>
      <c r="CRZ28" s="27"/>
      <c r="CSA28" s="27"/>
      <c r="CSB28" s="27"/>
      <c r="CSC28" s="27"/>
      <c r="CSD28" s="27"/>
      <c r="CSE28" s="27"/>
      <c r="CSF28" s="27"/>
      <c r="CSG28" s="27"/>
      <c r="CSH28" s="27"/>
      <c r="CSI28" s="27"/>
      <c r="CSJ28" s="27"/>
      <c r="CSK28" s="27"/>
      <c r="CSL28" s="27"/>
      <c r="CSM28" s="27"/>
      <c r="CSN28" s="27"/>
      <c r="CSO28" s="27"/>
      <c r="CSP28" s="27"/>
      <c r="CSQ28" s="27"/>
      <c r="CSR28" s="27"/>
      <c r="CSS28" s="27"/>
      <c r="CST28" s="27"/>
      <c r="CSU28" s="27"/>
      <c r="CSV28" s="27"/>
      <c r="CSW28" s="27"/>
      <c r="CSX28" s="27"/>
      <c r="CSY28" s="27"/>
      <c r="CSZ28" s="27"/>
      <c r="CTA28" s="27"/>
      <c r="CTB28" s="27"/>
      <c r="CTC28" s="27"/>
      <c r="CTD28" s="27"/>
      <c r="CTE28" s="27"/>
      <c r="CTF28" s="27"/>
      <c r="CTG28" s="27"/>
      <c r="CTH28" s="27"/>
      <c r="CTI28" s="27"/>
      <c r="CTJ28" s="27"/>
      <c r="CTK28" s="27"/>
      <c r="CTL28" s="27"/>
      <c r="CTM28" s="27"/>
      <c r="CTN28" s="27"/>
      <c r="CTO28" s="27"/>
      <c r="CTP28" s="27"/>
      <c r="CTQ28" s="27"/>
      <c r="CTR28" s="27"/>
      <c r="CTS28" s="27"/>
      <c r="CTT28" s="27"/>
      <c r="CTU28" s="27"/>
      <c r="CTV28" s="27"/>
      <c r="CTW28" s="27"/>
      <c r="CTX28" s="27"/>
      <c r="CTY28" s="27"/>
      <c r="CTZ28" s="27"/>
      <c r="CUA28" s="27"/>
    </row>
    <row r="29" s="30" customFormat="1" spans="1:18">
      <c r="A29" s="268">
        <v>38</v>
      </c>
      <c r="B29" s="268" t="s">
        <v>13</v>
      </c>
      <c r="C29" s="268" t="s">
        <v>37</v>
      </c>
      <c r="D29" s="82" t="s">
        <v>330</v>
      </c>
      <c r="E29" s="29" t="s">
        <v>742</v>
      </c>
      <c r="F29" s="31" t="s">
        <v>749</v>
      </c>
      <c r="G29" s="31" t="s">
        <v>744</v>
      </c>
      <c r="H29" s="32">
        <v>11020054</v>
      </c>
      <c r="I29" s="32">
        <v>2012.01</v>
      </c>
      <c r="J29" s="119" t="s">
        <v>745</v>
      </c>
      <c r="K29" s="31" t="s">
        <v>42</v>
      </c>
      <c r="L29" s="31" t="s">
        <v>667</v>
      </c>
      <c r="M29" s="29" t="s">
        <v>674</v>
      </c>
      <c r="N29" s="94">
        <v>45574</v>
      </c>
      <c r="O29" s="94">
        <v>45938</v>
      </c>
      <c r="P29" s="29">
        <v>300</v>
      </c>
      <c r="Q29" s="85"/>
      <c r="R29" s="251"/>
    </row>
    <row r="30" s="30" customFormat="1" spans="1:18">
      <c r="A30" s="268">
        <v>39</v>
      </c>
      <c r="B30" s="268" t="s">
        <v>13</v>
      </c>
      <c r="C30" s="268" t="s">
        <v>37</v>
      </c>
      <c r="D30" s="82" t="s">
        <v>330</v>
      </c>
      <c r="E30" s="29" t="s">
        <v>742</v>
      </c>
      <c r="F30" s="31" t="s">
        <v>750</v>
      </c>
      <c r="G30" s="31" t="s">
        <v>744</v>
      </c>
      <c r="H30" s="32">
        <v>10120432</v>
      </c>
      <c r="I30" s="32">
        <v>2012.01</v>
      </c>
      <c r="J30" s="119" t="s">
        <v>745</v>
      </c>
      <c r="K30" s="31" t="s">
        <v>42</v>
      </c>
      <c r="L30" s="31" t="s">
        <v>667</v>
      </c>
      <c r="M30" s="29" t="s">
        <v>674</v>
      </c>
      <c r="N30" s="94">
        <v>45574</v>
      </c>
      <c r="O30" s="94">
        <v>45938</v>
      </c>
      <c r="P30" s="29">
        <v>300</v>
      </c>
      <c r="Q30" s="251"/>
      <c r="R30" s="251"/>
    </row>
    <row r="31" s="30" customFormat="1" spans="1:2575">
      <c r="A31" s="268">
        <v>40</v>
      </c>
      <c r="B31" s="268" t="s">
        <v>13</v>
      </c>
      <c r="C31" s="268" t="s">
        <v>37</v>
      </c>
      <c r="D31" s="82" t="s">
        <v>330</v>
      </c>
      <c r="E31" s="29" t="s">
        <v>742</v>
      </c>
      <c r="F31" s="31" t="s">
        <v>751</v>
      </c>
      <c r="G31" s="31" t="s">
        <v>752</v>
      </c>
      <c r="H31" s="119" t="s">
        <v>753</v>
      </c>
      <c r="I31" s="32">
        <v>2012.01</v>
      </c>
      <c r="J31" s="119" t="s">
        <v>754</v>
      </c>
      <c r="K31" s="31" t="s">
        <v>42</v>
      </c>
      <c r="L31" s="31" t="s">
        <v>667</v>
      </c>
      <c r="M31" s="29" t="s">
        <v>674</v>
      </c>
      <c r="N31" s="94">
        <v>45574</v>
      </c>
      <c r="O31" s="94">
        <v>45938</v>
      </c>
      <c r="P31" s="29">
        <v>300</v>
      </c>
      <c r="Q31" s="251"/>
      <c r="R31" s="251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265"/>
      <c r="BL31" s="265"/>
      <c r="BM31" s="265"/>
      <c r="BN31" s="265"/>
      <c r="BO31" s="265"/>
      <c r="BP31" s="265"/>
      <c r="BQ31" s="265"/>
      <c r="BR31" s="265"/>
      <c r="BS31" s="265"/>
      <c r="BT31" s="265"/>
      <c r="BU31" s="265"/>
      <c r="BV31" s="265"/>
      <c r="BW31" s="265"/>
      <c r="BX31" s="265"/>
      <c r="BY31" s="265"/>
      <c r="BZ31" s="265"/>
      <c r="CA31" s="265"/>
      <c r="CB31" s="265"/>
      <c r="CC31" s="265"/>
      <c r="CD31" s="265"/>
      <c r="CE31" s="265"/>
      <c r="CF31" s="265"/>
      <c r="CG31" s="265"/>
      <c r="CH31" s="265"/>
      <c r="CI31" s="265"/>
      <c r="CJ31" s="265"/>
      <c r="CK31" s="265"/>
      <c r="CL31" s="265"/>
      <c r="CM31" s="265"/>
      <c r="CN31" s="265"/>
      <c r="CO31" s="265"/>
      <c r="CP31" s="265"/>
      <c r="CQ31" s="265"/>
      <c r="CR31" s="265"/>
      <c r="CS31" s="265"/>
      <c r="CT31" s="265"/>
      <c r="CU31" s="265"/>
      <c r="CV31" s="265"/>
      <c r="CW31" s="265"/>
      <c r="CX31" s="265"/>
      <c r="CY31" s="265"/>
      <c r="CZ31" s="265"/>
      <c r="DA31" s="265"/>
      <c r="DB31" s="265"/>
      <c r="DC31" s="265"/>
      <c r="DD31" s="265"/>
      <c r="DE31" s="265"/>
      <c r="DF31" s="265"/>
      <c r="DG31" s="265"/>
      <c r="DH31" s="265"/>
      <c r="DI31" s="265"/>
      <c r="DJ31" s="265"/>
      <c r="DK31" s="265"/>
      <c r="DL31" s="265"/>
      <c r="DM31" s="265"/>
      <c r="DN31" s="265"/>
      <c r="DO31" s="265"/>
      <c r="DP31" s="265"/>
      <c r="DQ31" s="265"/>
      <c r="DR31" s="265"/>
      <c r="DS31" s="265"/>
      <c r="DT31" s="265"/>
      <c r="DU31" s="265"/>
      <c r="DV31" s="265"/>
      <c r="DW31" s="265"/>
      <c r="DX31" s="265"/>
      <c r="DY31" s="265"/>
      <c r="DZ31" s="265"/>
      <c r="EA31" s="265"/>
      <c r="EB31" s="265"/>
      <c r="EC31" s="265"/>
      <c r="ED31" s="265"/>
      <c r="EE31" s="265"/>
      <c r="EF31" s="265"/>
      <c r="EG31" s="265"/>
      <c r="EH31" s="265"/>
      <c r="EI31" s="265"/>
      <c r="EJ31" s="265"/>
      <c r="EK31" s="265"/>
      <c r="EL31" s="265"/>
      <c r="EM31" s="265"/>
      <c r="EN31" s="265"/>
      <c r="EO31" s="265"/>
      <c r="EP31" s="265"/>
      <c r="EQ31" s="265"/>
      <c r="ER31" s="265"/>
      <c r="ES31" s="265"/>
      <c r="ET31" s="265"/>
      <c r="EU31" s="265"/>
      <c r="EV31" s="265"/>
      <c r="EW31" s="265"/>
      <c r="EX31" s="265"/>
      <c r="EY31" s="265"/>
      <c r="EZ31" s="265"/>
      <c r="FA31" s="265"/>
      <c r="FB31" s="265"/>
      <c r="FC31" s="265"/>
      <c r="FD31" s="265"/>
      <c r="FE31" s="265"/>
      <c r="FF31" s="265"/>
      <c r="FG31" s="265"/>
      <c r="FH31" s="265"/>
      <c r="FI31" s="265"/>
      <c r="FJ31" s="265"/>
      <c r="FK31" s="265"/>
      <c r="FL31" s="265"/>
      <c r="FM31" s="265"/>
      <c r="FN31" s="265"/>
      <c r="FO31" s="265"/>
      <c r="FP31" s="265"/>
      <c r="FQ31" s="265"/>
      <c r="FR31" s="265"/>
      <c r="FS31" s="265"/>
      <c r="FT31" s="265"/>
      <c r="FU31" s="265"/>
      <c r="FV31" s="265"/>
      <c r="FW31" s="265"/>
      <c r="FX31" s="265"/>
      <c r="FY31" s="265"/>
      <c r="FZ31" s="265"/>
      <c r="GA31" s="265"/>
      <c r="GB31" s="265"/>
      <c r="GC31" s="265"/>
      <c r="GD31" s="265"/>
      <c r="GE31" s="265"/>
      <c r="GF31" s="265"/>
      <c r="GG31" s="265"/>
      <c r="GH31" s="265"/>
      <c r="GI31" s="265"/>
      <c r="GJ31" s="265"/>
      <c r="GK31" s="265"/>
      <c r="GL31" s="265"/>
      <c r="GM31" s="265"/>
      <c r="GN31" s="265"/>
      <c r="GO31" s="265"/>
      <c r="GP31" s="265"/>
      <c r="GQ31" s="265"/>
      <c r="GR31" s="265"/>
      <c r="GS31" s="265"/>
      <c r="GT31" s="265"/>
      <c r="GU31" s="265"/>
      <c r="GV31" s="265"/>
      <c r="GW31" s="265"/>
      <c r="GX31" s="265"/>
      <c r="GY31" s="265"/>
      <c r="GZ31" s="265"/>
      <c r="HA31" s="265"/>
      <c r="HB31" s="265"/>
      <c r="HC31" s="265"/>
      <c r="HD31" s="265"/>
      <c r="HE31" s="265"/>
      <c r="HF31" s="265"/>
      <c r="HG31" s="265"/>
      <c r="HH31" s="265"/>
      <c r="HI31" s="265"/>
      <c r="HJ31" s="265"/>
      <c r="HK31" s="265"/>
      <c r="HL31" s="265"/>
      <c r="HM31" s="265"/>
      <c r="HN31" s="265"/>
      <c r="HO31" s="265"/>
      <c r="HP31" s="265"/>
      <c r="HQ31" s="265"/>
      <c r="HR31" s="265"/>
      <c r="HS31" s="265"/>
      <c r="HT31" s="265"/>
      <c r="HU31" s="265"/>
      <c r="HV31" s="265"/>
      <c r="HW31" s="265"/>
      <c r="HX31" s="265"/>
      <c r="HY31" s="265"/>
      <c r="HZ31" s="265"/>
      <c r="IA31" s="265"/>
      <c r="IB31" s="265"/>
      <c r="IC31" s="265"/>
      <c r="ID31" s="265"/>
      <c r="IE31" s="265"/>
      <c r="IF31" s="265"/>
      <c r="IG31" s="265"/>
      <c r="IH31" s="265"/>
      <c r="II31" s="265"/>
      <c r="IJ31" s="265"/>
      <c r="IK31" s="265"/>
      <c r="IL31" s="265"/>
      <c r="IM31" s="265"/>
      <c r="IN31" s="265"/>
      <c r="IO31" s="265"/>
      <c r="IP31" s="265"/>
      <c r="IQ31" s="265"/>
      <c r="IR31" s="265"/>
      <c r="IS31" s="265"/>
      <c r="IT31" s="265"/>
      <c r="IU31" s="265"/>
      <c r="IV31" s="265"/>
      <c r="IW31" s="265"/>
      <c r="IX31" s="265"/>
      <c r="IY31" s="265"/>
      <c r="IZ31" s="265"/>
      <c r="JA31" s="265"/>
      <c r="JB31" s="265"/>
      <c r="JC31" s="265"/>
      <c r="JD31" s="265"/>
      <c r="JE31" s="265"/>
      <c r="JF31" s="265"/>
      <c r="JG31" s="265"/>
      <c r="JH31" s="265"/>
      <c r="JI31" s="265"/>
      <c r="JJ31" s="265"/>
      <c r="JK31" s="265"/>
      <c r="JL31" s="265"/>
      <c r="JM31" s="265"/>
      <c r="JN31" s="265"/>
      <c r="JO31" s="265"/>
      <c r="JP31" s="265"/>
      <c r="JQ31" s="265"/>
      <c r="JR31" s="265"/>
      <c r="JS31" s="265"/>
      <c r="JT31" s="265"/>
      <c r="JU31" s="265"/>
      <c r="JV31" s="265"/>
      <c r="JW31" s="265"/>
      <c r="JX31" s="265"/>
      <c r="JY31" s="265"/>
      <c r="JZ31" s="265"/>
      <c r="KA31" s="265"/>
      <c r="KB31" s="265"/>
      <c r="KC31" s="265"/>
      <c r="KD31" s="265"/>
      <c r="KE31" s="265"/>
      <c r="KF31" s="265"/>
      <c r="KG31" s="265"/>
      <c r="KH31" s="265"/>
      <c r="KI31" s="265"/>
      <c r="KJ31" s="265"/>
      <c r="KK31" s="265"/>
      <c r="KL31" s="265"/>
      <c r="KM31" s="265"/>
      <c r="KN31" s="265"/>
      <c r="KO31" s="265"/>
      <c r="KP31" s="265"/>
      <c r="KQ31" s="265"/>
      <c r="KR31" s="265"/>
      <c r="KS31" s="265"/>
      <c r="KT31" s="265"/>
      <c r="KU31" s="265"/>
      <c r="KV31" s="265"/>
      <c r="KW31" s="265"/>
      <c r="KX31" s="265"/>
      <c r="KY31" s="265"/>
      <c r="KZ31" s="265"/>
      <c r="LA31" s="265"/>
      <c r="LB31" s="265"/>
      <c r="LC31" s="265"/>
      <c r="LD31" s="265"/>
      <c r="LE31" s="265"/>
      <c r="LF31" s="265"/>
      <c r="LG31" s="265"/>
      <c r="LH31" s="265"/>
      <c r="LI31" s="265"/>
      <c r="LJ31" s="265"/>
      <c r="LK31" s="265"/>
      <c r="LL31" s="265"/>
      <c r="LM31" s="265"/>
      <c r="LN31" s="265"/>
      <c r="LO31" s="265"/>
      <c r="LP31" s="265"/>
      <c r="LQ31" s="265"/>
      <c r="LR31" s="265"/>
      <c r="LS31" s="265"/>
      <c r="LT31" s="265"/>
      <c r="LU31" s="265"/>
      <c r="LV31" s="265"/>
      <c r="LW31" s="265"/>
      <c r="LX31" s="265"/>
      <c r="LY31" s="265"/>
      <c r="LZ31" s="265"/>
      <c r="MA31" s="265"/>
      <c r="MB31" s="265"/>
      <c r="MC31" s="265"/>
      <c r="MD31" s="265"/>
      <c r="ME31" s="265"/>
      <c r="MF31" s="265"/>
      <c r="MG31" s="265"/>
      <c r="MH31" s="265"/>
      <c r="MI31" s="265"/>
      <c r="MJ31" s="265"/>
      <c r="MK31" s="265"/>
      <c r="ML31" s="265"/>
      <c r="MM31" s="265"/>
      <c r="MN31" s="265"/>
      <c r="MO31" s="265"/>
      <c r="MP31" s="265"/>
      <c r="MQ31" s="265"/>
      <c r="MR31" s="265"/>
      <c r="MS31" s="265"/>
      <c r="MT31" s="265"/>
      <c r="MU31" s="265"/>
      <c r="MV31" s="265"/>
      <c r="MW31" s="265"/>
      <c r="MX31" s="265"/>
      <c r="MY31" s="265"/>
      <c r="MZ31" s="265"/>
      <c r="NA31" s="265"/>
      <c r="NB31" s="265"/>
      <c r="NC31" s="265"/>
      <c r="ND31" s="265"/>
      <c r="NE31" s="265"/>
      <c r="NF31" s="265"/>
      <c r="NG31" s="265"/>
      <c r="NH31" s="265"/>
      <c r="NI31" s="265"/>
      <c r="NJ31" s="265"/>
      <c r="NK31" s="265"/>
      <c r="NL31" s="265"/>
      <c r="NM31" s="265"/>
      <c r="NN31" s="265"/>
      <c r="NO31" s="265"/>
      <c r="NP31" s="265"/>
      <c r="NQ31" s="265"/>
      <c r="NR31" s="265"/>
      <c r="NS31" s="265"/>
      <c r="NT31" s="265"/>
      <c r="NU31" s="265"/>
      <c r="NV31" s="265"/>
      <c r="NW31" s="265"/>
      <c r="NX31" s="265"/>
      <c r="NY31" s="265"/>
      <c r="NZ31" s="265"/>
      <c r="OA31" s="265"/>
      <c r="OB31" s="265"/>
      <c r="OC31" s="265"/>
      <c r="OD31" s="265"/>
      <c r="OE31" s="265"/>
      <c r="OF31" s="265"/>
      <c r="OG31" s="265"/>
      <c r="OH31" s="265"/>
      <c r="OI31" s="265"/>
      <c r="OJ31" s="265"/>
      <c r="OK31" s="265"/>
      <c r="OL31" s="265"/>
      <c r="OM31" s="265"/>
      <c r="ON31" s="265"/>
      <c r="OO31" s="265"/>
      <c r="OP31" s="265"/>
      <c r="OQ31" s="265"/>
      <c r="OR31" s="265"/>
      <c r="OS31" s="265"/>
      <c r="OT31" s="265"/>
      <c r="OU31" s="265"/>
      <c r="OV31" s="265"/>
      <c r="OW31" s="265"/>
      <c r="OX31" s="265"/>
      <c r="OY31" s="265"/>
      <c r="OZ31" s="265"/>
      <c r="PA31" s="265"/>
      <c r="PB31" s="265"/>
      <c r="PC31" s="265"/>
      <c r="PD31" s="265"/>
      <c r="PE31" s="265"/>
      <c r="PF31" s="265"/>
      <c r="PG31" s="265"/>
      <c r="PH31" s="265"/>
      <c r="PI31" s="265"/>
      <c r="PJ31" s="265"/>
      <c r="PK31" s="265"/>
      <c r="PL31" s="265"/>
      <c r="PM31" s="265"/>
      <c r="PN31" s="265"/>
      <c r="PO31" s="265"/>
      <c r="PP31" s="265"/>
      <c r="PQ31" s="265"/>
      <c r="PR31" s="265"/>
      <c r="PS31" s="265"/>
      <c r="PT31" s="265"/>
      <c r="PU31" s="265"/>
      <c r="PV31" s="265"/>
      <c r="PW31" s="265"/>
      <c r="PX31" s="265"/>
      <c r="PY31" s="265"/>
      <c r="PZ31" s="265"/>
      <c r="QA31" s="265"/>
      <c r="QB31" s="265"/>
      <c r="QC31" s="265"/>
      <c r="QD31" s="265"/>
      <c r="QE31" s="265"/>
      <c r="QF31" s="265"/>
      <c r="QG31" s="265"/>
      <c r="QH31" s="265"/>
      <c r="QI31" s="265"/>
      <c r="QJ31" s="265"/>
      <c r="QK31" s="265"/>
      <c r="QL31" s="265"/>
      <c r="QM31" s="265"/>
      <c r="QN31" s="265"/>
      <c r="QO31" s="265"/>
      <c r="QP31" s="265"/>
      <c r="QQ31" s="265"/>
      <c r="QR31" s="265"/>
      <c r="QS31" s="265"/>
      <c r="QT31" s="265"/>
      <c r="QU31" s="265"/>
      <c r="QV31" s="265"/>
      <c r="QW31" s="265"/>
      <c r="QX31" s="265"/>
      <c r="QY31" s="265"/>
      <c r="QZ31" s="265"/>
      <c r="RA31" s="265"/>
      <c r="RB31" s="265"/>
      <c r="RC31" s="265"/>
      <c r="RD31" s="265"/>
      <c r="RE31" s="265"/>
      <c r="RF31" s="265"/>
      <c r="RG31" s="265"/>
      <c r="RH31" s="265"/>
      <c r="RI31" s="265"/>
      <c r="RJ31" s="265"/>
      <c r="RK31" s="265"/>
      <c r="RL31" s="265"/>
      <c r="RM31" s="265"/>
      <c r="RN31" s="265"/>
      <c r="RO31" s="265"/>
      <c r="RP31" s="265"/>
      <c r="RQ31" s="265"/>
      <c r="RR31" s="265"/>
      <c r="RS31" s="265"/>
      <c r="RT31" s="265"/>
      <c r="RU31" s="265"/>
      <c r="RV31" s="265"/>
      <c r="RW31" s="265"/>
      <c r="RX31" s="265"/>
      <c r="RY31" s="265"/>
      <c r="RZ31" s="265"/>
      <c r="SA31" s="265"/>
      <c r="SB31" s="265"/>
      <c r="SC31" s="265"/>
      <c r="SD31" s="265"/>
      <c r="SE31" s="265"/>
      <c r="SF31" s="265"/>
      <c r="SG31" s="265"/>
      <c r="SH31" s="265"/>
      <c r="SI31" s="265"/>
      <c r="SJ31" s="265"/>
      <c r="SK31" s="265"/>
      <c r="SL31" s="265"/>
      <c r="SM31" s="265"/>
      <c r="SN31" s="265"/>
      <c r="SO31" s="265"/>
      <c r="SP31" s="265"/>
      <c r="SQ31" s="265"/>
      <c r="SR31" s="265"/>
      <c r="SS31" s="265"/>
      <c r="ST31" s="265"/>
      <c r="SU31" s="265"/>
      <c r="SV31" s="265"/>
      <c r="SW31" s="265"/>
      <c r="SX31" s="265"/>
      <c r="SY31" s="265"/>
      <c r="SZ31" s="265"/>
      <c r="TA31" s="265"/>
      <c r="TB31" s="265"/>
      <c r="TC31" s="265"/>
      <c r="TD31" s="265"/>
      <c r="TE31" s="265"/>
      <c r="TF31" s="265"/>
      <c r="TG31" s="265"/>
      <c r="TH31" s="265"/>
      <c r="TI31" s="265"/>
      <c r="TJ31" s="265"/>
      <c r="TK31" s="265"/>
      <c r="TL31" s="265"/>
      <c r="TM31" s="265"/>
      <c r="TN31" s="265"/>
      <c r="TO31" s="265"/>
      <c r="TP31" s="265"/>
      <c r="TQ31" s="265"/>
      <c r="TR31" s="265"/>
      <c r="TS31" s="265"/>
      <c r="TT31" s="265"/>
      <c r="TU31" s="265"/>
      <c r="TV31" s="265"/>
      <c r="TW31" s="265"/>
      <c r="TX31" s="265"/>
      <c r="TY31" s="265"/>
      <c r="TZ31" s="265"/>
      <c r="UA31" s="265"/>
      <c r="UB31" s="265"/>
      <c r="UC31" s="265"/>
      <c r="UD31" s="265"/>
      <c r="UE31" s="265"/>
      <c r="UF31" s="265"/>
      <c r="UG31" s="265"/>
      <c r="UH31" s="265"/>
      <c r="UI31" s="265"/>
      <c r="UJ31" s="265"/>
      <c r="UK31" s="265"/>
      <c r="UL31" s="265"/>
      <c r="UM31" s="265"/>
      <c r="UN31" s="265"/>
      <c r="UO31" s="265"/>
      <c r="UP31" s="265"/>
      <c r="UQ31" s="265"/>
      <c r="UR31" s="265"/>
      <c r="US31" s="265"/>
      <c r="UT31" s="265"/>
      <c r="UU31" s="265"/>
      <c r="UV31" s="265"/>
      <c r="UW31" s="265"/>
      <c r="UX31" s="265"/>
      <c r="UY31" s="265"/>
      <c r="UZ31" s="265"/>
      <c r="VA31" s="265"/>
      <c r="VB31" s="265"/>
      <c r="VC31" s="265"/>
      <c r="VD31" s="265"/>
      <c r="VE31" s="265"/>
      <c r="VF31" s="265"/>
      <c r="VG31" s="265"/>
      <c r="VH31" s="265"/>
      <c r="VI31" s="265"/>
      <c r="VJ31" s="265"/>
      <c r="VK31" s="265"/>
      <c r="VL31" s="265"/>
      <c r="VM31" s="265"/>
      <c r="VN31" s="265"/>
      <c r="VO31" s="265"/>
      <c r="VP31" s="265"/>
      <c r="VQ31" s="265"/>
      <c r="VR31" s="265"/>
      <c r="VS31" s="265"/>
      <c r="VT31" s="265"/>
      <c r="VU31" s="265"/>
      <c r="VV31" s="265"/>
      <c r="VW31" s="265"/>
      <c r="VX31" s="265"/>
      <c r="VY31" s="265"/>
      <c r="VZ31" s="265"/>
      <c r="WA31" s="265"/>
      <c r="WB31" s="265"/>
      <c r="WC31" s="265"/>
      <c r="WD31" s="265"/>
      <c r="WE31" s="265"/>
      <c r="WF31" s="265"/>
      <c r="WG31" s="265"/>
      <c r="WH31" s="265"/>
      <c r="WI31" s="265"/>
      <c r="WJ31" s="265"/>
      <c r="WK31" s="265"/>
      <c r="WL31" s="265"/>
      <c r="WM31" s="265"/>
      <c r="WN31" s="265"/>
      <c r="WO31" s="265"/>
      <c r="WP31" s="265"/>
      <c r="WQ31" s="265"/>
      <c r="WR31" s="265"/>
      <c r="WS31" s="265"/>
      <c r="WT31" s="265"/>
      <c r="WU31" s="265"/>
      <c r="WV31" s="265"/>
      <c r="WW31" s="265"/>
      <c r="WX31" s="265"/>
      <c r="WY31" s="265"/>
      <c r="WZ31" s="265"/>
      <c r="XA31" s="265"/>
      <c r="XB31" s="265"/>
      <c r="XC31" s="265"/>
      <c r="XD31" s="265"/>
      <c r="XE31" s="265"/>
      <c r="XF31" s="265"/>
      <c r="XG31" s="265"/>
      <c r="XH31" s="265"/>
      <c r="XI31" s="265"/>
      <c r="XJ31" s="265"/>
      <c r="XK31" s="265"/>
      <c r="XL31" s="265"/>
      <c r="XM31" s="265"/>
      <c r="XN31" s="265"/>
      <c r="XO31" s="265"/>
      <c r="XP31" s="265"/>
      <c r="XQ31" s="265"/>
      <c r="XR31" s="265"/>
      <c r="XS31" s="265"/>
      <c r="XT31" s="265"/>
      <c r="XU31" s="265"/>
      <c r="XV31" s="265"/>
      <c r="XW31" s="265"/>
      <c r="XX31" s="265"/>
      <c r="XY31" s="265"/>
      <c r="XZ31" s="265"/>
      <c r="YA31" s="265"/>
      <c r="YB31" s="265"/>
      <c r="YC31" s="265"/>
      <c r="YD31" s="265"/>
      <c r="YE31" s="265"/>
      <c r="YF31" s="265"/>
      <c r="YG31" s="265"/>
      <c r="YH31" s="265"/>
      <c r="YI31" s="265"/>
      <c r="YJ31" s="265"/>
      <c r="YK31" s="265"/>
      <c r="YL31" s="265"/>
      <c r="YM31" s="265"/>
      <c r="YN31" s="265"/>
      <c r="YO31" s="265"/>
      <c r="YP31" s="265"/>
      <c r="YQ31" s="265"/>
      <c r="YR31" s="265"/>
      <c r="YS31" s="265"/>
      <c r="YT31" s="265"/>
      <c r="YU31" s="265"/>
      <c r="YV31" s="265"/>
      <c r="YW31" s="265"/>
      <c r="YX31" s="265"/>
      <c r="YY31" s="265"/>
      <c r="YZ31" s="265"/>
      <c r="ZA31" s="265"/>
      <c r="ZB31" s="265"/>
      <c r="ZC31" s="265"/>
      <c r="ZD31" s="265"/>
      <c r="ZE31" s="265"/>
      <c r="ZF31" s="265"/>
      <c r="ZG31" s="265"/>
      <c r="ZH31" s="265"/>
      <c r="ZI31" s="265"/>
      <c r="ZJ31" s="265"/>
      <c r="ZK31" s="265"/>
      <c r="ZL31" s="265"/>
      <c r="ZM31" s="265"/>
      <c r="ZN31" s="265"/>
      <c r="ZO31" s="265"/>
      <c r="ZP31" s="265"/>
      <c r="ZQ31" s="265"/>
      <c r="ZR31" s="265"/>
      <c r="ZS31" s="265"/>
      <c r="ZT31" s="265"/>
      <c r="ZU31" s="265"/>
      <c r="ZV31" s="265"/>
      <c r="ZW31" s="265"/>
      <c r="ZX31" s="265"/>
      <c r="ZY31" s="265"/>
      <c r="ZZ31" s="265"/>
      <c r="AAA31" s="265"/>
      <c r="AAB31" s="265"/>
      <c r="AAC31" s="265"/>
      <c r="AAD31" s="265"/>
      <c r="AAE31" s="265"/>
      <c r="AAF31" s="265"/>
      <c r="AAG31" s="265"/>
      <c r="AAH31" s="265"/>
      <c r="AAI31" s="265"/>
      <c r="AAJ31" s="265"/>
      <c r="AAK31" s="265"/>
      <c r="AAL31" s="265"/>
      <c r="AAM31" s="265"/>
      <c r="AAN31" s="265"/>
      <c r="AAO31" s="265"/>
      <c r="AAP31" s="265"/>
      <c r="AAQ31" s="265"/>
      <c r="AAR31" s="265"/>
      <c r="AAS31" s="265"/>
      <c r="AAT31" s="265"/>
      <c r="AAU31" s="265"/>
      <c r="AAV31" s="265"/>
      <c r="AAW31" s="265"/>
      <c r="AAX31" s="265"/>
      <c r="AAY31" s="265"/>
      <c r="AAZ31" s="265"/>
      <c r="ABA31" s="265"/>
      <c r="ABB31" s="265"/>
      <c r="ABC31" s="265"/>
      <c r="ABD31" s="265"/>
      <c r="ABE31" s="265"/>
      <c r="ABF31" s="265"/>
      <c r="ABG31" s="265"/>
      <c r="ABH31" s="265"/>
      <c r="ABI31" s="265"/>
      <c r="ABJ31" s="265"/>
      <c r="ABK31" s="265"/>
      <c r="ABL31" s="265"/>
      <c r="ABM31" s="265"/>
      <c r="ABN31" s="265"/>
      <c r="ABO31" s="265"/>
      <c r="ABP31" s="265"/>
      <c r="ABQ31" s="265"/>
      <c r="ABR31" s="265"/>
      <c r="ABS31" s="265"/>
      <c r="ABT31" s="265"/>
      <c r="ABU31" s="265"/>
      <c r="ABV31" s="265"/>
      <c r="ABW31" s="265"/>
      <c r="ABX31" s="265"/>
      <c r="ABY31" s="265"/>
      <c r="ABZ31" s="265"/>
      <c r="ACA31" s="265"/>
      <c r="ACB31" s="265"/>
      <c r="ACC31" s="265"/>
      <c r="ACD31" s="265"/>
      <c r="ACE31" s="265"/>
      <c r="ACF31" s="265"/>
      <c r="ACG31" s="265"/>
      <c r="ACH31" s="265"/>
      <c r="ACI31" s="265"/>
      <c r="ACJ31" s="265"/>
      <c r="ACK31" s="265"/>
      <c r="ACL31" s="265"/>
      <c r="ACM31" s="265"/>
      <c r="ACN31" s="265"/>
      <c r="ACO31" s="265"/>
      <c r="ACP31" s="265"/>
      <c r="ACQ31" s="265"/>
      <c r="ACR31" s="265"/>
      <c r="ACS31" s="265"/>
      <c r="ACT31" s="265"/>
      <c r="ACU31" s="265"/>
      <c r="ACV31" s="265"/>
      <c r="ACW31" s="265"/>
      <c r="ACX31" s="265"/>
      <c r="ACY31" s="265"/>
      <c r="ACZ31" s="265"/>
      <c r="ADA31" s="265"/>
      <c r="ADB31" s="265"/>
      <c r="ADC31" s="265"/>
      <c r="ADD31" s="265"/>
      <c r="ADE31" s="265"/>
      <c r="ADF31" s="265"/>
      <c r="ADG31" s="265"/>
      <c r="ADH31" s="265"/>
      <c r="ADI31" s="265"/>
      <c r="ADJ31" s="265"/>
      <c r="ADK31" s="265"/>
      <c r="ADL31" s="265"/>
      <c r="ADM31" s="265"/>
      <c r="ADN31" s="265"/>
      <c r="ADO31" s="265"/>
      <c r="ADP31" s="265"/>
      <c r="ADQ31" s="265"/>
      <c r="ADR31" s="265"/>
      <c r="ADS31" s="265"/>
      <c r="ADT31" s="265"/>
      <c r="ADU31" s="265"/>
      <c r="ADV31" s="265"/>
      <c r="ADW31" s="265"/>
      <c r="ADX31" s="265"/>
      <c r="ADY31" s="265"/>
      <c r="ADZ31" s="265"/>
      <c r="AEA31" s="265"/>
      <c r="AEB31" s="265"/>
      <c r="AEC31" s="265"/>
      <c r="AED31" s="265"/>
      <c r="AEE31" s="265"/>
      <c r="AEF31" s="265"/>
      <c r="AEG31" s="265"/>
      <c r="AEH31" s="265"/>
      <c r="AEI31" s="265"/>
      <c r="AEJ31" s="265"/>
      <c r="AEK31" s="265"/>
      <c r="AEL31" s="265"/>
      <c r="AEM31" s="265"/>
      <c r="AEN31" s="265"/>
      <c r="AEO31" s="265"/>
      <c r="AEP31" s="265"/>
      <c r="AEQ31" s="265"/>
      <c r="AER31" s="265"/>
      <c r="AES31" s="265"/>
      <c r="AET31" s="265"/>
      <c r="AEU31" s="265"/>
      <c r="AEV31" s="265"/>
      <c r="AEW31" s="265"/>
      <c r="AEX31" s="265"/>
      <c r="AEY31" s="265"/>
      <c r="AEZ31" s="265"/>
      <c r="AFA31" s="265"/>
      <c r="AFB31" s="265"/>
      <c r="AFC31" s="265"/>
      <c r="AFD31" s="265"/>
      <c r="AFE31" s="265"/>
      <c r="AFF31" s="265"/>
      <c r="AFG31" s="265"/>
      <c r="AFH31" s="265"/>
      <c r="AFI31" s="265"/>
      <c r="AFJ31" s="265"/>
      <c r="AFK31" s="265"/>
      <c r="AFL31" s="265"/>
      <c r="AFM31" s="265"/>
      <c r="AFN31" s="265"/>
      <c r="AFO31" s="265"/>
      <c r="AFP31" s="265"/>
      <c r="AFQ31" s="265"/>
      <c r="AFR31" s="265"/>
      <c r="AFS31" s="265"/>
      <c r="AFT31" s="265"/>
      <c r="AFU31" s="265"/>
      <c r="AFV31" s="265"/>
      <c r="AFW31" s="265"/>
      <c r="AFX31" s="265"/>
      <c r="AFY31" s="265"/>
      <c r="AFZ31" s="265"/>
      <c r="AGA31" s="265"/>
      <c r="AGB31" s="265"/>
      <c r="AGC31" s="265"/>
      <c r="AGD31" s="265"/>
      <c r="AGE31" s="265"/>
      <c r="AGF31" s="265"/>
      <c r="AGG31" s="265"/>
      <c r="AGH31" s="265"/>
      <c r="AGI31" s="265"/>
      <c r="AGJ31" s="265"/>
      <c r="AGK31" s="265"/>
      <c r="AGL31" s="265"/>
      <c r="AGM31" s="265"/>
      <c r="AGN31" s="265"/>
      <c r="AGO31" s="265"/>
      <c r="AGP31" s="265"/>
      <c r="AGQ31" s="265"/>
      <c r="AGR31" s="265"/>
      <c r="AGS31" s="265"/>
      <c r="AGT31" s="265"/>
      <c r="AGU31" s="265"/>
      <c r="AGV31" s="265"/>
      <c r="AGW31" s="265"/>
      <c r="AGX31" s="265"/>
      <c r="AGY31" s="265"/>
      <c r="AGZ31" s="265"/>
      <c r="AHA31" s="265"/>
      <c r="AHB31" s="265"/>
      <c r="AHC31" s="265"/>
      <c r="AHD31" s="265"/>
      <c r="AHE31" s="265"/>
      <c r="AHF31" s="265"/>
      <c r="AHG31" s="265"/>
      <c r="AHH31" s="265"/>
      <c r="AHI31" s="265"/>
      <c r="AHJ31" s="265"/>
      <c r="AHK31" s="265"/>
      <c r="AHL31" s="265"/>
      <c r="AHM31" s="265"/>
      <c r="AHN31" s="265"/>
      <c r="AHO31" s="265"/>
      <c r="AHP31" s="265"/>
      <c r="AHQ31" s="265"/>
      <c r="AHR31" s="265"/>
      <c r="AHS31" s="265"/>
      <c r="AHT31" s="265"/>
      <c r="AHU31" s="265"/>
      <c r="AHV31" s="265"/>
      <c r="AHW31" s="265"/>
      <c r="AHX31" s="265"/>
      <c r="AHY31" s="265"/>
      <c r="AHZ31" s="265"/>
      <c r="AIA31" s="265"/>
      <c r="AIB31" s="265"/>
      <c r="AIC31" s="265"/>
      <c r="AID31" s="265"/>
      <c r="AIE31" s="265"/>
      <c r="AIF31" s="265"/>
      <c r="AIG31" s="265"/>
      <c r="AIH31" s="265"/>
      <c r="AII31" s="265"/>
      <c r="AIJ31" s="265"/>
      <c r="AIK31" s="265"/>
      <c r="AIL31" s="265"/>
      <c r="AIM31" s="265"/>
      <c r="AIN31" s="265"/>
      <c r="AIO31" s="265"/>
      <c r="AIP31" s="265"/>
      <c r="AIQ31" s="265"/>
      <c r="AIR31" s="265"/>
      <c r="AIS31" s="265"/>
      <c r="AIT31" s="265"/>
      <c r="AIU31" s="265"/>
      <c r="AIV31" s="265"/>
      <c r="AIW31" s="265"/>
      <c r="AIX31" s="265"/>
      <c r="AIY31" s="265"/>
      <c r="AIZ31" s="265"/>
      <c r="AJA31" s="265"/>
      <c r="AJB31" s="265"/>
      <c r="AJC31" s="265"/>
      <c r="AJD31" s="265"/>
      <c r="AJE31" s="265"/>
      <c r="AJF31" s="265"/>
      <c r="AJG31" s="265"/>
      <c r="AJH31" s="265"/>
      <c r="AJI31" s="265"/>
      <c r="AJJ31" s="265"/>
      <c r="AJK31" s="265"/>
      <c r="AJL31" s="265"/>
      <c r="AJM31" s="265"/>
      <c r="AJN31" s="265"/>
      <c r="AJO31" s="265"/>
      <c r="AJP31" s="265"/>
      <c r="AJQ31" s="265"/>
      <c r="AJR31" s="265"/>
      <c r="AJS31" s="265"/>
      <c r="AJT31" s="265"/>
      <c r="AJU31" s="265"/>
      <c r="AJV31" s="265"/>
      <c r="AJW31" s="265"/>
      <c r="AJX31" s="265"/>
      <c r="AJY31" s="265"/>
      <c r="AJZ31" s="265"/>
      <c r="AKA31" s="265"/>
      <c r="AKB31" s="265"/>
      <c r="AKC31" s="265"/>
      <c r="AKD31" s="265"/>
      <c r="AKE31" s="265"/>
      <c r="AKF31" s="265"/>
      <c r="AKG31" s="265"/>
      <c r="AKH31" s="265"/>
      <c r="AKI31" s="265"/>
      <c r="AKJ31" s="265"/>
      <c r="AKK31" s="265"/>
      <c r="AKL31" s="265"/>
      <c r="AKM31" s="265"/>
      <c r="AKN31" s="265"/>
      <c r="AKO31" s="265"/>
      <c r="AKP31" s="265"/>
      <c r="AKQ31" s="265"/>
      <c r="AKR31" s="265"/>
      <c r="AKS31" s="265"/>
      <c r="AKT31" s="265"/>
      <c r="AKU31" s="265"/>
      <c r="AKV31" s="265"/>
      <c r="AKW31" s="265"/>
      <c r="AKX31" s="265"/>
      <c r="AKY31" s="265"/>
      <c r="AKZ31" s="265"/>
      <c r="ALA31" s="265"/>
      <c r="ALB31" s="265"/>
      <c r="ALC31" s="265"/>
      <c r="ALD31" s="265"/>
      <c r="ALE31" s="265"/>
      <c r="ALF31" s="265"/>
      <c r="ALG31" s="265"/>
      <c r="ALH31" s="265"/>
      <c r="ALI31" s="265"/>
      <c r="ALJ31" s="265"/>
      <c r="ALK31" s="265"/>
      <c r="ALL31" s="265"/>
      <c r="ALM31" s="265"/>
      <c r="ALN31" s="265"/>
      <c r="ALO31" s="265"/>
      <c r="ALP31" s="265"/>
      <c r="ALQ31" s="265"/>
      <c r="ALR31" s="265"/>
      <c r="ALS31" s="265"/>
      <c r="ALT31" s="265"/>
      <c r="ALU31" s="265"/>
      <c r="ALV31" s="265"/>
      <c r="ALW31" s="265"/>
      <c r="ALX31" s="265"/>
      <c r="ALY31" s="265"/>
      <c r="ALZ31" s="265"/>
      <c r="AMA31" s="265"/>
      <c r="AMB31" s="265"/>
      <c r="AMC31" s="265"/>
      <c r="AMD31" s="265"/>
      <c r="AME31" s="265"/>
      <c r="AMF31" s="265"/>
      <c r="AMG31" s="265"/>
      <c r="AMH31" s="265"/>
      <c r="AMI31" s="265"/>
      <c r="AMJ31" s="265"/>
      <c r="AMK31" s="265"/>
      <c r="AML31" s="265"/>
      <c r="AMM31" s="265"/>
      <c r="AMN31" s="265"/>
      <c r="AMO31" s="265"/>
      <c r="AMP31" s="265"/>
      <c r="AMQ31" s="265"/>
      <c r="AMR31" s="265"/>
      <c r="AMS31" s="265"/>
      <c r="AMT31" s="265"/>
      <c r="AMU31" s="265"/>
      <c r="AMV31" s="265"/>
      <c r="AMW31" s="265"/>
      <c r="AMX31" s="265"/>
      <c r="AMY31" s="265"/>
      <c r="AMZ31" s="265"/>
      <c r="ANA31" s="265"/>
      <c r="ANB31" s="265"/>
      <c r="ANC31" s="265"/>
      <c r="AND31" s="265"/>
      <c r="ANE31" s="265"/>
      <c r="ANF31" s="265"/>
      <c r="ANG31" s="265"/>
      <c r="ANH31" s="265"/>
      <c r="ANI31" s="265"/>
      <c r="ANJ31" s="265"/>
      <c r="ANK31" s="265"/>
      <c r="ANL31" s="265"/>
      <c r="ANM31" s="265"/>
      <c r="ANN31" s="265"/>
      <c r="ANO31" s="265"/>
      <c r="ANP31" s="265"/>
      <c r="ANQ31" s="265"/>
      <c r="ANR31" s="265"/>
      <c r="ANS31" s="265"/>
      <c r="ANT31" s="265"/>
      <c r="ANU31" s="265"/>
      <c r="ANV31" s="265"/>
      <c r="ANW31" s="265"/>
      <c r="ANX31" s="265"/>
      <c r="ANY31" s="265"/>
      <c r="ANZ31" s="265"/>
      <c r="AOA31" s="265"/>
      <c r="AOB31" s="265"/>
      <c r="AOC31" s="265"/>
      <c r="AOD31" s="265"/>
      <c r="AOE31" s="265"/>
      <c r="AOF31" s="265"/>
      <c r="AOG31" s="265"/>
      <c r="AOH31" s="265"/>
      <c r="AOI31" s="265"/>
      <c r="AOJ31" s="265"/>
      <c r="AOK31" s="265"/>
      <c r="AOL31" s="265"/>
      <c r="AOM31" s="265"/>
      <c r="AON31" s="265"/>
      <c r="AOO31" s="265"/>
      <c r="AOP31" s="265"/>
      <c r="AOQ31" s="265"/>
      <c r="AOR31" s="265"/>
      <c r="AOS31" s="265"/>
      <c r="AOT31" s="265"/>
      <c r="AOU31" s="265"/>
      <c r="AOV31" s="265"/>
      <c r="AOW31" s="265"/>
      <c r="AOX31" s="265"/>
      <c r="AOY31" s="265"/>
      <c r="AOZ31" s="265"/>
      <c r="APA31" s="265"/>
      <c r="APB31" s="265"/>
      <c r="APC31" s="265"/>
      <c r="APD31" s="265"/>
      <c r="APE31" s="265"/>
      <c r="APF31" s="265"/>
      <c r="APG31" s="265"/>
      <c r="APH31" s="265"/>
      <c r="API31" s="265"/>
      <c r="APJ31" s="265"/>
      <c r="APK31" s="265"/>
      <c r="APL31" s="265"/>
      <c r="APM31" s="265"/>
      <c r="APN31" s="265"/>
      <c r="APO31" s="265"/>
      <c r="APP31" s="265"/>
      <c r="APQ31" s="265"/>
      <c r="APR31" s="265"/>
      <c r="APS31" s="265"/>
      <c r="APT31" s="265"/>
      <c r="APU31" s="265"/>
      <c r="APV31" s="265"/>
      <c r="APW31" s="265"/>
      <c r="APX31" s="265"/>
      <c r="APY31" s="265"/>
      <c r="APZ31" s="265"/>
      <c r="AQA31" s="265"/>
      <c r="AQB31" s="265"/>
      <c r="AQC31" s="265"/>
      <c r="AQD31" s="265"/>
      <c r="AQE31" s="265"/>
      <c r="AQF31" s="265"/>
      <c r="AQG31" s="265"/>
      <c r="AQH31" s="265"/>
      <c r="AQI31" s="265"/>
      <c r="AQJ31" s="265"/>
      <c r="AQK31" s="265"/>
      <c r="AQL31" s="265"/>
      <c r="AQM31" s="265"/>
      <c r="AQN31" s="265"/>
      <c r="AQO31" s="265"/>
      <c r="AQP31" s="265"/>
      <c r="AQQ31" s="265"/>
      <c r="AQR31" s="265"/>
      <c r="AQS31" s="265"/>
      <c r="AQT31" s="265"/>
      <c r="AQU31" s="265"/>
      <c r="AQV31" s="265"/>
      <c r="AQW31" s="265"/>
      <c r="AQX31" s="265"/>
      <c r="AQY31" s="265"/>
      <c r="AQZ31" s="265"/>
      <c r="ARA31" s="265"/>
      <c r="ARB31" s="265"/>
      <c r="ARC31" s="265"/>
      <c r="ARD31" s="265"/>
      <c r="ARE31" s="265"/>
      <c r="ARF31" s="265"/>
      <c r="ARG31" s="265"/>
      <c r="ARH31" s="265"/>
      <c r="ARI31" s="265"/>
      <c r="ARJ31" s="265"/>
      <c r="ARK31" s="265"/>
      <c r="ARL31" s="265"/>
      <c r="ARM31" s="265"/>
      <c r="ARN31" s="265"/>
      <c r="ARO31" s="265"/>
      <c r="ARP31" s="265"/>
      <c r="ARQ31" s="265"/>
      <c r="ARR31" s="265"/>
      <c r="ARS31" s="265"/>
      <c r="ART31" s="265"/>
      <c r="ARU31" s="265"/>
      <c r="ARV31" s="265"/>
      <c r="ARW31" s="265"/>
      <c r="ARX31" s="265"/>
      <c r="ARY31" s="265"/>
      <c r="ARZ31" s="265"/>
      <c r="ASA31" s="265"/>
      <c r="ASB31" s="265"/>
      <c r="ASC31" s="265"/>
      <c r="ASD31" s="265"/>
      <c r="ASE31" s="265"/>
      <c r="ASF31" s="265"/>
      <c r="ASG31" s="265"/>
      <c r="ASH31" s="265"/>
      <c r="ASI31" s="265"/>
      <c r="ASJ31" s="265"/>
      <c r="ASK31" s="265"/>
      <c r="ASL31" s="265"/>
      <c r="ASM31" s="265"/>
      <c r="ASN31" s="265"/>
      <c r="ASO31" s="265"/>
      <c r="ASP31" s="265"/>
      <c r="ASQ31" s="265"/>
      <c r="ASR31" s="265"/>
      <c r="ASS31" s="265"/>
      <c r="AST31" s="265"/>
      <c r="ASU31" s="265"/>
      <c r="ASV31" s="265"/>
      <c r="ASW31" s="265"/>
      <c r="ASX31" s="265"/>
      <c r="ASY31" s="265"/>
      <c r="ASZ31" s="265"/>
      <c r="ATA31" s="265"/>
      <c r="ATB31" s="265"/>
      <c r="ATC31" s="265"/>
      <c r="ATD31" s="265"/>
      <c r="ATE31" s="265"/>
      <c r="ATF31" s="265"/>
      <c r="ATG31" s="265"/>
      <c r="ATH31" s="265"/>
      <c r="ATI31" s="265"/>
      <c r="ATJ31" s="265"/>
      <c r="ATK31" s="265"/>
      <c r="ATL31" s="265"/>
      <c r="ATM31" s="265"/>
      <c r="ATN31" s="265"/>
      <c r="ATO31" s="265"/>
      <c r="ATP31" s="265"/>
      <c r="ATQ31" s="265"/>
      <c r="ATR31" s="265"/>
      <c r="ATS31" s="265"/>
      <c r="ATT31" s="265"/>
      <c r="ATU31" s="265"/>
      <c r="ATV31" s="265"/>
      <c r="ATW31" s="265"/>
      <c r="ATX31" s="265"/>
      <c r="ATY31" s="265"/>
      <c r="ATZ31" s="265"/>
      <c r="AUA31" s="265"/>
      <c r="AUB31" s="265"/>
      <c r="AUC31" s="265"/>
      <c r="AUD31" s="265"/>
      <c r="AUE31" s="265"/>
      <c r="AUF31" s="265"/>
      <c r="AUG31" s="265"/>
      <c r="AUH31" s="265"/>
      <c r="AUI31" s="265"/>
      <c r="AUJ31" s="265"/>
      <c r="AUK31" s="265"/>
      <c r="AUL31" s="265"/>
      <c r="AUM31" s="265"/>
      <c r="AUN31" s="265"/>
      <c r="AUO31" s="265"/>
      <c r="AUP31" s="265"/>
      <c r="AUQ31" s="265"/>
      <c r="AUR31" s="265"/>
      <c r="AUS31" s="265"/>
      <c r="AUT31" s="265"/>
      <c r="AUU31" s="265"/>
      <c r="AUV31" s="265"/>
      <c r="AUW31" s="265"/>
      <c r="AUX31" s="265"/>
      <c r="AUY31" s="265"/>
      <c r="AUZ31" s="265"/>
      <c r="AVA31" s="265"/>
      <c r="AVB31" s="265"/>
      <c r="AVC31" s="265"/>
      <c r="AVD31" s="265"/>
      <c r="AVE31" s="265"/>
      <c r="AVF31" s="265"/>
      <c r="AVG31" s="265"/>
      <c r="AVH31" s="265"/>
      <c r="AVI31" s="265"/>
      <c r="AVJ31" s="265"/>
      <c r="AVK31" s="265"/>
      <c r="AVL31" s="265"/>
      <c r="AVM31" s="265"/>
      <c r="AVN31" s="265"/>
      <c r="AVO31" s="265"/>
      <c r="AVP31" s="265"/>
      <c r="AVQ31" s="265"/>
      <c r="AVR31" s="265"/>
      <c r="AVS31" s="265"/>
      <c r="AVT31" s="265"/>
      <c r="AVU31" s="265"/>
      <c r="AVV31" s="265"/>
      <c r="AVW31" s="265"/>
      <c r="AVX31" s="265"/>
      <c r="AVY31" s="265"/>
      <c r="AVZ31" s="265"/>
      <c r="AWA31" s="265"/>
      <c r="AWB31" s="265"/>
      <c r="AWC31" s="265"/>
      <c r="AWD31" s="265"/>
      <c r="AWE31" s="265"/>
      <c r="AWF31" s="265"/>
      <c r="AWG31" s="265"/>
      <c r="AWH31" s="265"/>
      <c r="AWI31" s="265"/>
      <c r="AWJ31" s="265"/>
      <c r="AWK31" s="265"/>
      <c r="AWL31" s="265"/>
      <c r="AWM31" s="265"/>
      <c r="AWN31" s="265"/>
      <c r="AWO31" s="265"/>
      <c r="AWP31" s="265"/>
      <c r="AWQ31" s="265"/>
      <c r="AWR31" s="265"/>
      <c r="AWS31" s="265"/>
      <c r="AWT31" s="265"/>
      <c r="AWU31" s="265"/>
      <c r="AWV31" s="265"/>
      <c r="AWW31" s="265"/>
      <c r="AWX31" s="265"/>
      <c r="AWY31" s="265"/>
      <c r="AWZ31" s="265"/>
      <c r="AXA31" s="265"/>
      <c r="AXB31" s="265"/>
      <c r="AXC31" s="265"/>
      <c r="AXD31" s="265"/>
      <c r="AXE31" s="265"/>
      <c r="AXF31" s="265"/>
      <c r="AXG31" s="265"/>
      <c r="AXH31" s="265"/>
      <c r="AXI31" s="265"/>
      <c r="AXJ31" s="265"/>
      <c r="AXK31" s="265"/>
      <c r="AXL31" s="265"/>
      <c r="AXM31" s="265"/>
      <c r="AXN31" s="265"/>
      <c r="AXO31" s="265"/>
      <c r="AXP31" s="265"/>
      <c r="AXQ31" s="265"/>
      <c r="AXR31" s="265"/>
      <c r="AXS31" s="265"/>
      <c r="AXT31" s="265"/>
      <c r="AXU31" s="265"/>
      <c r="AXV31" s="265"/>
      <c r="AXW31" s="265"/>
      <c r="AXX31" s="265"/>
      <c r="AXY31" s="265"/>
      <c r="AXZ31" s="265"/>
      <c r="AYA31" s="265"/>
      <c r="AYB31" s="265"/>
      <c r="AYC31" s="265"/>
      <c r="AYD31" s="265"/>
      <c r="AYE31" s="265"/>
      <c r="AYF31" s="265"/>
      <c r="AYG31" s="265"/>
      <c r="AYH31" s="265"/>
      <c r="AYI31" s="265"/>
      <c r="AYJ31" s="265"/>
      <c r="AYK31" s="265"/>
      <c r="AYL31" s="265"/>
      <c r="AYM31" s="265"/>
      <c r="AYN31" s="265"/>
      <c r="AYO31" s="265"/>
      <c r="AYP31" s="265"/>
      <c r="AYQ31" s="265"/>
      <c r="AYR31" s="265"/>
      <c r="AYS31" s="265"/>
      <c r="AYT31" s="265"/>
      <c r="AYU31" s="265"/>
      <c r="AYV31" s="265"/>
      <c r="AYW31" s="265"/>
      <c r="AYX31" s="265"/>
      <c r="AYY31" s="265"/>
      <c r="AYZ31" s="265"/>
      <c r="AZA31" s="265"/>
      <c r="AZB31" s="265"/>
      <c r="AZC31" s="265"/>
      <c r="AZD31" s="265"/>
      <c r="AZE31" s="265"/>
      <c r="AZF31" s="265"/>
      <c r="AZG31" s="265"/>
      <c r="AZH31" s="265"/>
      <c r="AZI31" s="265"/>
      <c r="AZJ31" s="265"/>
      <c r="AZK31" s="265"/>
      <c r="AZL31" s="265"/>
      <c r="AZM31" s="265"/>
      <c r="AZN31" s="265"/>
      <c r="AZO31" s="265"/>
      <c r="AZP31" s="265"/>
      <c r="AZQ31" s="265"/>
      <c r="AZR31" s="265"/>
      <c r="AZS31" s="265"/>
      <c r="AZT31" s="265"/>
      <c r="AZU31" s="265"/>
      <c r="AZV31" s="265"/>
      <c r="AZW31" s="265"/>
      <c r="AZX31" s="265"/>
      <c r="AZY31" s="265"/>
      <c r="AZZ31" s="265"/>
      <c r="BAA31" s="265"/>
      <c r="BAB31" s="265"/>
      <c r="BAC31" s="265"/>
      <c r="BAD31" s="265"/>
      <c r="BAE31" s="265"/>
      <c r="BAF31" s="265"/>
      <c r="BAG31" s="265"/>
      <c r="BAH31" s="265"/>
      <c r="BAI31" s="265"/>
      <c r="BAJ31" s="265"/>
      <c r="BAK31" s="265"/>
      <c r="BAL31" s="265"/>
      <c r="BAM31" s="265"/>
      <c r="BAN31" s="265"/>
      <c r="BAO31" s="265"/>
      <c r="BAP31" s="265"/>
      <c r="BAQ31" s="265"/>
      <c r="BAR31" s="265"/>
      <c r="BAS31" s="265"/>
      <c r="BAT31" s="265"/>
      <c r="BAU31" s="265"/>
      <c r="BAV31" s="265"/>
      <c r="BAW31" s="265"/>
      <c r="BAX31" s="265"/>
      <c r="BAY31" s="265"/>
      <c r="BAZ31" s="265"/>
      <c r="BBA31" s="265"/>
      <c r="BBB31" s="265"/>
      <c r="BBC31" s="265"/>
      <c r="BBD31" s="265"/>
      <c r="BBE31" s="265"/>
      <c r="BBF31" s="265"/>
      <c r="BBG31" s="265"/>
      <c r="BBH31" s="265"/>
      <c r="BBI31" s="265"/>
      <c r="BBJ31" s="265"/>
      <c r="BBK31" s="265"/>
      <c r="BBL31" s="265"/>
      <c r="BBM31" s="265"/>
      <c r="BBN31" s="265"/>
      <c r="BBO31" s="265"/>
      <c r="BBP31" s="265"/>
      <c r="BBQ31" s="265"/>
      <c r="BBR31" s="265"/>
      <c r="BBS31" s="265"/>
      <c r="BBT31" s="265"/>
      <c r="BBU31" s="265"/>
      <c r="BBV31" s="265"/>
      <c r="BBW31" s="265"/>
      <c r="BBX31" s="265"/>
      <c r="BBY31" s="265"/>
      <c r="BBZ31" s="265"/>
      <c r="BCA31" s="265"/>
      <c r="BCB31" s="265"/>
      <c r="BCC31" s="265"/>
      <c r="BCD31" s="265"/>
      <c r="BCE31" s="265"/>
      <c r="BCF31" s="265"/>
      <c r="BCG31" s="265"/>
      <c r="BCH31" s="265"/>
      <c r="BCI31" s="265"/>
      <c r="BCJ31" s="265"/>
      <c r="BCK31" s="265"/>
      <c r="BCL31" s="265"/>
      <c r="BCM31" s="265"/>
      <c r="BCN31" s="265"/>
      <c r="BCO31" s="265"/>
      <c r="BCP31" s="265"/>
      <c r="BCQ31" s="265"/>
      <c r="BCR31" s="265"/>
      <c r="BCS31" s="265"/>
      <c r="BCT31" s="265"/>
      <c r="BCU31" s="265"/>
      <c r="BCV31" s="265"/>
      <c r="BCW31" s="265"/>
      <c r="BCX31" s="265"/>
      <c r="BCY31" s="265"/>
      <c r="BCZ31" s="265"/>
      <c r="BDA31" s="265"/>
      <c r="BDB31" s="265"/>
      <c r="BDC31" s="265"/>
      <c r="BDD31" s="265"/>
      <c r="BDE31" s="265"/>
      <c r="BDF31" s="265"/>
      <c r="BDG31" s="265"/>
      <c r="BDH31" s="265"/>
      <c r="BDI31" s="265"/>
      <c r="BDJ31" s="265"/>
      <c r="BDK31" s="265"/>
      <c r="BDL31" s="265"/>
      <c r="BDM31" s="265"/>
      <c r="BDN31" s="265"/>
      <c r="BDO31" s="265"/>
      <c r="BDP31" s="265"/>
      <c r="BDQ31" s="265"/>
      <c r="BDR31" s="265"/>
      <c r="BDS31" s="265"/>
      <c r="BDT31" s="265"/>
      <c r="BDU31" s="265"/>
      <c r="BDV31" s="265"/>
      <c r="BDW31" s="265"/>
      <c r="BDX31" s="265"/>
      <c r="BDY31" s="265"/>
      <c r="BDZ31" s="265"/>
      <c r="BEA31" s="265"/>
      <c r="BEB31" s="265"/>
      <c r="BEC31" s="265"/>
      <c r="BED31" s="265"/>
      <c r="BEE31" s="265"/>
      <c r="BEF31" s="265"/>
      <c r="BEG31" s="265"/>
      <c r="BEH31" s="265"/>
      <c r="BEI31" s="265"/>
      <c r="BEJ31" s="265"/>
      <c r="BEK31" s="265"/>
      <c r="BEL31" s="265"/>
      <c r="BEM31" s="265"/>
      <c r="BEN31" s="265"/>
      <c r="BEO31" s="265"/>
      <c r="BEP31" s="265"/>
      <c r="BEQ31" s="265"/>
      <c r="BER31" s="265"/>
      <c r="BES31" s="265"/>
      <c r="BET31" s="265"/>
      <c r="BEU31" s="265"/>
      <c r="BEV31" s="265"/>
      <c r="BEW31" s="265"/>
      <c r="BEX31" s="265"/>
      <c r="BEY31" s="265"/>
      <c r="BEZ31" s="265"/>
      <c r="BFA31" s="265"/>
      <c r="BFB31" s="265"/>
      <c r="BFC31" s="265"/>
      <c r="BFD31" s="265"/>
      <c r="BFE31" s="265"/>
      <c r="BFF31" s="265"/>
      <c r="BFG31" s="265"/>
      <c r="BFH31" s="265"/>
      <c r="BFI31" s="265"/>
      <c r="BFJ31" s="265"/>
      <c r="BFK31" s="265"/>
      <c r="BFL31" s="265"/>
      <c r="BFM31" s="265"/>
      <c r="BFN31" s="265"/>
      <c r="BFO31" s="265"/>
      <c r="BFP31" s="265"/>
      <c r="BFQ31" s="265"/>
      <c r="BFR31" s="265"/>
      <c r="BFS31" s="265"/>
      <c r="BFT31" s="265"/>
      <c r="BFU31" s="265"/>
      <c r="BFV31" s="265"/>
      <c r="BFW31" s="265"/>
      <c r="BFX31" s="265"/>
      <c r="BFY31" s="265"/>
      <c r="BFZ31" s="265"/>
      <c r="BGA31" s="265"/>
      <c r="BGB31" s="265"/>
      <c r="BGC31" s="265"/>
      <c r="BGD31" s="265"/>
      <c r="BGE31" s="265"/>
      <c r="BGF31" s="265"/>
      <c r="BGG31" s="265"/>
      <c r="BGH31" s="265"/>
      <c r="BGI31" s="265"/>
      <c r="BGJ31" s="265"/>
      <c r="BGK31" s="265"/>
      <c r="BGL31" s="265"/>
      <c r="BGM31" s="265"/>
      <c r="BGN31" s="265"/>
      <c r="BGO31" s="265"/>
      <c r="BGP31" s="265"/>
      <c r="BGQ31" s="265"/>
      <c r="BGR31" s="265"/>
      <c r="BGS31" s="265"/>
      <c r="BGT31" s="265"/>
      <c r="BGU31" s="265"/>
      <c r="BGV31" s="265"/>
      <c r="BGW31" s="265"/>
      <c r="BGX31" s="265"/>
      <c r="BGY31" s="265"/>
      <c r="BGZ31" s="265"/>
      <c r="BHA31" s="265"/>
      <c r="BHB31" s="265"/>
      <c r="BHC31" s="265"/>
      <c r="BHD31" s="265"/>
      <c r="BHE31" s="265"/>
      <c r="BHF31" s="265"/>
      <c r="BHG31" s="265"/>
      <c r="BHH31" s="265"/>
      <c r="BHI31" s="265"/>
      <c r="BHJ31" s="265"/>
      <c r="BHK31" s="265"/>
      <c r="BHL31" s="265"/>
      <c r="BHM31" s="265"/>
      <c r="BHN31" s="265"/>
      <c r="BHO31" s="265"/>
      <c r="BHP31" s="265"/>
      <c r="BHQ31" s="265"/>
      <c r="BHR31" s="265"/>
      <c r="BHS31" s="265"/>
      <c r="BHT31" s="265"/>
      <c r="BHU31" s="265"/>
      <c r="BHV31" s="265"/>
      <c r="BHW31" s="265"/>
      <c r="BHX31" s="265"/>
      <c r="BHY31" s="265"/>
      <c r="BHZ31" s="265"/>
      <c r="BIA31" s="265"/>
      <c r="BIB31" s="265"/>
      <c r="BIC31" s="265"/>
      <c r="BID31" s="265"/>
      <c r="BIE31" s="265"/>
      <c r="BIF31" s="265"/>
      <c r="BIG31" s="265"/>
      <c r="BIH31" s="265"/>
      <c r="BII31" s="265"/>
      <c r="BIJ31" s="265"/>
      <c r="BIK31" s="265"/>
      <c r="BIL31" s="265"/>
      <c r="BIM31" s="265"/>
      <c r="BIN31" s="265"/>
      <c r="BIO31" s="265"/>
      <c r="BIP31" s="265"/>
      <c r="BIQ31" s="265"/>
      <c r="BIR31" s="265"/>
      <c r="BIS31" s="265"/>
      <c r="BIT31" s="265"/>
      <c r="BIU31" s="265"/>
      <c r="BIV31" s="265"/>
      <c r="BIW31" s="265"/>
      <c r="BIX31" s="265"/>
      <c r="BIY31" s="265"/>
      <c r="BIZ31" s="265"/>
      <c r="BJA31" s="265"/>
      <c r="BJB31" s="265"/>
      <c r="BJC31" s="265"/>
      <c r="BJD31" s="265"/>
      <c r="BJE31" s="265"/>
      <c r="BJF31" s="265"/>
      <c r="BJG31" s="265"/>
      <c r="BJH31" s="265"/>
      <c r="BJI31" s="265"/>
      <c r="BJJ31" s="265"/>
      <c r="BJK31" s="265"/>
      <c r="BJL31" s="265"/>
      <c r="BJM31" s="265"/>
      <c r="BJN31" s="265"/>
      <c r="BJO31" s="265"/>
      <c r="BJP31" s="265"/>
      <c r="BJQ31" s="265"/>
      <c r="BJR31" s="265"/>
      <c r="BJS31" s="265"/>
      <c r="BJT31" s="265"/>
      <c r="BJU31" s="265"/>
      <c r="BJV31" s="265"/>
      <c r="BJW31" s="265"/>
      <c r="BJX31" s="265"/>
      <c r="BJY31" s="265"/>
      <c r="BJZ31" s="265"/>
      <c r="BKA31" s="265"/>
      <c r="BKB31" s="265"/>
      <c r="BKC31" s="265"/>
      <c r="BKD31" s="265"/>
      <c r="BKE31" s="265"/>
      <c r="BKF31" s="265"/>
      <c r="BKG31" s="265"/>
      <c r="BKH31" s="265"/>
      <c r="BKI31" s="265"/>
      <c r="BKJ31" s="265"/>
      <c r="BKK31" s="265"/>
      <c r="BKL31" s="265"/>
      <c r="BKM31" s="265"/>
      <c r="BKN31" s="265"/>
      <c r="BKO31" s="265"/>
      <c r="BKP31" s="265"/>
      <c r="BKQ31" s="265"/>
      <c r="BKR31" s="265"/>
      <c r="BKS31" s="265"/>
      <c r="BKT31" s="265"/>
      <c r="BKU31" s="265"/>
      <c r="BKV31" s="265"/>
      <c r="BKW31" s="265"/>
      <c r="BKX31" s="265"/>
      <c r="BKY31" s="265"/>
      <c r="BKZ31" s="265"/>
      <c r="BLA31" s="265"/>
      <c r="BLB31" s="265"/>
      <c r="BLC31" s="265"/>
      <c r="BLD31" s="265"/>
      <c r="BLE31" s="265"/>
      <c r="BLF31" s="265"/>
      <c r="BLG31" s="265"/>
      <c r="BLH31" s="265"/>
      <c r="BLI31" s="265"/>
      <c r="BLJ31" s="265"/>
      <c r="BLK31" s="265"/>
      <c r="BLL31" s="265"/>
      <c r="BLM31" s="265"/>
      <c r="BLN31" s="265"/>
      <c r="BLO31" s="265"/>
      <c r="BLP31" s="265"/>
      <c r="BLQ31" s="265"/>
      <c r="BLR31" s="265"/>
      <c r="BLS31" s="265"/>
      <c r="BLT31" s="265"/>
      <c r="BLU31" s="265"/>
      <c r="BLV31" s="265"/>
      <c r="BLW31" s="265"/>
      <c r="BLX31" s="265"/>
      <c r="BLY31" s="265"/>
      <c r="BLZ31" s="265"/>
      <c r="BMA31" s="265"/>
      <c r="BMB31" s="265"/>
      <c r="BMC31" s="265"/>
      <c r="BMD31" s="265"/>
      <c r="BME31" s="265"/>
      <c r="BMF31" s="265"/>
      <c r="BMG31" s="265"/>
      <c r="BMH31" s="265"/>
      <c r="BMI31" s="265"/>
      <c r="BMJ31" s="265"/>
      <c r="BMK31" s="265"/>
      <c r="BML31" s="265"/>
      <c r="BMM31" s="265"/>
      <c r="BMN31" s="265"/>
      <c r="BMO31" s="265"/>
      <c r="BMP31" s="265"/>
      <c r="BMQ31" s="265"/>
      <c r="BMR31" s="265"/>
      <c r="BMS31" s="265"/>
      <c r="BMT31" s="265"/>
      <c r="BMU31" s="265"/>
      <c r="BMV31" s="265"/>
      <c r="BMW31" s="265"/>
      <c r="BMX31" s="265"/>
      <c r="BMY31" s="265"/>
      <c r="BMZ31" s="265"/>
      <c r="BNA31" s="265"/>
      <c r="BNB31" s="265"/>
      <c r="BNC31" s="265"/>
      <c r="BND31" s="265"/>
      <c r="BNE31" s="265"/>
      <c r="BNF31" s="265"/>
      <c r="BNG31" s="265"/>
      <c r="BNH31" s="265"/>
      <c r="BNI31" s="265"/>
      <c r="BNJ31" s="265"/>
      <c r="BNK31" s="265"/>
      <c r="BNL31" s="265"/>
      <c r="BNM31" s="265"/>
      <c r="BNN31" s="265"/>
      <c r="BNO31" s="265"/>
      <c r="BNP31" s="265"/>
      <c r="BNQ31" s="265"/>
      <c r="BNR31" s="265"/>
      <c r="BNS31" s="265"/>
      <c r="BNT31" s="265"/>
      <c r="BNU31" s="265"/>
      <c r="BNV31" s="265"/>
      <c r="BNW31" s="265"/>
      <c r="BNX31" s="265"/>
      <c r="BNY31" s="265"/>
      <c r="BNZ31" s="265"/>
      <c r="BOA31" s="265"/>
      <c r="BOB31" s="265"/>
      <c r="BOC31" s="265"/>
      <c r="BOD31" s="265"/>
      <c r="BOE31" s="265"/>
      <c r="BOF31" s="265"/>
      <c r="BOG31" s="265"/>
      <c r="BOH31" s="265"/>
      <c r="BOI31" s="265"/>
      <c r="BOJ31" s="265"/>
      <c r="BOK31" s="265"/>
      <c r="BOL31" s="265"/>
      <c r="BOM31" s="265"/>
      <c r="BON31" s="265"/>
      <c r="BOO31" s="265"/>
      <c r="BOP31" s="265"/>
      <c r="BOQ31" s="265"/>
      <c r="BOR31" s="265"/>
      <c r="BOS31" s="265"/>
      <c r="BOT31" s="265"/>
      <c r="BOU31" s="265"/>
      <c r="BOV31" s="265"/>
      <c r="BOW31" s="265"/>
      <c r="BOX31" s="265"/>
      <c r="BOY31" s="265"/>
      <c r="BOZ31" s="265"/>
      <c r="BPA31" s="265"/>
      <c r="BPB31" s="265"/>
      <c r="BPC31" s="265"/>
      <c r="BPD31" s="265"/>
      <c r="BPE31" s="265"/>
      <c r="BPF31" s="265"/>
      <c r="BPG31" s="265"/>
      <c r="BPH31" s="265"/>
      <c r="BPI31" s="265"/>
      <c r="BPJ31" s="265"/>
      <c r="BPK31" s="265"/>
      <c r="BPL31" s="265"/>
      <c r="BPM31" s="265"/>
      <c r="BPN31" s="265"/>
      <c r="BPO31" s="265"/>
      <c r="BPP31" s="265"/>
      <c r="BPQ31" s="265"/>
      <c r="BPR31" s="265"/>
      <c r="BPS31" s="265"/>
      <c r="BPT31" s="265"/>
      <c r="BPU31" s="265"/>
      <c r="BPV31" s="265"/>
      <c r="BPW31" s="265"/>
      <c r="BPX31" s="265"/>
      <c r="BPY31" s="265"/>
      <c r="BPZ31" s="265"/>
      <c r="BQA31" s="265"/>
      <c r="BQB31" s="265"/>
      <c r="BQC31" s="265"/>
      <c r="BQD31" s="265"/>
      <c r="BQE31" s="265"/>
      <c r="BQF31" s="265"/>
      <c r="BQG31" s="265"/>
      <c r="BQH31" s="265"/>
      <c r="BQI31" s="265"/>
      <c r="BQJ31" s="265"/>
      <c r="BQK31" s="265"/>
      <c r="BQL31" s="265"/>
      <c r="BQM31" s="265"/>
      <c r="BQN31" s="265"/>
      <c r="BQO31" s="265"/>
      <c r="BQP31" s="265"/>
      <c r="BQQ31" s="265"/>
      <c r="BQR31" s="265"/>
      <c r="BQS31" s="265"/>
      <c r="BQT31" s="265"/>
      <c r="BQU31" s="265"/>
      <c r="BQV31" s="265"/>
      <c r="BQW31" s="265"/>
      <c r="BQX31" s="265"/>
      <c r="BQY31" s="265"/>
      <c r="BQZ31" s="265"/>
      <c r="BRA31" s="265"/>
      <c r="BRB31" s="265"/>
      <c r="BRC31" s="265"/>
      <c r="BRD31" s="265"/>
      <c r="BRE31" s="265"/>
      <c r="BRF31" s="265"/>
      <c r="BRG31" s="265"/>
      <c r="BRH31" s="265"/>
      <c r="BRI31" s="265"/>
      <c r="BRJ31" s="265"/>
      <c r="BRK31" s="265"/>
      <c r="BRL31" s="265"/>
      <c r="BRM31" s="265"/>
      <c r="BRN31" s="265"/>
      <c r="BRO31" s="265"/>
      <c r="BRP31" s="265"/>
      <c r="BRQ31" s="265"/>
      <c r="BRR31" s="265"/>
      <c r="BRS31" s="265"/>
      <c r="BRT31" s="265"/>
      <c r="BRU31" s="265"/>
      <c r="BRV31" s="265"/>
      <c r="BRW31" s="265"/>
      <c r="BRX31" s="265"/>
      <c r="BRY31" s="265"/>
      <c r="BRZ31" s="265"/>
      <c r="BSA31" s="265"/>
      <c r="BSB31" s="265"/>
      <c r="BSC31" s="265"/>
      <c r="BSD31" s="265"/>
      <c r="BSE31" s="265"/>
      <c r="BSF31" s="265"/>
      <c r="BSG31" s="265"/>
      <c r="BSH31" s="265"/>
      <c r="BSI31" s="265"/>
      <c r="BSJ31" s="265"/>
      <c r="BSK31" s="265"/>
      <c r="BSL31" s="265"/>
      <c r="BSM31" s="265"/>
      <c r="BSN31" s="265"/>
      <c r="BSO31" s="265"/>
      <c r="BSP31" s="265"/>
      <c r="BSQ31" s="265"/>
      <c r="BSR31" s="265"/>
      <c r="BSS31" s="265"/>
      <c r="BST31" s="265"/>
      <c r="BSU31" s="265"/>
      <c r="BSV31" s="265"/>
      <c r="BSW31" s="265"/>
      <c r="BSX31" s="265"/>
      <c r="BSY31" s="265"/>
      <c r="BSZ31" s="265"/>
      <c r="BTA31" s="265"/>
      <c r="BTB31" s="265"/>
      <c r="BTC31" s="265"/>
      <c r="BTD31" s="265"/>
      <c r="BTE31" s="265"/>
      <c r="BTF31" s="265"/>
      <c r="BTG31" s="265"/>
      <c r="BTH31" s="265"/>
      <c r="BTI31" s="265"/>
      <c r="BTJ31" s="265"/>
      <c r="BTK31" s="265"/>
      <c r="BTL31" s="265"/>
      <c r="BTM31" s="265"/>
      <c r="BTN31" s="265"/>
      <c r="BTO31" s="265"/>
      <c r="BTP31" s="265"/>
      <c r="BTQ31" s="265"/>
      <c r="BTR31" s="265"/>
      <c r="BTS31" s="265"/>
      <c r="BTT31" s="265"/>
      <c r="BTU31" s="265"/>
      <c r="BTV31" s="265"/>
      <c r="BTW31" s="265"/>
      <c r="BTX31" s="265"/>
      <c r="BTY31" s="265"/>
      <c r="BTZ31" s="265"/>
      <c r="BUA31" s="265"/>
      <c r="BUB31" s="265"/>
      <c r="BUC31" s="265"/>
      <c r="BUD31" s="265"/>
      <c r="BUE31" s="265"/>
      <c r="BUF31" s="265"/>
      <c r="BUG31" s="265"/>
      <c r="BUH31" s="265"/>
      <c r="BUI31" s="265"/>
      <c r="BUJ31" s="265"/>
      <c r="BUK31" s="265"/>
      <c r="BUL31" s="265"/>
      <c r="BUM31" s="265"/>
      <c r="BUN31" s="265"/>
      <c r="BUO31" s="265"/>
      <c r="BUP31" s="265"/>
      <c r="BUQ31" s="265"/>
      <c r="BUR31" s="265"/>
      <c r="BUS31" s="265"/>
      <c r="BUT31" s="265"/>
      <c r="BUU31" s="265"/>
      <c r="BUV31" s="265"/>
      <c r="BUW31" s="265"/>
      <c r="BUX31" s="265"/>
      <c r="BUY31" s="265"/>
      <c r="BUZ31" s="265"/>
      <c r="BVA31" s="265"/>
      <c r="BVB31" s="265"/>
      <c r="BVC31" s="265"/>
      <c r="BVD31" s="265"/>
      <c r="BVE31" s="265"/>
      <c r="BVF31" s="265"/>
      <c r="BVG31" s="265"/>
      <c r="BVH31" s="265"/>
      <c r="BVI31" s="265"/>
      <c r="BVJ31" s="265"/>
      <c r="BVK31" s="265"/>
      <c r="BVL31" s="265"/>
      <c r="BVM31" s="265"/>
      <c r="BVN31" s="265"/>
      <c r="BVO31" s="265"/>
      <c r="BVP31" s="265"/>
      <c r="BVQ31" s="265"/>
      <c r="BVR31" s="265"/>
      <c r="BVS31" s="265"/>
      <c r="BVT31" s="265"/>
      <c r="BVU31" s="265"/>
      <c r="BVV31" s="265"/>
      <c r="BVW31" s="265"/>
      <c r="BVX31" s="265"/>
      <c r="BVY31" s="265"/>
      <c r="BVZ31" s="265"/>
      <c r="BWA31" s="265"/>
      <c r="BWB31" s="265"/>
      <c r="BWC31" s="265"/>
      <c r="BWD31" s="265"/>
      <c r="BWE31" s="265"/>
      <c r="BWF31" s="265"/>
      <c r="BWG31" s="265"/>
      <c r="BWH31" s="265"/>
      <c r="BWI31" s="265"/>
      <c r="BWJ31" s="265"/>
      <c r="BWK31" s="265"/>
      <c r="BWL31" s="265"/>
      <c r="BWM31" s="265"/>
      <c r="BWN31" s="265"/>
      <c r="BWO31" s="265"/>
      <c r="BWP31" s="265"/>
      <c r="BWQ31" s="265"/>
      <c r="BWR31" s="265"/>
      <c r="BWS31" s="265"/>
      <c r="BWT31" s="265"/>
      <c r="BWU31" s="265"/>
      <c r="BWV31" s="265"/>
      <c r="BWW31" s="265"/>
      <c r="BWX31" s="265"/>
      <c r="BWY31" s="265"/>
      <c r="BWZ31" s="265"/>
      <c r="BXA31" s="265"/>
      <c r="BXB31" s="265"/>
      <c r="BXC31" s="265"/>
      <c r="BXD31" s="265"/>
      <c r="BXE31" s="265"/>
      <c r="BXF31" s="265"/>
      <c r="BXG31" s="265"/>
      <c r="BXH31" s="265"/>
      <c r="BXI31" s="265"/>
      <c r="BXJ31" s="265"/>
      <c r="BXK31" s="265"/>
      <c r="BXL31" s="265"/>
      <c r="BXM31" s="265"/>
      <c r="BXN31" s="265"/>
      <c r="BXO31" s="265"/>
      <c r="BXP31" s="265"/>
      <c r="BXQ31" s="265"/>
      <c r="BXR31" s="265"/>
      <c r="BXS31" s="265"/>
      <c r="BXT31" s="265"/>
      <c r="BXU31" s="265"/>
      <c r="BXV31" s="265"/>
      <c r="BXW31" s="265"/>
      <c r="BXX31" s="265"/>
      <c r="BXY31" s="265"/>
      <c r="BXZ31" s="265"/>
      <c r="BYA31" s="265"/>
      <c r="BYB31" s="265"/>
      <c r="BYC31" s="265"/>
      <c r="BYD31" s="265"/>
      <c r="BYE31" s="265"/>
      <c r="BYF31" s="265"/>
      <c r="BYG31" s="265"/>
      <c r="BYH31" s="265"/>
      <c r="BYI31" s="265"/>
      <c r="BYJ31" s="265"/>
      <c r="BYK31" s="265"/>
      <c r="BYL31" s="265"/>
      <c r="BYM31" s="265"/>
      <c r="BYN31" s="265"/>
      <c r="BYO31" s="265"/>
      <c r="BYP31" s="265"/>
      <c r="BYQ31" s="265"/>
      <c r="BYR31" s="265"/>
      <c r="BYS31" s="265"/>
      <c r="BYT31" s="265"/>
      <c r="BYU31" s="265"/>
      <c r="BYV31" s="265"/>
      <c r="BYW31" s="265"/>
      <c r="BYX31" s="265"/>
      <c r="BYY31" s="265"/>
      <c r="BYZ31" s="265"/>
      <c r="BZA31" s="265"/>
      <c r="BZB31" s="265"/>
      <c r="BZC31" s="265"/>
      <c r="BZD31" s="265"/>
      <c r="BZE31" s="265"/>
      <c r="BZF31" s="265"/>
      <c r="BZG31" s="265"/>
      <c r="BZH31" s="265"/>
      <c r="BZI31" s="265"/>
      <c r="BZJ31" s="265"/>
      <c r="BZK31" s="265"/>
      <c r="BZL31" s="265"/>
      <c r="BZM31" s="265"/>
      <c r="BZN31" s="265"/>
      <c r="BZO31" s="265"/>
      <c r="BZP31" s="265"/>
      <c r="BZQ31" s="265"/>
      <c r="BZR31" s="265"/>
      <c r="BZS31" s="265"/>
      <c r="BZT31" s="265"/>
      <c r="BZU31" s="265"/>
      <c r="BZV31" s="265"/>
      <c r="BZW31" s="265"/>
      <c r="BZX31" s="265"/>
      <c r="BZY31" s="265"/>
      <c r="BZZ31" s="265"/>
      <c r="CAA31" s="265"/>
      <c r="CAB31" s="265"/>
      <c r="CAC31" s="265"/>
      <c r="CAD31" s="265"/>
      <c r="CAE31" s="265"/>
      <c r="CAF31" s="265"/>
      <c r="CAG31" s="265"/>
      <c r="CAH31" s="265"/>
      <c r="CAI31" s="265"/>
      <c r="CAJ31" s="265"/>
      <c r="CAK31" s="265"/>
      <c r="CAL31" s="265"/>
      <c r="CAM31" s="265"/>
      <c r="CAN31" s="265"/>
      <c r="CAO31" s="265"/>
      <c r="CAP31" s="265"/>
      <c r="CAQ31" s="265"/>
      <c r="CAR31" s="265"/>
      <c r="CAS31" s="265"/>
      <c r="CAT31" s="265"/>
      <c r="CAU31" s="265"/>
      <c r="CAV31" s="265"/>
      <c r="CAW31" s="265"/>
      <c r="CAX31" s="265"/>
      <c r="CAY31" s="265"/>
      <c r="CAZ31" s="265"/>
      <c r="CBA31" s="265"/>
      <c r="CBB31" s="265"/>
      <c r="CBC31" s="265"/>
      <c r="CBD31" s="265"/>
      <c r="CBE31" s="265"/>
      <c r="CBF31" s="265"/>
      <c r="CBG31" s="265"/>
      <c r="CBH31" s="265"/>
      <c r="CBI31" s="265"/>
      <c r="CBJ31" s="265"/>
      <c r="CBK31" s="265"/>
      <c r="CBL31" s="265"/>
      <c r="CBM31" s="265"/>
      <c r="CBN31" s="265"/>
      <c r="CBO31" s="265"/>
      <c r="CBP31" s="265"/>
      <c r="CBQ31" s="265"/>
      <c r="CBR31" s="265"/>
      <c r="CBS31" s="265"/>
      <c r="CBT31" s="265"/>
      <c r="CBU31" s="265"/>
      <c r="CBV31" s="265"/>
      <c r="CBW31" s="265"/>
      <c r="CBX31" s="265"/>
      <c r="CBY31" s="265"/>
      <c r="CBZ31" s="265"/>
      <c r="CCA31" s="265"/>
      <c r="CCB31" s="265"/>
      <c r="CCC31" s="265"/>
      <c r="CCD31" s="265"/>
      <c r="CCE31" s="265"/>
      <c r="CCF31" s="265"/>
      <c r="CCG31" s="265"/>
      <c r="CCH31" s="265"/>
      <c r="CCI31" s="265"/>
      <c r="CCJ31" s="265"/>
      <c r="CCK31" s="265"/>
      <c r="CCL31" s="265"/>
      <c r="CCM31" s="265"/>
      <c r="CCN31" s="265"/>
      <c r="CCO31" s="265"/>
      <c r="CCP31" s="265"/>
      <c r="CCQ31" s="265"/>
      <c r="CCR31" s="265"/>
      <c r="CCS31" s="265"/>
      <c r="CCT31" s="265"/>
      <c r="CCU31" s="265"/>
      <c r="CCV31" s="265"/>
      <c r="CCW31" s="265"/>
      <c r="CCX31" s="265"/>
      <c r="CCY31" s="265"/>
      <c r="CCZ31" s="265"/>
      <c r="CDA31" s="265"/>
      <c r="CDB31" s="265"/>
      <c r="CDC31" s="265"/>
      <c r="CDD31" s="265"/>
      <c r="CDE31" s="265"/>
      <c r="CDF31" s="265"/>
      <c r="CDG31" s="265"/>
      <c r="CDH31" s="265"/>
      <c r="CDI31" s="265"/>
      <c r="CDJ31" s="265"/>
      <c r="CDK31" s="265"/>
      <c r="CDL31" s="265"/>
      <c r="CDM31" s="265"/>
      <c r="CDN31" s="265"/>
      <c r="CDO31" s="265"/>
      <c r="CDP31" s="265"/>
      <c r="CDQ31" s="265"/>
      <c r="CDR31" s="265"/>
      <c r="CDS31" s="265"/>
      <c r="CDT31" s="265"/>
      <c r="CDU31" s="265"/>
      <c r="CDV31" s="265"/>
      <c r="CDW31" s="265"/>
      <c r="CDX31" s="265"/>
      <c r="CDY31" s="265"/>
      <c r="CDZ31" s="265"/>
      <c r="CEA31" s="265"/>
      <c r="CEB31" s="265"/>
      <c r="CEC31" s="265"/>
      <c r="CED31" s="265"/>
      <c r="CEE31" s="265"/>
      <c r="CEF31" s="265"/>
      <c r="CEG31" s="265"/>
      <c r="CEH31" s="265"/>
      <c r="CEI31" s="265"/>
      <c r="CEJ31" s="265"/>
      <c r="CEK31" s="265"/>
      <c r="CEL31" s="265"/>
      <c r="CEM31" s="265"/>
      <c r="CEN31" s="265"/>
      <c r="CEO31" s="265"/>
      <c r="CEP31" s="265"/>
      <c r="CEQ31" s="265"/>
      <c r="CER31" s="265"/>
      <c r="CES31" s="265"/>
      <c r="CET31" s="265"/>
      <c r="CEU31" s="265"/>
      <c r="CEV31" s="265"/>
      <c r="CEW31" s="265"/>
      <c r="CEX31" s="265"/>
      <c r="CEY31" s="265"/>
      <c r="CEZ31" s="265"/>
      <c r="CFA31" s="265"/>
      <c r="CFB31" s="265"/>
      <c r="CFC31" s="265"/>
      <c r="CFD31" s="265"/>
      <c r="CFE31" s="265"/>
      <c r="CFF31" s="265"/>
      <c r="CFG31" s="265"/>
      <c r="CFH31" s="265"/>
      <c r="CFI31" s="265"/>
      <c r="CFJ31" s="265"/>
      <c r="CFK31" s="265"/>
      <c r="CFL31" s="265"/>
      <c r="CFM31" s="265"/>
      <c r="CFN31" s="265"/>
      <c r="CFO31" s="265"/>
      <c r="CFP31" s="265"/>
      <c r="CFQ31" s="265"/>
      <c r="CFR31" s="265"/>
      <c r="CFS31" s="265"/>
      <c r="CFT31" s="265"/>
      <c r="CFU31" s="265"/>
      <c r="CFV31" s="265"/>
      <c r="CFW31" s="265"/>
      <c r="CFX31" s="265"/>
      <c r="CFY31" s="265"/>
      <c r="CFZ31" s="265"/>
      <c r="CGA31" s="265"/>
      <c r="CGB31" s="265"/>
      <c r="CGC31" s="265"/>
      <c r="CGD31" s="265"/>
      <c r="CGE31" s="265"/>
      <c r="CGF31" s="265"/>
      <c r="CGG31" s="265"/>
      <c r="CGH31" s="265"/>
      <c r="CGI31" s="265"/>
      <c r="CGJ31" s="265"/>
      <c r="CGK31" s="265"/>
      <c r="CGL31" s="265"/>
      <c r="CGM31" s="265"/>
      <c r="CGN31" s="265"/>
      <c r="CGO31" s="265"/>
      <c r="CGP31" s="265"/>
      <c r="CGQ31" s="265"/>
      <c r="CGR31" s="265"/>
      <c r="CGS31" s="265"/>
      <c r="CGT31" s="265"/>
      <c r="CGU31" s="265"/>
      <c r="CGV31" s="265"/>
      <c r="CGW31" s="265"/>
      <c r="CGX31" s="265"/>
      <c r="CGY31" s="265"/>
      <c r="CGZ31" s="265"/>
      <c r="CHA31" s="265"/>
      <c r="CHB31" s="265"/>
      <c r="CHC31" s="265"/>
      <c r="CHD31" s="265"/>
      <c r="CHE31" s="265"/>
      <c r="CHF31" s="265"/>
      <c r="CHG31" s="265"/>
      <c r="CHH31" s="265"/>
      <c r="CHI31" s="265"/>
      <c r="CHJ31" s="265"/>
      <c r="CHK31" s="265"/>
      <c r="CHL31" s="265"/>
      <c r="CHM31" s="265"/>
      <c r="CHN31" s="265"/>
      <c r="CHO31" s="265"/>
      <c r="CHP31" s="265"/>
      <c r="CHQ31" s="265"/>
      <c r="CHR31" s="265"/>
      <c r="CHS31" s="265"/>
      <c r="CHT31" s="265"/>
      <c r="CHU31" s="265"/>
      <c r="CHV31" s="265"/>
      <c r="CHW31" s="265"/>
      <c r="CHX31" s="265"/>
      <c r="CHY31" s="265"/>
      <c r="CHZ31" s="265"/>
      <c r="CIA31" s="265"/>
      <c r="CIB31" s="265"/>
      <c r="CIC31" s="265"/>
      <c r="CID31" s="265"/>
      <c r="CIE31" s="265"/>
      <c r="CIF31" s="265"/>
      <c r="CIG31" s="265"/>
      <c r="CIH31" s="265"/>
      <c r="CII31" s="265"/>
      <c r="CIJ31" s="265"/>
      <c r="CIK31" s="265"/>
      <c r="CIL31" s="265"/>
      <c r="CIM31" s="265"/>
      <c r="CIN31" s="265"/>
      <c r="CIO31" s="265"/>
      <c r="CIP31" s="265"/>
      <c r="CIQ31" s="265"/>
      <c r="CIR31" s="265"/>
      <c r="CIS31" s="265"/>
      <c r="CIT31" s="265"/>
      <c r="CIU31" s="265"/>
      <c r="CIV31" s="265"/>
      <c r="CIW31" s="265"/>
      <c r="CIX31" s="265"/>
      <c r="CIY31" s="265"/>
      <c r="CIZ31" s="265"/>
      <c r="CJA31" s="265"/>
      <c r="CJB31" s="265"/>
      <c r="CJC31" s="265"/>
      <c r="CJD31" s="265"/>
      <c r="CJE31" s="265"/>
      <c r="CJF31" s="265"/>
      <c r="CJG31" s="265"/>
      <c r="CJH31" s="265"/>
      <c r="CJI31" s="265"/>
      <c r="CJJ31" s="265"/>
      <c r="CJK31" s="265"/>
      <c r="CJL31" s="265"/>
      <c r="CJM31" s="265"/>
      <c r="CJN31" s="265"/>
      <c r="CJO31" s="265"/>
      <c r="CJP31" s="265"/>
      <c r="CJQ31" s="265"/>
      <c r="CJR31" s="265"/>
      <c r="CJS31" s="265"/>
      <c r="CJT31" s="265"/>
      <c r="CJU31" s="265"/>
      <c r="CJV31" s="265"/>
      <c r="CJW31" s="265"/>
      <c r="CJX31" s="265"/>
      <c r="CJY31" s="265"/>
      <c r="CJZ31" s="265"/>
      <c r="CKA31" s="265"/>
      <c r="CKB31" s="265"/>
      <c r="CKC31" s="265"/>
      <c r="CKD31" s="265"/>
      <c r="CKE31" s="265"/>
      <c r="CKF31" s="265"/>
      <c r="CKG31" s="265"/>
      <c r="CKH31" s="265"/>
      <c r="CKI31" s="265"/>
      <c r="CKJ31" s="265"/>
      <c r="CKK31" s="265"/>
      <c r="CKL31" s="265"/>
      <c r="CKM31" s="265"/>
      <c r="CKN31" s="265"/>
      <c r="CKO31" s="265"/>
      <c r="CKP31" s="265"/>
      <c r="CKQ31" s="265"/>
      <c r="CKR31" s="265"/>
      <c r="CKS31" s="265"/>
      <c r="CKT31" s="265"/>
      <c r="CKU31" s="265"/>
      <c r="CKV31" s="265"/>
      <c r="CKW31" s="265"/>
      <c r="CKX31" s="265"/>
      <c r="CKY31" s="265"/>
      <c r="CKZ31" s="265"/>
      <c r="CLA31" s="265"/>
      <c r="CLB31" s="265"/>
      <c r="CLC31" s="265"/>
      <c r="CLD31" s="265"/>
      <c r="CLE31" s="265"/>
      <c r="CLF31" s="265"/>
      <c r="CLG31" s="265"/>
      <c r="CLH31" s="265"/>
      <c r="CLI31" s="265"/>
      <c r="CLJ31" s="265"/>
      <c r="CLK31" s="265"/>
      <c r="CLL31" s="265"/>
      <c r="CLM31" s="265"/>
      <c r="CLN31" s="265"/>
      <c r="CLO31" s="265"/>
      <c r="CLP31" s="265"/>
      <c r="CLQ31" s="265"/>
      <c r="CLR31" s="265"/>
      <c r="CLS31" s="265"/>
      <c r="CLT31" s="265"/>
      <c r="CLU31" s="265"/>
      <c r="CLV31" s="265"/>
      <c r="CLW31" s="265"/>
      <c r="CLX31" s="265"/>
      <c r="CLY31" s="265"/>
      <c r="CLZ31" s="265"/>
      <c r="CMA31" s="265"/>
      <c r="CMB31" s="265"/>
      <c r="CMC31" s="265"/>
      <c r="CMD31" s="265"/>
      <c r="CME31" s="265"/>
      <c r="CMF31" s="265"/>
      <c r="CMG31" s="265"/>
      <c r="CMH31" s="265"/>
      <c r="CMI31" s="265"/>
      <c r="CMJ31" s="265"/>
      <c r="CMK31" s="265"/>
      <c r="CML31" s="265"/>
      <c r="CMM31" s="265"/>
      <c r="CMN31" s="265"/>
      <c r="CMO31" s="265"/>
      <c r="CMP31" s="265"/>
      <c r="CMQ31" s="265"/>
      <c r="CMR31" s="265"/>
      <c r="CMS31" s="265"/>
      <c r="CMT31" s="265"/>
      <c r="CMU31" s="265"/>
      <c r="CMV31" s="265"/>
      <c r="CMW31" s="265"/>
      <c r="CMX31" s="265"/>
      <c r="CMY31" s="265"/>
      <c r="CMZ31" s="265"/>
      <c r="CNA31" s="265"/>
      <c r="CNB31" s="265"/>
      <c r="CNC31" s="265"/>
      <c r="CND31" s="265"/>
      <c r="CNE31" s="265"/>
      <c r="CNF31" s="265"/>
      <c r="CNG31" s="265"/>
      <c r="CNH31" s="265"/>
      <c r="CNI31" s="265"/>
      <c r="CNJ31" s="265"/>
      <c r="CNK31" s="265"/>
      <c r="CNL31" s="265"/>
      <c r="CNM31" s="265"/>
      <c r="CNN31" s="265"/>
      <c r="CNO31" s="265"/>
      <c r="CNP31" s="265"/>
      <c r="CNQ31" s="265"/>
      <c r="CNR31" s="265"/>
      <c r="CNS31" s="265"/>
      <c r="CNT31" s="265"/>
      <c r="CNU31" s="265"/>
      <c r="CNV31" s="265"/>
      <c r="CNW31" s="265"/>
      <c r="CNX31" s="265"/>
      <c r="CNY31" s="265"/>
      <c r="CNZ31" s="265"/>
      <c r="COA31" s="265"/>
      <c r="COB31" s="265"/>
      <c r="COC31" s="265"/>
      <c r="COD31" s="265"/>
      <c r="COE31" s="265"/>
      <c r="COF31" s="265"/>
      <c r="COG31" s="265"/>
      <c r="COH31" s="265"/>
      <c r="COI31" s="265"/>
      <c r="COJ31" s="265"/>
      <c r="COK31" s="265"/>
      <c r="COL31" s="265"/>
      <c r="COM31" s="265"/>
      <c r="CON31" s="265"/>
      <c r="COO31" s="265"/>
      <c r="COP31" s="265"/>
      <c r="COQ31" s="265"/>
      <c r="COR31" s="265"/>
      <c r="COS31" s="265"/>
      <c r="COT31" s="265"/>
      <c r="COU31" s="265"/>
      <c r="COV31" s="265"/>
      <c r="COW31" s="265"/>
      <c r="COX31" s="265"/>
      <c r="COY31" s="265"/>
      <c r="COZ31" s="265"/>
      <c r="CPA31" s="265"/>
      <c r="CPB31" s="265"/>
      <c r="CPC31" s="265"/>
      <c r="CPD31" s="265"/>
      <c r="CPE31" s="265"/>
      <c r="CPF31" s="265"/>
      <c r="CPG31" s="265"/>
      <c r="CPH31" s="265"/>
      <c r="CPI31" s="265"/>
      <c r="CPJ31" s="265"/>
      <c r="CPK31" s="265"/>
      <c r="CPL31" s="265"/>
      <c r="CPM31" s="265"/>
      <c r="CPN31" s="265"/>
      <c r="CPO31" s="265"/>
      <c r="CPP31" s="265"/>
      <c r="CPQ31" s="265"/>
      <c r="CPR31" s="265"/>
      <c r="CPS31" s="265"/>
      <c r="CPT31" s="265"/>
      <c r="CPU31" s="265"/>
      <c r="CPV31" s="265"/>
      <c r="CPW31" s="265"/>
      <c r="CPX31" s="265"/>
      <c r="CPY31" s="265"/>
      <c r="CPZ31" s="265"/>
      <c r="CQA31" s="265"/>
      <c r="CQB31" s="265"/>
      <c r="CQC31" s="265"/>
      <c r="CQD31" s="265"/>
      <c r="CQE31" s="265"/>
      <c r="CQF31" s="265"/>
      <c r="CQG31" s="265"/>
      <c r="CQH31" s="265"/>
      <c r="CQI31" s="265"/>
      <c r="CQJ31" s="265"/>
      <c r="CQK31" s="265"/>
      <c r="CQL31" s="265"/>
      <c r="CQM31" s="265"/>
      <c r="CQN31" s="265"/>
      <c r="CQO31" s="265"/>
      <c r="CQP31" s="265"/>
      <c r="CQQ31" s="265"/>
      <c r="CQR31" s="265"/>
      <c r="CQS31" s="265"/>
      <c r="CQT31" s="265"/>
      <c r="CQU31" s="265"/>
      <c r="CQV31" s="265"/>
      <c r="CQW31" s="265"/>
      <c r="CQX31" s="265"/>
      <c r="CQY31" s="265"/>
      <c r="CQZ31" s="265"/>
      <c r="CRA31" s="265"/>
      <c r="CRB31" s="265"/>
      <c r="CRC31" s="265"/>
      <c r="CRD31" s="265"/>
      <c r="CRE31" s="265"/>
      <c r="CRF31" s="265"/>
      <c r="CRG31" s="265"/>
      <c r="CRH31" s="265"/>
      <c r="CRI31" s="265"/>
      <c r="CRJ31" s="265"/>
      <c r="CRK31" s="265"/>
      <c r="CRL31" s="265"/>
      <c r="CRM31" s="265"/>
      <c r="CRN31" s="265"/>
      <c r="CRO31" s="265"/>
      <c r="CRP31" s="265"/>
      <c r="CRQ31" s="265"/>
      <c r="CRR31" s="265"/>
      <c r="CRS31" s="265"/>
      <c r="CRT31" s="265"/>
      <c r="CRU31" s="265"/>
      <c r="CRV31" s="265"/>
      <c r="CRW31" s="265"/>
      <c r="CRX31" s="265"/>
      <c r="CRY31" s="265"/>
      <c r="CRZ31" s="265"/>
      <c r="CSA31" s="265"/>
      <c r="CSB31" s="265"/>
      <c r="CSC31" s="265"/>
      <c r="CSD31" s="265"/>
      <c r="CSE31" s="265"/>
      <c r="CSF31" s="265"/>
      <c r="CSG31" s="265"/>
      <c r="CSH31" s="265"/>
      <c r="CSI31" s="265"/>
      <c r="CSJ31" s="265"/>
      <c r="CSK31" s="265"/>
      <c r="CSL31" s="265"/>
      <c r="CSM31" s="265"/>
      <c r="CSN31" s="265"/>
      <c r="CSO31" s="265"/>
      <c r="CSP31" s="265"/>
      <c r="CSQ31" s="265"/>
      <c r="CSR31" s="265"/>
      <c r="CSS31" s="265"/>
      <c r="CST31" s="265"/>
      <c r="CSU31" s="265"/>
      <c r="CSV31" s="265"/>
      <c r="CSW31" s="265"/>
      <c r="CSX31" s="265"/>
      <c r="CSY31" s="265"/>
      <c r="CSZ31" s="265"/>
      <c r="CTA31" s="265"/>
      <c r="CTB31" s="265"/>
      <c r="CTC31" s="265"/>
      <c r="CTD31" s="265"/>
      <c r="CTE31" s="265"/>
      <c r="CTF31" s="265"/>
      <c r="CTG31" s="265"/>
      <c r="CTH31" s="265"/>
      <c r="CTI31" s="265"/>
      <c r="CTJ31" s="265"/>
      <c r="CTK31" s="265"/>
      <c r="CTL31" s="265"/>
      <c r="CTM31" s="265"/>
      <c r="CTN31" s="265"/>
      <c r="CTO31" s="265"/>
      <c r="CTP31" s="265"/>
      <c r="CTQ31" s="265"/>
      <c r="CTR31" s="265"/>
      <c r="CTS31" s="265"/>
      <c r="CTT31" s="265"/>
      <c r="CTU31" s="265"/>
      <c r="CTV31" s="265"/>
      <c r="CTW31" s="265"/>
      <c r="CTX31" s="265"/>
      <c r="CTY31" s="265"/>
      <c r="CTZ31" s="265"/>
      <c r="CUA31" s="265"/>
    </row>
    <row r="32" s="30" customFormat="1" ht="18" customHeight="1" spans="1:19">
      <c r="A32" s="268">
        <v>41</v>
      </c>
      <c r="B32" s="268" t="s">
        <v>13</v>
      </c>
      <c r="C32" s="268" t="s">
        <v>37</v>
      </c>
      <c r="D32" s="82" t="s">
        <v>330</v>
      </c>
      <c r="E32" s="29" t="s">
        <v>742</v>
      </c>
      <c r="F32" s="31" t="s">
        <v>755</v>
      </c>
      <c r="G32" s="31" t="s">
        <v>752</v>
      </c>
      <c r="H32" s="119" t="s">
        <v>756</v>
      </c>
      <c r="I32" s="32">
        <v>2010.1</v>
      </c>
      <c r="J32" s="119" t="s">
        <v>754</v>
      </c>
      <c r="K32" s="31" t="s">
        <v>42</v>
      </c>
      <c r="L32" s="31" t="s">
        <v>667</v>
      </c>
      <c r="M32" s="29" t="s">
        <v>674</v>
      </c>
      <c r="N32" s="94">
        <v>45574</v>
      </c>
      <c r="O32" s="94">
        <v>45938</v>
      </c>
      <c r="P32" s="29">
        <v>300</v>
      </c>
      <c r="Q32" s="85"/>
      <c r="R32" s="251"/>
      <c r="S32" s="267"/>
    </row>
    <row r="33" s="27" customFormat="1" ht="20" customHeight="1" spans="1:2575">
      <c r="A33" s="268">
        <v>42</v>
      </c>
      <c r="B33" s="268" t="s">
        <v>13</v>
      </c>
      <c r="C33" s="268" t="s">
        <v>37</v>
      </c>
      <c r="D33" s="82" t="s">
        <v>330</v>
      </c>
      <c r="E33" s="29" t="s">
        <v>742</v>
      </c>
      <c r="F33" s="31" t="s">
        <v>757</v>
      </c>
      <c r="G33" s="31" t="s">
        <v>752</v>
      </c>
      <c r="H33" s="119" t="s">
        <v>758</v>
      </c>
      <c r="I33" s="32">
        <v>2010.1</v>
      </c>
      <c r="J33" s="119" t="s">
        <v>754</v>
      </c>
      <c r="K33" s="31" t="s">
        <v>42</v>
      </c>
      <c r="L33" s="31" t="s">
        <v>667</v>
      </c>
      <c r="M33" s="29" t="s">
        <v>674</v>
      </c>
      <c r="N33" s="94">
        <v>45574</v>
      </c>
      <c r="O33" s="94">
        <v>45938</v>
      </c>
      <c r="P33" s="29">
        <v>300</v>
      </c>
      <c r="Q33" s="85"/>
      <c r="R33" s="251"/>
      <c r="S33" s="267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30"/>
      <c r="SN33" s="30"/>
      <c r="SO33" s="30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30"/>
      <c r="TK33" s="30"/>
      <c r="TL33" s="30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30"/>
      <c r="VB33" s="30"/>
      <c r="VC33" s="30"/>
      <c r="VD33" s="30"/>
      <c r="VE33" s="30"/>
      <c r="VF33" s="30"/>
      <c r="VG33" s="30"/>
      <c r="VH33" s="30"/>
      <c r="VI33" s="30"/>
      <c r="VJ33" s="30"/>
      <c r="VK33" s="30"/>
      <c r="VL33" s="30"/>
      <c r="VM33" s="30"/>
      <c r="VN33" s="30"/>
      <c r="VO33" s="30"/>
      <c r="VP33" s="30"/>
      <c r="VQ33" s="30"/>
      <c r="VR33" s="30"/>
      <c r="VS33" s="30"/>
      <c r="VT33" s="30"/>
      <c r="VU33" s="30"/>
      <c r="VV33" s="30"/>
      <c r="VW33" s="30"/>
      <c r="VX33" s="30"/>
      <c r="VY33" s="30"/>
      <c r="VZ33" s="30"/>
      <c r="WA33" s="30"/>
      <c r="WB33" s="30"/>
      <c r="WC33" s="30"/>
      <c r="WD33" s="30"/>
      <c r="WE33" s="30"/>
      <c r="WF33" s="30"/>
      <c r="WG33" s="30"/>
      <c r="WH33" s="30"/>
      <c r="WI33" s="30"/>
      <c r="WJ33" s="30"/>
      <c r="WK33" s="30"/>
      <c r="WL33" s="30"/>
      <c r="WM33" s="30"/>
      <c r="WN33" s="30"/>
      <c r="WO33" s="30"/>
      <c r="WP33" s="30"/>
      <c r="WQ33" s="30"/>
      <c r="WR33" s="30"/>
      <c r="WS33" s="30"/>
      <c r="WT33" s="30"/>
      <c r="WU33" s="30"/>
      <c r="WV33" s="30"/>
      <c r="WW33" s="30"/>
      <c r="WX33" s="30"/>
      <c r="WY33" s="30"/>
      <c r="WZ33" s="30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30"/>
      <c r="XV33" s="30"/>
      <c r="XW33" s="30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30"/>
      <c r="YI33" s="30"/>
      <c r="YJ33" s="30"/>
      <c r="YK33" s="30"/>
      <c r="YL33" s="30"/>
      <c r="YM33" s="30"/>
      <c r="YN33" s="30"/>
      <c r="YO33" s="30"/>
      <c r="YP33" s="30"/>
      <c r="YQ33" s="30"/>
      <c r="YR33" s="30"/>
      <c r="YS33" s="30"/>
      <c r="YT33" s="30"/>
      <c r="YU33" s="30"/>
      <c r="YV33" s="30"/>
      <c r="YW33" s="30"/>
      <c r="YX33" s="30"/>
      <c r="YY33" s="30"/>
      <c r="YZ33" s="30"/>
      <c r="ZA33" s="30"/>
      <c r="ZB33" s="30"/>
      <c r="ZC33" s="30"/>
      <c r="ZD33" s="30"/>
      <c r="ZE33" s="30"/>
      <c r="ZF33" s="30"/>
      <c r="ZG33" s="30"/>
      <c r="ZH33" s="30"/>
      <c r="ZI33" s="30"/>
      <c r="ZJ33" s="30"/>
      <c r="ZK33" s="30"/>
      <c r="ZL33" s="30"/>
      <c r="ZM33" s="30"/>
      <c r="ZN33" s="30"/>
      <c r="ZO33" s="30"/>
      <c r="ZP33" s="30"/>
      <c r="ZQ33" s="30"/>
      <c r="ZR33" s="30"/>
      <c r="ZS33" s="30"/>
      <c r="ZT33" s="30"/>
      <c r="ZU33" s="30"/>
      <c r="ZV33" s="30"/>
      <c r="ZW33" s="30"/>
      <c r="ZX33" s="30"/>
      <c r="ZY33" s="30"/>
      <c r="ZZ33" s="30"/>
      <c r="AAA33" s="30"/>
      <c r="AAB33" s="30"/>
      <c r="AAC33" s="30"/>
      <c r="AAD33" s="30"/>
      <c r="AAE33" s="30"/>
      <c r="AAF33" s="30"/>
      <c r="AAG33" s="30"/>
      <c r="AAH33" s="30"/>
      <c r="AAI33" s="30"/>
      <c r="AAJ33" s="30"/>
      <c r="AAK33" s="30"/>
      <c r="AAL33" s="30"/>
      <c r="AAM33" s="30"/>
      <c r="AAN33" s="30"/>
      <c r="AAO33" s="30"/>
      <c r="AAP33" s="30"/>
      <c r="AAQ33" s="30"/>
      <c r="AAR33" s="30"/>
      <c r="AAS33" s="30"/>
      <c r="AAT33" s="30"/>
      <c r="AAU33" s="30"/>
      <c r="AAV33" s="30"/>
      <c r="AAW33" s="30"/>
      <c r="AAX33" s="30"/>
      <c r="AAY33" s="30"/>
      <c r="AAZ33" s="30"/>
      <c r="ABA33" s="30"/>
      <c r="ABB33" s="30"/>
      <c r="ABC33" s="30"/>
      <c r="ABD33" s="30"/>
      <c r="ABE33" s="30"/>
      <c r="ABF33" s="30"/>
      <c r="ABG33" s="30"/>
      <c r="ABH33" s="30"/>
      <c r="ABI33" s="30"/>
      <c r="ABJ33" s="30"/>
      <c r="ABK33" s="30"/>
      <c r="ABL33" s="30"/>
      <c r="ABM33" s="30"/>
      <c r="ABN33" s="30"/>
      <c r="ABO33" s="30"/>
      <c r="ABP33" s="30"/>
      <c r="ABQ33" s="30"/>
      <c r="ABR33" s="30"/>
      <c r="ABS33" s="30"/>
      <c r="ABT33" s="30"/>
      <c r="ABU33" s="30"/>
      <c r="ABV33" s="30"/>
      <c r="ABW33" s="30"/>
      <c r="ABX33" s="30"/>
      <c r="ABY33" s="30"/>
      <c r="ABZ33" s="30"/>
      <c r="ACA33" s="30"/>
      <c r="ACB33" s="30"/>
      <c r="ACC33" s="30"/>
      <c r="ACD33" s="30"/>
      <c r="ACE33" s="30"/>
      <c r="ACF33" s="30"/>
      <c r="ACG33" s="30"/>
      <c r="ACH33" s="30"/>
      <c r="ACI33" s="30"/>
      <c r="ACJ33" s="30"/>
      <c r="ACK33" s="30"/>
      <c r="ACL33" s="30"/>
      <c r="ACM33" s="30"/>
      <c r="ACN33" s="30"/>
      <c r="ACO33" s="30"/>
      <c r="ACP33" s="30"/>
      <c r="ACQ33" s="30"/>
      <c r="ACR33" s="30"/>
      <c r="ACS33" s="30"/>
      <c r="ACT33" s="30"/>
      <c r="ACU33" s="30"/>
      <c r="ACV33" s="30"/>
      <c r="ACW33" s="30"/>
      <c r="ACX33" s="30"/>
      <c r="ACY33" s="30"/>
      <c r="ACZ33" s="30"/>
      <c r="ADA33" s="30"/>
      <c r="ADB33" s="30"/>
      <c r="ADC33" s="30"/>
      <c r="ADD33" s="30"/>
      <c r="ADE33" s="30"/>
      <c r="ADF33" s="30"/>
      <c r="ADG33" s="30"/>
      <c r="ADH33" s="30"/>
      <c r="ADI33" s="30"/>
      <c r="ADJ33" s="30"/>
      <c r="ADK33" s="30"/>
      <c r="ADL33" s="30"/>
      <c r="ADM33" s="30"/>
      <c r="ADN33" s="30"/>
      <c r="ADO33" s="30"/>
      <c r="ADP33" s="30"/>
      <c r="ADQ33" s="30"/>
      <c r="ADR33" s="30"/>
      <c r="ADS33" s="30"/>
      <c r="ADT33" s="30"/>
      <c r="ADU33" s="30"/>
      <c r="ADV33" s="30"/>
      <c r="ADW33" s="30"/>
      <c r="ADX33" s="30"/>
      <c r="ADY33" s="30"/>
      <c r="ADZ33" s="30"/>
      <c r="AEA33" s="30"/>
      <c r="AEB33" s="30"/>
      <c r="AEC33" s="30"/>
      <c r="AED33" s="30"/>
      <c r="AEE33" s="30"/>
      <c r="AEF33" s="30"/>
      <c r="AEG33" s="30"/>
      <c r="AEH33" s="30"/>
      <c r="AEI33" s="30"/>
      <c r="AEJ33" s="30"/>
      <c r="AEK33" s="30"/>
      <c r="AEL33" s="30"/>
      <c r="AEM33" s="30"/>
      <c r="AEN33" s="30"/>
      <c r="AEO33" s="30"/>
      <c r="AEP33" s="30"/>
      <c r="AEQ33" s="30"/>
      <c r="AER33" s="30"/>
      <c r="AES33" s="30"/>
      <c r="AET33" s="30"/>
      <c r="AEU33" s="30"/>
      <c r="AEV33" s="30"/>
      <c r="AEW33" s="30"/>
      <c r="AEX33" s="30"/>
      <c r="AEY33" s="30"/>
      <c r="AEZ33" s="30"/>
      <c r="AFA33" s="30"/>
      <c r="AFB33" s="30"/>
      <c r="AFC33" s="30"/>
      <c r="AFD33" s="30"/>
      <c r="AFE33" s="30"/>
      <c r="AFF33" s="30"/>
      <c r="AFG33" s="30"/>
      <c r="AFH33" s="30"/>
      <c r="AFI33" s="30"/>
      <c r="AFJ33" s="30"/>
      <c r="AFK33" s="30"/>
      <c r="AFL33" s="30"/>
      <c r="AFM33" s="30"/>
      <c r="AFN33" s="30"/>
      <c r="AFO33" s="30"/>
      <c r="AFP33" s="30"/>
      <c r="AFQ33" s="30"/>
      <c r="AFR33" s="30"/>
      <c r="AFS33" s="30"/>
      <c r="AFT33" s="30"/>
      <c r="AFU33" s="30"/>
      <c r="AFV33" s="30"/>
      <c r="AFW33" s="30"/>
      <c r="AFX33" s="30"/>
      <c r="AFY33" s="30"/>
      <c r="AFZ33" s="30"/>
      <c r="AGA33" s="30"/>
      <c r="AGB33" s="30"/>
      <c r="AGC33" s="30"/>
      <c r="AGD33" s="30"/>
      <c r="AGE33" s="30"/>
      <c r="AGF33" s="30"/>
      <c r="AGG33" s="30"/>
      <c r="AGH33" s="30"/>
      <c r="AGI33" s="30"/>
      <c r="AGJ33" s="30"/>
      <c r="AGK33" s="30"/>
      <c r="AGL33" s="30"/>
      <c r="AGM33" s="30"/>
      <c r="AGN33" s="30"/>
      <c r="AGO33" s="30"/>
      <c r="AGP33" s="30"/>
      <c r="AGQ33" s="30"/>
      <c r="AGR33" s="30"/>
      <c r="AGS33" s="30"/>
      <c r="AGT33" s="30"/>
      <c r="AGU33" s="30"/>
      <c r="AGV33" s="30"/>
      <c r="AGW33" s="30"/>
      <c r="AGX33" s="30"/>
      <c r="AGY33" s="30"/>
      <c r="AGZ33" s="30"/>
      <c r="AHA33" s="30"/>
      <c r="AHB33" s="30"/>
      <c r="AHC33" s="30"/>
      <c r="AHD33" s="30"/>
      <c r="AHE33" s="30"/>
      <c r="AHF33" s="30"/>
      <c r="AHG33" s="30"/>
      <c r="AHH33" s="30"/>
      <c r="AHI33" s="30"/>
      <c r="AHJ33" s="30"/>
      <c r="AHK33" s="30"/>
      <c r="AHL33" s="30"/>
      <c r="AHM33" s="30"/>
      <c r="AHN33" s="30"/>
      <c r="AHO33" s="30"/>
      <c r="AHP33" s="30"/>
      <c r="AHQ33" s="30"/>
      <c r="AHR33" s="30"/>
      <c r="AHS33" s="30"/>
      <c r="AHT33" s="30"/>
      <c r="AHU33" s="30"/>
      <c r="AHV33" s="30"/>
      <c r="AHW33" s="30"/>
      <c r="AHX33" s="30"/>
      <c r="AHY33" s="30"/>
      <c r="AHZ33" s="30"/>
      <c r="AIA33" s="30"/>
      <c r="AIB33" s="30"/>
      <c r="AIC33" s="30"/>
      <c r="AID33" s="30"/>
      <c r="AIE33" s="30"/>
      <c r="AIF33" s="30"/>
      <c r="AIG33" s="30"/>
      <c r="AIH33" s="30"/>
      <c r="AII33" s="30"/>
      <c r="AIJ33" s="30"/>
      <c r="AIK33" s="30"/>
      <c r="AIL33" s="30"/>
      <c r="AIM33" s="30"/>
      <c r="AIN33" s="30"/>
      <c r="AIO33" s="30"/>
      <c r="AIP33" s="30"/>
      <c r="AIQ33" s="30"/>
      <c r="AIR33" s="30"/>
      <c r="AIS33" s="30"/>
      <c r="AIT33" s="30"/>
      <c r="AIU33" s="30"/>
      <c r="AIV33" s="30"/>
      <c r="AIW33" s="30"/>
      <c r="AIX33" s="30"/>
      <c r="AIY33" s="30"/>
      <c r="AIZ33" s="30"/>
      <c r="AJA33" s="30"/>
      <c r="AJB33" s="30"/>
      <c r="AJC33" s="30"/>
      <c r="AJD33" s="30"/>
      <c r="AJE33" s="30"/>
      <c r="AJF33" s="30"/>
      <c r="AJG33" s="30"/>
      <c r="AJH33" s="30"/>
      <c r="AJI33" s="30"/>
      <c r="AJJ33" s="30"/>
      <c r="AJK33" s="30"/>
      <c r="AJL33" s="30"/>
      <c r="AJM33" s="30"/>
      <c r="AJN33" s="30"/>
      <c r="AJO33" s="30"/>
      <c r="AJP33" s="30"/>
      <c r="AJQ33" s="30"/>
      <c r="AJR33" s="30"/>
      <c r="AJS33" s="30"/>
      <c r="AJT33" s="30"/>
      <c r="AJU33" s="30"/>
      <c r="AJV33" s="30"/>
      <c r="AJW33" s="30"/>
      <c r="AJX33" s="30"/>
      <c r="AJY33" s="30"/>
      <c r="AJZ33" s="30"/>
      <c r="AKA33" s="30"/>
      <c r="AKB33" s="30"/>
      <c r="AKC33" s="30"/>
      <c r="AKD33" s="30"/>
      <c r="AKE33" s="30"/>
      <c r="AKF33" s="30"/>
      <c r="AKG33" s="30"/>
      <c r="AKH33" s="30"/>
      <c r="AKI33" s="30"/>
      <c r="AKJ33" s="30"/>
      <c r="AKK33" s="30"/>
      <c r="AKL33" s="30"/>
      <c r="AKM33" s="30"/>
      <c r="AKN33" s="30"/>
      <c r="AKO33" s="30"/>
      <c r="AKP33" s="30"/>
      <c r="AKQ33" s="30"/>
      <c r="AKR33" s="30"/>
      <c r="AKS33" s="30"/>
      <c r="AKT33" s="30"/>
      <c r="AKU33" s="30"/>
      <c r="AKV33" s="30"/>
      <c r="AKW33" s="30"/>
      <c r="AKX33" s="30"/>
      <c r="AKY33" s="30"/>
      <c r="AKZ33" s="30"/>
      <c r="ALA33" s="30"/>
      <c r="ALB33" s="30"/>
      <c r="ALC33" s="30"/>
      <c r="ALD33" s="30"/>
      <c r="ALE33" s="30"/>
      <c r="ALF33" s="30"/>
      <c r="ALG33" s="30"/>
      <c r="ALH33" s="30"/>
      <c r="ALI33" s="30"/>
      <c r="ALJ33" s="30"/>
      <c r="ALK33" s="30"/>
      <c r="ALL33" s="30"/>
      <c r="ALM33" s="30"/>
      <c r="ALN33" s="30"/>
      <c r="ALO33" s="30"/>
      <c r="ALP33" s="30"/>
      <c r="ALQ33" s="30"/>
      <c r="ALR33" s="30"/>
      <c r="ALS33" s="30"/>
      <c r="ALT33" s="30"/>
      <c r="ALU33" s="30"/>
      <c r="ALV33" s="30"/>
      <c r="ALW33" s="30"/>
      <c r="ALX33" s="30"/>
      <c r="ALY33" s="30"/>
      <c r="ALZ33" s="30"/>
      <c r="AMA33" s="30"/>
      <c r="AMB33" s="30"/>
      <c r="AMC33" s="30"/>
      <c r="AMD33" s="30"/>
      <c r="AME33" s="30"/>
      <c r="AMF33" s="30"/>
      <c r="AMG33" s="30"/>
      <c r="AMH33" s="30"/>
      <c r="AMI33" s="30"/>
      <c r="AMJ33" s="30"/>
      <c r="AMK33" s="30"/>
      <c r="AML33" s="30"/>
      <c r="AMM33" s="30"/>
      <c r="AMN33" s="30"/>
      <c r="AMO33" s="30"/>
      <c r="AMP33" s="30"/>
      <c r="AMQ33" s="30"/>
      <c r="AMR33" s="30"/>
      <c r="AMS33" s="30"/>
      <c r="AMT33" s="30"/>
      <c r="AMU33" s="30"/>
      <c r="AMV33" s="30"/>
      <c r="AMW33" s="30"/>
      <c r="AMX33" s="30"/>
      <c r="AMY33" s="30"/>
      <c r="AMZ33" s="30"/>
      <c r="ANA33" s="30"/>
      <c r="ANB33" s="30"/>
      <c r="ANC33" s="30"/>
      <c r="AND33" s="30"/>
      <c r="ANE33" s="30"/>
      <c r="ANF33" s="30"/>
      <c r="ANG33" s="30"/>
      <c r="ANH33" s="30"/>
      <c r="ANI33" s="30"/>
      <c r="ANJ33" s="30"/>
      <c r="ANK33" s="30"/>
      <c r="ANL33" s="30"/>
      <c r="ANM33" s="30"/>
      <c r="ANN33" s="30"/>
      <c r="ANO33" s="30"/>
      <c r="ANP33" s="30"/>
      <c r="ANQ33" s="30"/>
      <c r="ANR33" s="30"/>
      <c r="ANS33" s="30"/>
      <c r="ANT33" s="30"/>
      <c r="ANU33" s="30"/>
      <c r="ANV33" s="30"/>
      <c r="ANW33" s="30"/>
      <c r="ANX33" s="30"/>
      <c r="ANY33" s="30"/>
      <c r="ANZ33" s="30"/>
      <c r="AOA33" s="30"/>
      <c r="AOB33" s="30"/>
      <c r="AOC33" s="30"/>
      <c r="AOD33" s="30"/>
      <c r="AOE33" s="30"/>
      <c r="AOF33" s="30"/>
      <c r="AOG33" s="30"/>
      <c r="AOH33" s="30"/>
      <c r="AOI33" s="30"/>
      <c r="AOJ33" s="30"/>
      <c r="AOK33" s="30"/>
      <c r="AOL33" s="30"/>
      <c r="AOM33" s="30"/>
      <c r="AON33" s="30"/>
      <c r="AOO33" s="30"/>
      <c r="AOP33" s="30"/>
      <c r="AOQ33" s="30"/>
      <c r="AOR33" s="30"/>
      <c r="AOS33" s="30"/>
      <c r="AOT33" s="30"/>
      <c r="AOU33" s="30"/>
      <c r="AOV33" s="30"/>
      <c r="AOW33" s="30"/>
      <c r="AOX33" s="30"/>
      <c r="AOY33" s="30"/>
      <c r="AOZ33" s="30"/>
      <c r="APA33" s="30"/>
      <c r="APB33" s="30"/>
      <c r="APC33" s="30"/>
      <c r="APD33" s="30"/>
      <c r="APE33" s="30"/>
      <c r="APF33" s="30"/>
      <c r="APG33" s="30"/>
      <c r="APH33" s="30"/>
      <c r="API33" s="30"/>
      <c r="APJ33" s="30"/>
      <c r="APK33" s="30"/>
      <c r="APL33" s="30"/>
      <c r="APM33" s="30"/>
      <c r="APN33" s="30"/>
      <c r="APO33" s="30"/>
      <c r="APP33" s="30"/>
      <c r="APQ33" s="30"/>
      <c r="APR33" s="30"/>
      <c r="APS33" s="30"/>
      <c r="APT33" s="30"/>
      <c r="APU33" s="30"/>
      <c r="APV33" s="30"/>
      <c r="APW33" s="30"/>
      <c r="APX33" s="30"/>
      <c r="APY33" s="30"/>
      <c r="APZ33" s="30"/>
      <c r="AQA33" s="30"/>
      <c r="AQB33" s="30"/>
      <c r="AQC33" s="30"/>
      <c r="AQD33" s="30"/>
      <c r="AQE33" s="30"/>
      <c r="AQF33" s="30"/>
      <c r="AQG33" s="30"/>
      <c r="AQH33" s="30"/>
      <c r="AQI33" s="30"/>
      <c r="AQJ33" s="30"/>
      <c r="AQK33" s="30"/>
      <c r="AQL33" s="30"/>
      <c r="AQM33" s="30"/>
      <c r="AQN33" s="30"/>
      <c r="AQO33" s="30"/>
      <c r="AQP33" s="30"/>
      <c r="AQQ33" s="30"/>
      <c r="AQR33" s="30"/>
      <c r="AQS33" s="30"/>
      <c r="AQT33" s="30"/>
      <c r="AQU33" s="30"/>
      <c r="AQV33" s="30"/>
      <c r="AQW33" s="30"/>
      <c r="AQX33" s="30"/>
      <c r="AQY33" s="30"/>
      <c r="AQZ33" s="30"/>
      <c r="ARA33" s="30"/>
      <c r="ARB33" s="30"/>
      <c r="ARC33" s="30"/>
      <c r="ARD33" s="30"/>
      <c r="ARE33" s="30"/>
      <c r="ARF33" s="30"/>
      <c r="ARG33" s="30"/>
      <c r="ARH33" s="30"/>
      <c r="ARI33" s="30"/>
      <c r="ARJ33" s="30"/>
      <c r="ARK33" s="30"/>
      <c r="ARL33" s="30"/>
      <c r="ARM33" s="30"/>
      <c r="ARN33" s="30"/>
      <c r="ARO33" s="30"/>
      <c r="ARP33" s="30"/>
      <c r="ARQ33" s="30"/>
      <c r="ARR33" s="30"/>
      <c r="ARS33" s="30"/>
      <c r="ART33" s="30"/>
      <c r="ARU33" s="30"/>
      <c r="ARV33" s="30"/>
      <c r="ARW33" s="30"/>
      <c r="ARX33" s="30"/>
      <c r="ARY33" s="30"/>
      <c r="ARZ33" s="30"/>
      <c r="ASA33" s="30"/>
      <c r="ASB33" s="30"/>
      <c r="ASC33" s="30"/>
      <c r="ASD33" s="30"/>
      <c r="ASE33" s="30"/>
      <c r="ASF33" s="30"/>
      <c r="ASG33" s="30"/>
      <c r="ASH33" s="30"/>
      <c r="ASI33" s="30"/>
      <c r="ASJ33" s="30"/>
      <c r="ASK33" s="30"/>
      <c r="ASL33" s="30"/>
      <c r="ASM33" s="30"/>
      <c r="ASN33" s="30"/>
      <c r="ASO33" s="30"/>
      <c r="ASP33" s="30"/>
      <c r="ASQ33" s="30"/>
      <c r="ASR33" s="30"/>
      <c r="ASS33" s="30"/>
      <c r="AST33" s="30"/>
      <c r="ASU33" s="30"/>
      <c r="ASV33" s="30"/>
      <c r="ASW33" s="30"/>
      <c r="ASX33" s="30"/>
      <c r="ASY33" s="30"/>
      <c r="ASZ33" s="30"/>
      <c r="ATA33" s="30"/>
      <c r="ATB33" s="30"/>
      <c r="ATC33" s="30"/>
      <c r="ATD33" s="30"/>
      <c r="ATE33" s="30"/>
      <c r="ATF33" s="30"/>
      <c r="ATG33" s="30"/>
      <c r="ATH33" s="30"/>
      <c r="ATI33" s="30"/>
      <c r="ATJ33" s="30"/>
      <c r="ATK33" s="30"/>
      <c r="ATL33" s="30"/>
      <c r="ATM33" s="30"/>
      <c r="ATN33" s="30"/>
      <c r="ATO33" s="30"/>
      <c r="ATP33" s="30"/>
      <c r="ATQ33" s="30"/>
      <c r="ATR33" s="30"/>
      <c r="ATS33" s="30"/>
      <c r="ATT33" s="30"/>
      <c r="ATU33" s="30"/>
      <c r="ATV33" s="30"/>
      <c r="ATW33" s="30"/>
      <c r="ATX33" s="30"/>
      <c r="ATY33" s="30"/>
      <c r="ATZ33" s="30"/>
      <c r="AUA33" s="30"/>
      <c r="AUB33" s="30"/>
      <c r="AUC33" s="30"/>
      <c r="AUD33" s="30"/>
      <c r="AUE33" s="30"/>
      <c r="AUF33" s="30"/>
      <c r="AUG33" s="30"/>
      <c r="AUH33" s="30"/>
      <c r="AUI33" s="30"/>
      <c r="AUJ33" s="30"/>
      <c r="AUK33" s="30"/>
      <c r="AUL33" s="30"/>
      <c r="AUM33" s="30"/>
      <c r="AUN33" s="30"/>
      <c r="AUO33" s="30"/>
      <c r="AUP33" s="30"/>
      <c r="AUQ33" s="30"/>
      <c r="AUR33" s="30"/>
      <c r="AUS33" s="30"/>
      <c r="AUT33" s="30"/>
      <c r="AUU33" s="30"/>
      <c r="AUV33" s="30"/>
      <c r="AUW33" s="30"/>
      <c r="AUX33" s="30"/>
      <c r="AUY33" s="30"/>
      <c r="AUZ33" s="30"/>
      <c r="AVA33" s="30"/>
      <c r="AVB33" s="30"/>
      <c r="AVC33" s="30"/>
      <c r="AVD33" s="30"/>
      <c r="AVE33" s="30"/>
      <c r="AVF33" s="30"/>
      <c r="AVG33" s="30"/>
      <c r="AVH33" s="30"/>
      <c r="AVI33" s="30"/>
      <c r="AVJ33" s="30"/>
      <c r="AVK33" s="30"/>
      <c r="AVL33" s="30"/>
      <c r="AVM33" s="30"/>
      <c r="AVN33" s="30"/>
      <c r="AVO33" s="30"/>
      <c r="AVP33" s="30"/>
      <c r="AVQ33" s="30"/>
      <c r="AVR33" s="30"/>
      <c r="AVS33" s="30"/>
      <c r="AVT33" s="30"/>
      <c r="AVU33" s="30"/>
      <c r="AVV33" s="30"/>
      <c r="AVW33" s="30"/>
      <c r="AVX33" s="30"/>
      <c r="AVY33" s="30"/>
      <c r="AVZ33" s="30"/>
      <c r="AWA33" s="30"/>
      <c r="AWB33" s="30"/>
      <c r="AWC33" s="30"/>
      <c r="AWD33" s="30"/>
      <c r="AWE33" s="30"/>
      <c r="AWF33" s="30"/>
      <c r="AWG33" s="30"/>
      <c r="AWH33" s="30"/>
      <c r="AWI33" s="30"/>
      <c r="AWJ33" s="30"/>
      <c r="AWK33" s="30"/>
      <c r="AWL33" s="30"/>
      <c r="AWM33" s="30"/>
      <c r="AWN33" s="30"/>
      <c r="AWO33" s="30"/>
      <c r="AWP33" s="30"/>
      <c r="AWQ33" s="30"/>
      <c r="AWR33" s="30"/>
      <c r="AWS33" s="30"/>
      <c r="AWT33" s="30"/>
      <c r="AWU33" s="30"/>
      <c r="AWV33" s="30"/>
      <c r="AWW33" s="30"/>
      <c r="AWX33" s="30"/>
      <c r="AWY33" s="30"/>
      <c r="AWZ33" s="30"/>
      <c r="AXA33" s="30"/>
      <c r="AXB33" s="30"/>
      <c r="AXC33" s="30"/>
      <c r="AXD33" s="30"/>
      <c r="AXE33" s="30"/>
      <c r="AXF33" s="30"/>
      <c r="AXG33" s="30"/>
      <c r="AXH33" s="30"/>
      <c r="AXI33" s="30"/>
      <c r="AXJ33" s="30"/>
      <c r="AXK33" s="30"/>
      <c r="AXL33" s="30"/>
      <c r="AXM33" s="30"/>
      <c r="AXN33" s="30"/>
      <c r="AXO33" s="30"/>
      <c r="AXP33" s="30"/>
      <c r="AXQ33" s="30"/>
      <c r="AXR33" s="30"/>
      <c r="AXS33" s="30"/>
      <c r="AXT33" s="30"/>
      <c r="AXU33" s="30"/>
      <c r="AXV33" s="30"/>
      <c r="AXW33" s="30"/>
      <c r="AXX33" s="30"/>
      <c r="AXY33" s="30"/>
      <c r="AXZ33" s="30"/>
      <c r="AYA33" s="30"/>
      <c r="AYB33" s="30"/>
      <c r="AYC33" s="30"/>
      <c r="AYD33" s="30"/>
      <c r="AYE33" s="30"/>
      <c r="AYF33" s="30"/>
      <c r="AYG33" s="30"/>
      <c r="AYH33" s="30"/>
      <c r="AYI33" s="30"/>
      <c r="AYJ33" s="30"/>
      <c r="AYK33" s="30"/>
      <c r="AYL33" s="30"/>
      <c r="AYM33" s="30"/>
      <c r="AYN33" s="30"/>
      <c r="AYO33" s="30"/>
      <c r="AYP33" s="30"/>
      <c r="AYQ33" s="30"/>
      <c r="AYR33" s="30"/>
      <c r="AYS33" s="30"/>
      <c r="AYT33" s="30"/>
      <c r="AYU33" s="30"/>
      <c r="AYV33" s="30"/>
      <c r="AYW33" s="30"/>
      <c r="AYX33" s="30"/>
      <c r="AYY33" s="30"/>
      <c r="AYZ33" s="30"/>
      <c r="AZA33" s="30"/>
      <c r="AZB33" s="30"/>
      <c r="AZC33" s="30"/>
      <c r="AZD33" s="30"/>
      <c r="AZE33" s="30"/>
      <c r="AZF33" s="30"/>
      <c r="AZG33" s="30"/>
      <c r="AZH33" s="30"/>
      <c r="AZI33" s="30"/>
      <c r="AZJ33" s="30"/>
      <c r="AZK33" s="30"/>
      <c r="AZL33" s="30"/>
      <c r="AZM33" s="30"/>
      <c r="AZN33" s="30"/>
      <c r="AZO33" s="30"/>
      <c r="AZP33" s="30"/>
      <c r="AZQ33" s="30"/>
      <c r="AZR33" s="30"/>
      <c r="AZS33" s="30"/>
      <c r="AZT33" s="30"/>
      <c r="AZU33" s="30"/>
      <c r="AZV33" s="30"/>
      <c r="AZW33" s="30"/>
      <c r="AZX33" s="30"/>
      <c r="AZY33" s="30"/>
      <c r="AZZ33" s="30"/>
      <c r="BAA33" s="30"/>
      <c r="BAB33" s="30"/>
      <c r="BAC33" s="30"/>
      <c r="BAD33" s="30"/>
      <c r="BAE33" s="30"/>
      <c r="BAF33" s="30"/>
      <c r="BAG33" s="30"/>
      <c r="BAH33" s="30"/>
      <c r="BAI33" s="30"/>
      <c r="BAJ33" s="30"/>
      <c r="BAK33" s="30"/>
      <c r="BAL33" s="30"/>
      <c r="BAM33" s="30"/>
      <c r="BAN33" s="30"/>
      <c r="BAO33" s="30"/>
      <c r="BAP33" s="30"/>
      <c r="BAQ33" s="30"/>
      <c r="BAR33" s="30"/>
      <c r="BAS33" s="30"/>
      <c r="BAT33" s="30"/>
      <c r="BAU33" s="30"/>
      <c r="BAV33" s="30"/>
      <c r="BAW33" s="30"/>
      <c r="BAX33" s="30"/>
      <c r="BAY33" s="30"/>
      <c r="BAZ33" s="30"/>
      <c r="BBA33" s="30"/>
      <c r="BBB33" s="30"/>
      <c r="BBC33" s="30"/>
      <c r="BBD33" s="30"/>
      <c r="BBE33" s="30"/>
      <c r="BBF33" s="30"/>
      <c r="BBG33" s="30"/>
      <c r="BBH33" s="30"/>
      <c r="BBI33" s="30"/>
      <c r="BBJ33" s="30"/>
      <c r="BBK33" s="30"/>
      <c r="BBL33" s="30"/>
      <c r="BBM33" s="30"/>
      <c r="BBN33" s="30"/>
      <c r="BBO33" s="30"/>
      <c r="BBP33" s="30"/>
      <c r="BBQ33" s="30"/>
      <c r="BBR33" s="30"/>
      <c r="BBS33" s="30"/>
      <c r="BBT33" s="30"/>
      <c r="BBU33" s="30"/>
      <c r="BBV33" s="30"/>
      <c r="BBW33" s="30"/>
      <c r="BBX33" s="30"/>
      <c r="BBY33" s="30"/>
      <c r="BBZ33" s="30"/>
      <c r="BCA33" s="30"/>
      <c r="BCB33" s="30"/>
      <c r="BCC33" s="30"/>
      <c r="BCD33" s="30"/>
      <c r="BCE33" s="30"/>
      <c r="BCF33" s="30"/>
      <c r="BCG33" s="30"/>
      <c r="BCH33" s="30"/>
      <c r="BCI33" s="30"/>
      <c r="BCJ33" s="30"/>
      <c r="BCK33" s="30"/>
      <c r="BCL33" s="30"/>
      <c r="BCM33" s="30"/>
      <c r="BCN33" s="30"/>
      <c r="BCO33" s="30"/>
      <c r="BCP33" s="30"/>
      <c r="BCQ33" s="30"/>
      <c r="BCR33" s="30"/>
      <c r="BCS33" s="30"/>
      <c r="BCT33" s="30"/>
      <c r="BCU33" s="30"/>
      <c r="BCV33" s="30"/>
      <c r="BCW33" s="30"/>
      <c r="BCX33" s="30"/>
      <c r="BCY33" s="30"/>
      <c r="BCZ33" s="30"/>
      <c r="BDA33" s="30"/>
      <c r="BDB33" s="30"/>
      <c r="BDC33" s="30"/>
      <c r="BDD33" s="30"/>
      <c r="BDE33" s="30"/>
      <c r="BDF33" s="30"/>
      <c r="BDG33" s="30"/>
      <c r="BDH33" s="30"/>
      <c r="BDI33" s="30"/>
      <c r="BDJ33" s="30"/>
      <c r="BDK33" s="30"/>
      <c r="BDL33" s="30"/>
      <c r="BDM33" s="30"/>
      <c r="BDN33" s="30"/>
      <c r="BDO33" s="30"/>
      <c r="BDP33" s="30"/>
      <c r="BDQ33" s="30"/>
      <c r="BDR33" s="30"/>
      <c r="BDS33" s="30"/>
      <c r="BDT33" s="30"/>
      <c r="BDU33" s="30"/>
      <c r="BDV33" s="30"/>
      <c r="BDW33" s="30"/>
      <c r="BDX33" s="30"/>
      <c r="BDY33" s="30"/>
      <c r="BDZ33" s="30"/>
      <c r="BEA33" s="30"/>
      <c r="BEB33" s="30"/>
      <c r="BEC33" s="30"/>
      <c r="BED33" s="30"/>
      <c r="BEE33" s="30"/>
      <c r="BEF33" s="30"/>
      <c r="BEG33" s="30"/>
      <c r="BEH33" s="30"/>
      <c r="BEI33" s="30"/>
      <c r="BEJ33" s="30"/>
      <c r="BEK33" s="30"/>
      <c r="BEL33" s="30"/>
      <c r="BEM33" s="30"/>
      <c r="BEN33" s="30"/>
      <c r="BEO33" s="30"/>
      <c r="BEP33" s="30"/>
      <c r="BEQ33" s="30"/>
      <c r="BER33" s="30"/>
      <c r="BES33" s="30"/>
      <c r="BET33" s="30"/>
      <c r="BEU33" s="30"/>
      <c r="BEV33" s="30"/>
      <c r="BEW33" s="30"/>
      <c r="BEX33" s="30"/>
      <c r="BEY33" s="30"/>
      <c r="BEZ33" s="30"/>
      <c r="BFA33" s="30"/>
      <c r="BFB33" s="30"/>
      <c r="BFC33" s="30"/>
      <c r="BFD33" s="30"/>
      <c r="BFE33" s="30"/>
      <c r="BFF33" s="30"/>
      <c r="BFG33" s="30"/>
      <c r="BFH33" s="30"/>
      <c r="BFI33" s="30"/>
      <c r="BFJ33" s="30"/>
      <c r="BFK33" s="30"/>
      <c r="BFL33" s="30"/>
      <c r="BFM33" s="30"/>
      <c r="BFN33" s="30"/>
      <c r="BFO33" s="30"/>
      <c r="BFP33" s="30"/>
      <c r="BFQ33" s="30"/>
      <c r="BFR33" s="30"/>
      <c r="BFS33" s="30"/>
      <c r="BFT33" s="30"/>
      <c r="BFU33" s="30"/>
      <c r="BFV33" s="30"/>
      <c r="BFW33" s="30"/>
      <c r="BFX33" s="30"/>
      <c r="BFY33" s="30"/>
      <c r="BFZ33" s="30"/>
      <c r="BGA33" s="30"/>
      <c r="BGB33" s="30"/>
      <c r="BGC33" s="30"/>
      <c r="BGD33" s="30"/>
      <c r="BGE33" s="30"/>
      <c r="BGF33" s="30"/>
      <c r="BGG33" s="30"/>
      <c r="BGH33" s="30"/>
      <c r="BGI33" s="30"/>
      <c r="BGJ33" s="30"/>
      <c r="BGK33" s="30"/>
      <c r="BGL33" s="30"/>
      <c r="BGM33" s="30"/>
      <c r="BGN33" s="30"/>
      <c r="BGO33" s="30"/>
      <c r="BGP33" s="30"/>
      <c r="BGQ33" s="30"/>
      <c r="BGR33" s="30"/>
      <c r="BGS33" s="30"/>
      <c r="BGT33" s="30"/>
      <c r="BGU33" s="30"/>
      <c r="BGV33" s="30"/>
      <c r="BGW33" s="30"/>
      <c r="BGX33" s="30"/>
      <c r="BGY33" s="30"/>
      <c r="BGZ33" s="30"/>
      <c r="BHA33" s="30"/>
      <c r="BHB33" s="30"/>
      <c r="BHC33" s="30"/>
      <c r="BHD33" s="30"/>
      <c r="BHE33" s="30"/>
      <c r="BHF33" s="30"/>
      <c r="BHG33" s="30"/>
      <c r="BHH33" s="30"/>
      <c r="BHI33" s="30"/>
      <c r="BHJ33" s="30"/>
      <c r="BHK33" s="30"/>
      <c r="BHL33" s="30"/>
      <c r="BHM33" s="30"/>
      <c r="BHN33" s="30"/>
      <c r="BHO33" s="30"/>
      <c r="BHP33" s="30"/>
      <c r="BHQ33" s="30"/>
      <c r="BHR33" s="30"/>
      <c r="BHS33" s="30"/>
      <c r="BHT33" s="30"/>
      <c r="BHU33" s="30"/>
      <c r="BHV33" s="30"/>
      <c r="BHW33" s="30"/>
      <c r="BHX33" s="30"/>
      <c r="BHY33" s="30"/>
      <c r="BHZ33" s="30"/>
      <c r="BIA33" s="30"/>
      <c r="BIB33" s="30"/>
      <c r="BIC33" s="30"/>
      <c r="BID33" s="30"/>
      <c r="BIE33" s="30"/>
      <c r="BIF33" s="30"/>
      <c r="BIG33" s="30"/>
      <c r="BIH33" s="30"/>
      <c r="BII33" s="30"/>
      <c r="BIJ33" s="30"/>
      <c r="BIK33" s="30"/>
      <c r="BIL33" s="30"/>
      <c r="BIM33" s="30"/>
      <c r="BIN33" s="30"/>
      <c r="BIO33" s="30"/>
      <c r="BIP33" s="30"/>
      <c r="BIQ33" s="30"/>
      <c r="BIR33" s="30"/>
      <c r="BIS33" s="30"/>
      <c r="BIT33" s="30"/>
      <c r="BIU33" s="30"/>
      <c r="BIV33" s="30"/>
      <c r="BIW33" s="30"/>
      <c r="BIX33" s="30"/>
      <c r="BIY33" s="30"/>
      <c r="BIZ33" s="30"/>
      <c r="BJA33" s="30"/>
      <c r="BJB33" s="30"/>
      <c r="BJC33" s="30"/>
      <c r="BJD33" s="30"/>
      <c r="BJE33" s="30"/>
      <c r="BJF33" s="30"/>
      <c r="BJG33" s="30"/>
      <c r="BJH33" s="30"/>
      <c r="BJI33" s="30"/>
      <c r="BJJ33" s="30"/>
      <c r="BJK33" s="30"/>
      <c r="BJL33" s="30"/>
      <c r="BJM33" s="30"/>
      <c r="BJN33" s="30"/>
      <c r="BJO33" s="30"/>
      <c r="BJP33" s="30"/>
      <c r="BJQ33" s="30"/>
      <c r="BJR33" s="30"/>
      <c r="BJS33" s="30"/>
      <c r="BJT33" s="30"/>
      <c r="BJU33" s="30"/>
      <c r="BJV33" s="30"/>
      <c r="BJW33" s="30"/>
      <c r="BJX33" s="30"/>
      <c r="BJY33" s="30"/>
      <c r="BJZ33" s="30"/>
      <c r="BKA33" s="30"/>
      <c r="BKB33" s="30"/>
      <c r="BKC33" s="30"/>
      <c r="BKD33" s="30"/>
      <c r="BKE33" s="30"/>
      <c r="BKF33" s="30"/>
      <c r="BKG33" s="30"/>
      <c r="BKH33" s="30"/>
      <c r="BKI33" s="30"/>
      <c r="BKJ33" s="30"/>
      <c r="BKK33" s="30"/>
      <c r="BKL33" s="30"/>
      <c r="BKM33" s="30"/>
      <c r="BKN33" s="30"/>
      <c r="BKO33" s="30"/>
      <c r="BKP33" s="30"/>
      <c r="BKQ33" s="30"/>
      <c r="BKR33" s="30"/>
      <c r="BKS33" s="30"/>
      <c r="BKT33" s="30"/>
      <c r="BKU33" s="30"/>
      <c r="BKV33" s="30"/>
      <c r="BKW33" s="30"/>
      <c r="BKX33" s="30"/>
      <c r="BKY33" s="30"/>
      <c r="BKZ33" s="30"/>
      <c r="BLA33" s="30"/>
      <c r="BLB33" s="30"/>
      <c r="BLC33" s="30"/>
      <c r="BLD33" s="30"/>
      <c r="BLE33" s="30"/>
      <c r="BLF33" s="30"/>
      <c r="BLG33" s="30"/>
      <c r="BLH33" s="30"/>
      <c r="BLI33" s="30"/>
      <c r="BLJ33" s="30"/>
      <c r="BLK33" s="30"/>
      <c r="BLL33" s="30"/>
      <c r="BLM33" s="30"/>
      <c r="BLN33" s="30"/>
      <c r="BLO33" s="30"/>
      <c r="BLP33" s="30"/>
      <c r="BLQ33" s="30"/>
      <c r="BLR33" s="30"/>
      <c r="BLS33" s="30"/>
      <c r="BLT33" s="30"/>
      <c r="BLU33" s="30"/>
      <c r="BLV33" s="30"/>
      <c r="BLW33" s="30"/>
      <c r="BLX33" s="30"/>
      <c r="BLY33" s="30"/>
      <c r="BLZ33" s="30"/>
      <c r="BMA33" s="30"/>
      <c r="BMB33" s="30"/>
      <c r="BMC33" s="30"/>
      <c r="BMD33" s="30"/>
      <c r="BME33" s="30"/>
      <c r="BMF33" s="30"/>
      <c r="BMG33" s="30"/>
      <c r="BMH33" s="30"/>
      <c r="BMI33" s="30"/>
      <c r="BMJ33" s="30"/>
      <c r="BMK33" s="30"/>
      <c r="BML33" s="30"/>
      <c r="BMM33" s="30"/>
      <c r="BMN33" s="30"/>
      <c r="BMO33" s="30"/>
      <c r="BMP33" s="30"/>
      <c r="BMQ33" s="30"/>
      <c r="BMR33" s="30"/>
      <c r="BMS33" s="30"/>
      <c r="BMT33" s="30"/>
      <c r="BMU33" s="30"/>
      <c r="BMV33" s="30"/>
      <c r="BMW33" s="30"/>
      <c r="BMX33" s="30"/>
      <c r="BMY33" s="30"/>
      <c r="BMZ33" s="30"/>
      <c r="BNA33" s="30"/>
      <c r="BNB33" s="30"/>
      <c r="BNC33" s="30"/>
      <c r="BND33" s="30"/>
      <c r="BNE33" s="30"/>
      <c r="BNF33" s="30"/>
      <c r="BNG33" s="30"/>
      <c r="BNH33" s="30"/>
      <c r="BNI33" s="30"/>
      <c r="BNJ33" s="30"/>
      <c r="BNK33" s="30"/>
      <c r="BNL33" s="30"/>
      <c r="BNM33" s="30"/>
      <c r="BNN33" s="30"/>
      <c r="BNO33" s="30"/>
      <c r="BNP33" s="30"/>
      <c r="BNQ33" s="30"/>
      <c r="BNR33" s="30"/>
      <c r="BNS33" s="30"/>
      <c r="BNT33" s="30"/>
      <c r="BNU33" s="30"/>
      <c r="BNV33" s="30"/>
      <c r="BNW33" s="30"/>
      <c r="BNX33" s="30"/>
      <c r="BNY33" s="30"/>
      <c r="BNZ33" s="30"/>
      <c r="BOA33" s="30"/>
      <c r="BOB33" s="30"/>
      <c r="BOC33" s="30"/>
      <c r="BOD33" s="30"/>
      <c r="BOE33" s="30"/>
      <c r="BOF33" s="30"/>
      <c r="BOG33" s="30"/>
      <c r="BOH33" s="30"/>
      <c r="BOI33" s="30"/>
      <c r="BOJ33" s="30"/>
      <c r="BOK33" s="30"/>
      <c r="BOL33" s="30"/>
      <c r="BOM33" s="30"/>
      <c r="BON33" s="30"/>
      <c r="BOO33" s="30"/>
      <c r="BOP33" s="30"/>
      <c r="BOQ33" s="30"/>
      <c r="BOR33" s="30"/>
      <c r="BOS33" s="30"/>
      <c r="BOT33" s="30"/>
      <c r="BOU33" s="30"/>
      <c r="BOV33" s="30"/>
      <c r="BOW33" s="30"/>
      <c r="BOX33" s="30"/>
      <c r="BOY33" s="30"/>
      <c r="BOZ33" s="30"/>
      <c r="BPA33" s="30"/>
      <c r="BPB33" s="30"/>
      <c r="BPC33" s="30"/>
      <c r="BPD33" s="30"/>
      <c r="BPE33" s="30"/>
      <c r="BPF33" s="30"/>
      <c r="BPG33" s="30"/>
      <c r="BPH33" s="30"/>
      <c r="BPI33" s="30"/>
      <c r="BPJ33" s="30"/>
      <c r="BPK33" s="30"/>
      <c r="BPL33" s="30"/>
      <c r="BPM33" s="30"/>
      <c r="BPN33" s="30"/>
      <c r="BPO33" s="30"/>
      <c r="BPP33" s="30"/>
      <c r="BPQ33" s="30"/>
      <c r="BPR33" s="30"/>
      <c r="BPS33" s="30"/>
      <c r="BPT33" s="30"/>
      <c r="BPU33" s="30"/>
      <c r="BPV33" s="30"/>
      <c r="BPW33" s="30"/>
      <c r="BPX33" s="30"/>
      <c r="BPY33" s="30"/>
      <c r="BPZ33" s="30"/>
      <c r="BQA33" s="30"/>
      <c r="BQB33" s="30"/>
      <c r="BQC33" s="30"/>
      <c r="BQD33" s="30"/>
      <c r="BQE33" s="30"/>
      <c r="BQF33" s="30"/>
      <c r="BQG33" s="30"/>
      <c r="BQH33" s="30"/>
      <c r="BQI33" s="30"/>
      <c r="BQJ33" s="30"/>
      <c r="BQK33" s="30"/>
      <c r="BQL33" s="30"/>
      <c r="BQM33" s="30"/>
      <c r="BQN33" s="30"/>
      <c r="BQO33" s="30"/>
      <c r="BQP33" s="30"/>
      <c r="BQQ33" s="30"/>
      <c r="BQR33" s="30"/>
      <c r="BQS33" s="30"/>
      <c r="BQT33" s="30"/>
      <c r="BQU33" s="30"/>
      <c r="BQV33" s="30"/>
      <c r="BQW33" s="30"/>
      <c r="BQX33" s="30"/>
      <c r="BQY33" s="30"/>
      <c r="BQZ33" s="30"/>
      <c r="BRA33" s="30"/>
      <c r="BRB33" s="30"/>
      <c r="BRC33" s="30"/>
      <c r="BRD33" s="30"/>
      <c r="BRE33" s="30"/>
      <c r="BRF33" s="30"/>
      <c r="BRG33" s="30"/>
      <c r="BRH33" s="30"/>
      <c r="BRI33" s="30"/>
      <c r="BRJ33" s="30"/>
      <c r="BRK33" s="30"/>
      <c r="BRL33" s="30"/>
      <c r="BRM33" s="30"/>
      <c r="BRN33" s="30"/>
      <c r="BRO33" s="30"/>
      <c r="BRP33" s="30"/>
      <c r="BRQ33" s="30"/>
      <c r="BRR33" s="30"/>
      <c r="BRS33" s="30"/>
      <c r="BRT33" s="30"/>
      <c r="BRU33" s="30"/>
      <c r="BRV33" s="30"/>
      <c r="BRW33" s="30"/>
      <c r="BRX33" s="30"/>
      <c r="BRY33" s="30"/>
      <c r="BRZ33" s="30"/>
      <c r="BSA33" s="30"/>
      <c r="BSB33" s="30"/>
      <c r="BSC33" s="30"/>
      <c r="BSD33" s="30"/>
      <c r="BSE33" s="30"/>
      <c r="BSF33" s="30"/>
      <c r="BSG33" s="30"/>
      <c r="BSH33" s="30"/>
      <c r="BSI33" s="30"/>
      <c r="BSJ33" s="30"/>
      <c r="BSK33" s="30"/>
      <c r="BSL33" s="30"/>
      <c r="BSM33" s="30"/>
      <c r="BSN33" s="30"/>
      <c r="BSO33" s="30"/>
      <c r="BSP33" s="30"/>
      <c r="BSQ33" s="30"/>
      <c r="BSR33" s="30"/>
      <c r="BSS33" s="30"/>
      <c r="BST33" s="30"/>
      <c r="BSU33" s="30"/>
      <c r="BSV33" s="30"/>
      <c r="BSW33" s="30"/>
      <c r="BSX33" s="30"/>
      <c r="BSY33" s="30"/>
      <c r="BSZ33" s="30"/>
      <c r="BTA33" s="30"/>
      <c r="BTB33" s="30"/>
      <c r="BTC33" s="30"/>
      <c r="BTD33" s="30"/>
      <c r="BTE33" s="30"/>
      <c r="BTF33" s="30"/>
      <c r="BTG33" s="30"/>
      <c r="BTH33" s="30"/>
      <c r="BTI33" s="30"/>
      <c r="BTJ33" s="30"/>
      <c r="BTK33" s="30"/>
      <c r="BTL33" s="30"/>
      <c r="BTM33" s="30"/>
      <c r="BTN33" s="30"/>
      <c r="BTO33" s="30"/>
      <c r="BTP33" s="30"/>
      <c r="BTQ33" s="30"/>
      <c r="BTR33" s="30"/>
      <c r="BTS33" s="30"/>
      <c r="BTT33" s="30"/>
      <c r="BTU33" s="30"/>
      <c r="BTV33" s="30"/>
      <c r="BTW33" s="30"/>
      <c r="BTX33" s="30"/>
      <c r="BTY33" s="30"/>
      <c r="BTZ33" s="30"/>
      <c r="BUA33" s="30"/>
      <c r="BUB33" s="30"/>
      <c r="BUC33" s="30"/>
      <c r="BUD33" s="30"/>
      <c r="BUE33" s="30"/>
      <c r="BUF33" s="30"/>
      <c r="BUG33" s="30"/>
      <c r="BUH33" s="30"/>
      <c r="BUI33" s="30"/>
      <c r="BUJ33" s="30"/>
      <c r="BUK33" s="30"/>
      <c r="BUL33" s="30"/>
      <c r="BUM33" s="30"/>
      <c r="BUN33" s="30"/>
      <c r="BUO33" s="30"/>
      <c r="BUP33" s="30"/>
      <c r="BUQ33" s="30"/>
      <c r="BUR33" s="30"/>
      <c r="BUS33" s="30"/>
      <c r="BUT33" s="30"/>
      <c r="BUU33" s="30"/>
      <c r="BUV33" s="30"/>
      <c r="BUW33" s="30"/>
      <c r="BUX33" s="30"/>
      <c r="BUY33" s="30"/>
      <c r="BUZ33" s="30"/>
      <c r="BVA33" s="30"/>
      <c r="BVB33" s="30"/>
      <c r="BVC33" s="30"/>
      <c r="BVD33" s="30"/>
      <c r="BVE33" s="30"/>
      <c r="BVF33" s="30"/>
      <c r="BVG33" s="30"/>
      <c r="BVH33" s="30"/>
      <c r="BVI33" s="30"/>
      <c r="BVJ33" s="30"/>
      <c r="BVK33" s="30"/>
      <c r="BVL33" s="30"/>
      <c r="BVM33" s="30"/>
      <c r="BVN33" s="30"/>
      <c r="BVO33" s="30"/>
      <c r="BVP33" s="30"/>
      <c r="BVQ33" s="30"/>
      <c r="BVR33" s="30"/>
      <c r="BVS33" s="30"/>
      <c r="BVT33" s="30"/>
      <c r="BVU33" s="30"/>
      <c r="BVV33" s="30"/>
      <c r="BVW33" s="30"/>
      <c r="BVX33" s="30"/>
      <c r="BVY33" s="30"/>
      <c r="BVZ33" s="30"/>
      <c r="BWA33" s="30"/>
      <c r="BWB33" s="30"/>
      <c r="BWC33" s="30"/>
      <c r="BWD33" s="30"/>
      <c r="BWE33" s="30"/>
      <c r="BWF33" s="30"/>
      <c r="BWG33" s="30"/>
      <c r="BWH33" s="30"/>
      <c r="BWI33" s="30"/>
      <c r="BWJ33" s="30"/>
      <c r="BWK33" s="30"/>
      <c r="BWL33" s="30"/>
      <c r="BWM33" s="30"/>
      <c r="BWN33" s="30"/>
      <c r="BWO33" s="30"/>
      <c r="BWP33" s="30"/>
      <c r="BWQ33" s="30"/>
      <c r="BWR33" s="30"/>
      <c r="BWS33" s="30"/>
      <c r="BWT33" s="30"/>
      <c r="BWU33" s="30"/>
      <c r="BWV33" s="30"/>
      <c r="BWW33" s="30"/>
      <c r="BWX33" s="30"/>
      <c r="BWY33" s="30"/>
      <c r="BWZ33" s="30"/>
      <c r="BXA33" s="30"/>
      <c r="BXB33" s="30"/>
      <c r="BXC33" s="30"/>
      <c r="BXD33" s="30"/>
      <c r="BXE33" s="30"/>
      <c r="BXF33" s="30"/>
      <c r="BXG33" s="30"/>
      <c r="BXH33" s="30"/>
      <c r="BXI33" s="30"/>
      <c r="BXJ33" s="30"/>
      <c r="BXK33" s="30"/>
      <c r="BXL33" s="30"/>
      <c r="BXM33" s="30"/>
      <c r="BXN33" s="30"/>
      <c r="BXO33" s="30"/>
      <c r="BXP33" s="30"/>
      <c r="BXQ33" s="30"/>
      <c r="BXR33" s="30"/>
      <c r="BXS33" s="30"/>
      <c r="BXT33" s="30"/>
      <c r="BXU33" s="30"/>
      <c r="BXV33" s="30"/>
      <c r="BXW33" s="30"/>
      <c r="BXX33" s="30"/>
      <c r="BXY33" s="30"/>
      <c r="BXZ33" s="30"/>
      <c r="BYA33" s="30"/>
      <c r="BYB33" s="30"/>
      <c r="BYC33" s="30"/>
      <c r="BYD33" s="30"/>
      <c r="BYE33" s="30"/>
      <c r="BYF33" s="30"/>
      <c r="BYG33" s="30"/>
      <c r="BYH33" s="30"/>
      <c r="BYI33" s="30"/>
      <c r="BYJ33" s="30"/>
      <c r="BYK33" s="30"/>
      <c r="BYL33" s="30"/>
      <c r="BYM33" s="30"/>
      <c r="BYN33" s="30"/>
      <c r="BYO33" s="30"/>
      <c r="BYP33" s="30"/>
      <c r="BYQ33" s="30"/>
      <c r="BYR33" s="30"/>
      <c r="BYS33" s="30"/>
      <c r="BYT33" s="30"/>
      <c r="BYU33" s="30"/>
      <c r="BYV33" s="30"/>
      <c r="BYW33" s="30"/>
      <c r="BYX33" s="30"/>
      <c r="BYY33" s="30"/>
      <c r="BYZ33" s="30"/>
      <c r="BZA33" s="30"/>
      <c r="BZB33" s="30"/>
      <c r="BZC33" s="30"/>
      <c r="BZD33" s="30"/>
      <c r="BZE33" s="30"/>
      <c r="BZF33" s="30"/>
      <c r="BZG33" s="30"/>
      <c r="BZH33" s="30"/>
      <c r="BZI33" s="30"/>
      <c r="BZJ33" s="30"/>
      <c r="BZK33" s="30"/>
      <c r="BZL33" s="30"/>
      <c r="BZM33" s="30"/>
      <c r="BZN33" s="30"/>
      <c r="BZO33" s="30"/>
      <c r="BZP33" s="30"/>
      <c r="BZQ33" s="30"/>
      <c r="BZR33" s="30"/>
      <c r="BZS33" s="30"/>
      <c r="BZT33" s="30"/>
      <c r="BZU33" s="30"/>
      <c r="BZV33" s="30"/>
      <c r="BZW33" s="30"/>
      <c r="BZX33" s="30"/>
      <c r="BZY33" s="30"/>
      <c r="BZZ33" s="30"/>
      <c r="CAA33" s="30"/>
      <c r="CAB33" s="30"/>
      <c r="CAC33" s="30"/>
      <c r="CAD33" s="30"/>
      <c r="CAE33" s="30"/>
      <c r="CAF33" s="30"/>
      <c r="CAG33" s="30"/>
      <c r="CAH33" s="30"/>
      <c r="CAI33" s="30"/>
      <c r="CAJ33" s="30"/>
      <c r="CAK33" s="30"/>
      <c r="CAL33" s="30"/>
      <c r="CAM33" s="30"/>
      <c r="CAN33" s="30"/>
      <c r="CAO33" s="30"/>
      <c r="CAP33" s="30"/>
      <c r="CAQ33" s="30"/>
      <c r="CAR33" s="30"/>
      <c r="CAS33" s="30"/>
      <c r="CAT33" s="30"/>
      <c r="CAU33" s="30"/>
      <c r="CAV33" s="30"/>
      <c r="CAW33" s="30"/>
      <c r="CAX33" s="30"/>
      <c r="CAY33" s="30"/>
      <c r="CAZ33" s="30"/>
      <c r="CBA33" s="30"/>
      <c r="CBB33" s="30"/>
      <c r="CBC33" s="30"/>
      <c r="CBD33" s="30"/>
      <c r="CBE33" s="30"/>
      <c r="CBF33" s="30"/>
      <c r="CBG33" s="30"/>
      <c r="CBH33" s="30"/>
      <c r="CBI33" s="30"/>
      <c r="CBJ33" s="30"/>
      <c r="CBK33" s="30"/>
      <c r="CBL33" s="30"/>
      <c r="CBM33" s="30"/>
      <c r="CBN33" s="30"/>
      <c r="CBO33" s="30"/>
      <c r="CBP33" s="30"/>
      <c r="CBQ33" s="30"/>
      <c r="CBR33" s="30"/>
      <c r="CBS33" s="30"/>
      <c r="CBT33" s="30"/>
      <c r="CBU33" s="30"/>
      <c r="CBV33" s="30"/>
      <c r="CBW33" s="30"/>
      <c r="CBX33" s="30"/>
      <c r="CBY33" s="30"/>
      <c r="CBZ33" s="30"/>
      <c r="CCA33" s="30"/>
      <c r="CCB33" s="30"/>
      <c r="CCC33" s="30"/>
      <c r="CCD33" s="30"/>
      <c r="CCE33" s="30"/>
      <c r="CCF33" s="30"/>
      <c r="CCG33" s="30"/>
      <c r="CCH33" s="30"/>
      <c r="CCI33" s="30"/>
      <c r="CCJ33" s="30"/>
      <c r="CCK33" s="30"/>
      <c r="CCL33" s="30"/>
      <c r="CCM33" s="30"/>
      <c r="CCN33" s="30"/>
      <c r="CCO33" s="30"/>
      <c r="CCP33" s="30"/>
      <c r="CCQ33" s="30"/>
      <c r="CCR33" s="30"/>
      <c r="CCS33" s="30"/>
      <c r="CCT33" s="30"/>
      <c r="CCU33" s="30"/>
      <c r="CCV33" s="30"/>
      <c r="CCW33" s="30"/>
      <c r="CCX33" s="30"/>
      <c r="CCY33" s="30"/>
      <c r="CCZ33" s="30"/>
      <c r="CDA33" s="30"/>
      <c r="CDB33" s="30"/>
      <c r="CDC33" s="30"/>
      <c r="CDD33" s="30"/>
      <c r="CDE33" s="30"/>
      <c r="CDF33" s="30"/>
      <c r="CDG33" s="30"/>
      <c r="CDH33" s="30"/>
      <c r="CDI33" s="30"/>
      <c r="CDJ33" s="30"/>
      <c r="CDK33" s="30"/>
      <c r="CDL33" s="30"/>
      <c r="CDM33" s="30"/>
      <c r="CDN33" s="30"/>
      <c r="CDO33" s="30"/>
      <c r="CDP33" s="30"/>
      <c r="CDQ33" s="30"/>
      <c r="CDR33" s="30"/>
      <c r="CDS33" s="30"/>
      <c r="CDT33" s="30"/>
      <c r="CDU33" s="30"/>
      <c r="CDV33" s="30"/>
      <c r="CDW33" s="30"/>
      <c r="CDX33" s="30"/>
      <c r="CDY33" s="30"/>
      <c r="CDZ33" s="30"/>
      <c r="CEA33" s="30"/>
      <c r="CEB33" s="30"/>
      <c r="CEC33" s="30"/>
      <c r="CED33" s="30"/>
      <c r="CEE33" s="30"/>
      <c r="CEF33" s="30"/>
      <c r="CEG33" s="30"/>
      <c r="CEH33" s="30"/>
      <c r="CEI33" s="30"/>
      <c r="CEJ33" s="30"/>
      <c r="CEK33" s="30"/>
      <c r="CEL33" s="30"/>
      <c r="CEM33" s="30"/>
      <c r="CEN33" s="30"/>
      <c r="CEO33" s="30"/>
      <c r="CEP33" s="30"/>
      <c r="CEQ33" s="30"/>
      <c r="CER33" s="30"/>
      <c r="CES33" s="30"/>
      <c r="CET33" s="30"/>
      <c r="CEU33" s="30"/>
      <c r="CEV33" s="30"/>
      <c r="CEW33" s="30"/>
      <c r="CEX33" s="30"/>
      <c r="CEY33" s="30"/>
      <c r="CEZ33" s="30"/>
      <c r="CFA33" s="30"/>
      <c r="CFB33" s="30"/>
      <c r="CFC33" s="30"/>
      <c r="CFD33" s="30"/>
      <c r="CFE33" s="30"/>
      <c r="CFF33" s="30"/>
      <c r="CFG33" s="30"/>
      <c r="CFH33" s="30"/>
      <c r="CFI33" s="30"/>
      <c r="CFJ33" s="30"/>
      <c r="CFK33" s="30"/>
      <c r="CFL33" s="30"/>
      <c r="CFM33" s="30"/>
      <c r="CFN33" s="30"/>
      <c r="CFO33" s="30"/>
      <c r="CFP33" s="30"/>
      <c r="CFQ33" s="30"/>
      <c r="CFR33" s="30"/>
      <c r="CFS33" s="30"/>
      <c r="CFT33" s="30"/>
      <c r="CFU33" s="30"/>
      <c r="CFV33" s="30"/>
      <c r="CFW33" s="30"/>
      <c r="CFX33" s="30"/>
      <c r="CFY33" s="30"/>
      <c r="CFZ33" s="30"/>
      <c r="CGA33" s="30"/>
      <c r="CGB33" s="30"/>
      <c r="CGC33" s="30"/>
      <c r="CGD33" s="30"/>
      <c r="CGE33" s="30"/>
      <c r="CGF33" s="30"/>
      <c r="CGG33" s="30"/>
      <c r="CGH33" s="30"/>
      <c r="CGI33" s="30"/>
      <c r="CGJ33" s="30"/>
      <c r="CGK33" s="30"/>
      <c r="CGL33" s="30"/>
      <c r="CGM33" s="30"/>
      <c r="CGN33" s="30"/>
      <c r="CGO33" s="30"/>
      <c r="CGP33" s="30"/>
      <c r="CGQ33" s="30"/>
      <c r="CGR33" s="30"/>
      <c r="CGS33" s="30"/>
      <c r="CGT33" s="30"/>
      <c r="CGU33" s="30"/>
      <c r="CGV33" s="30"/>
      <c r="CGW33" s="30"/>
      <c r="CGX33" s="30"/>
      <c r="CGY33" s="30"/>
      <c r="CGZ33" s="30"/>
      <c r="CHA33" s="30"/>
      <c r="CHB33" s="30"/>
      <c r="CHC33" s="30"/>
      <c r="CHD33" s="30"/>
      <c r="CHE33" s="30"/>
      <c r="CHF33" s="30"/>
      <c r="CHG33" s="30"/>
      <c r="CHH33" s="30"/>
      <c r="CHI33" s="30"/>
      <c r="CHJ33" s="30"/>
      <c r="CHK33" s="30"/>
      <c r="CHL33" s="30"/>
      <c r="CHM33" s="30"/>
      <c r="CHN33" s="30"/>
      <c r="CHO33" s="30"/>
      <c r="CHP33" s="30"/>
      <c r="CHQ33" s="30"/>
      <c r="CHR33" s="30"/>
      <c r="CHS33" s="30"/>
      <c r="CHT33" s="30"/>
      <c r="CHU33" s="30"/>
      <c r="CHV33" s="30"/>
      <c r="CHW33" s="30"/>
      <c r="CHX33" s="30"/>
      <c r="CHY33" s="30"/>
      <c r="CHZ33" s="30"/>
      <c r="CIA33" s="30"/>
      <c r="CIB33" s="30"/>
      <c r="CIC33" s="30"/>
      <c r="CID33" s="30"/>
      <c r="CIE33" s="30"/>
      <c r="CIF33" s="30"/>
      <c r="CIG33" s="30"/>
      <c r="CIH33" s="30"/>
      <c r="CII33" s="30"/>
      <c r="CIJ33" s="30"/>
      <c r="CIK33" s="30"/>
      <c r="CIL33" s="30"/>
      <c r="CIM33" s="30"/>
      <c r="CIN33" s="30"/>
      <c r="CIO33" s="30"/>
      <c r="CIP33" s="30"/>
      <c r="CIQ33" s="30"/>
      <c r="CIR33" s="30"/>
      <c r="CIS33" s="30"/>
      <c r="CIT33" s="30"/>
      <c r="CIU33" s="30"/>
      <c r="CIV33" s="30"/>
      <c r="CIW33" s="30"/>
      <c r="CIX33" s="30"/>
      <c r="CIY33" s="30"/>
      <c r="CIZ33" s="30"/>
      <c r="CJA33" s="30"/>
      <c r="CJB33" s="30"/>
      <c r="CJC33" s="30"/>
      <c r="CJD33" s="30"/>
      <c r="CJE33" s="30"/>
      <c r="CJF33" s="30"/>
      <c r="CJG33" s="30"/>
      <c r="CJH33" s="30"/>
      <c r="CJI33" s="30"/>
      <c r="CJJ33" s="30"/>
      <c r="CJK33" s="30"/>
      <c r="CJL33" s="30"/>
      <c r="CJM33" s="30"/>
      <c r="CJN33" s="30"/>
      <c r="CJO33" s="30"/>
      <c r="CJP33" s="30"/>
      <c r="CJQ33" s="30"/>
      <c r="CJR33" s="30"/>
      <c r="CJS33" s="30"/>
      <c r="CJT33" s="30"/>
      <c r="CJU33" s="30"/>
      <c r="CJV33" s="30"/>
      <c r="CJW33" s="30"/>
      <c r="CJX33" s="30"/>
      <c r="CJY33" s="30"/>
      <c r="CJZ33" s="30"/>
      <c r="CKA33" s="30"/>
      <c r="CKB33" s="30"/>
      <c r="CKC33" s="30"/>
      <c r="CKD33" s="30"/>
      <c r="CKE33" s="30"/>
      <c r="CKF33" s="30"/>
      <c r="CKG33" s="30"/>
      <c r="CKH33" s="30"/>
      <c r="CKI33" s="30"/>
      <c r="CKJ33" s="30"/>
      <c r="CKK33" s="30"/>
      <c r="CKL33" s="30"/>
      <c r="CKM33" s="30"/>
      <c r="CKN33" s="30"/>
      <c r="CKO33" s="30"/>
      <c r="CKP33" s="30"/>
      <c r="CKQ33" s="30"/>
      <c r="CKR33" s="30"/>
      <c r="CKS33" s="30"/>
      <c r="CKT33" s="30"/>
      <c r="CKU33" s="30"/>
      <c r="CKV33" s="30"/>
      <c r="CKW33" s="30"/>
      <c r="CKX33" s="30"/>
      <c r="CKY33" s="30"/>
      <c r="CKZ33" s="30"/>
      <c r="CLA33" s="30"/>
      <c r="CLB33" s="30"/>
      <c r="CLC33" s="30"/>
      <c r="CLD33" s="30"/>
      <c r="CLE33" s="30"/>
      <c r="CLF33" s="30"/>
      <c r="CLG33" s="30"/>
      <c r="CLH33" s="30"/>
      <c r="CLI33" s="30"/>
      <c r="CLJ33" s="30"/>
      <c r="CLK33" s="30"/>
      <c r="CLL33" s="30"/>
      <c r="CLM33" s="30"/>
      <c r="CLN33" s="30"/>
      <c r="CLO33" s="30"/>
      <c r="CLP33" s="30"/>
      <c r="CLQ33" s="30"/>
      <c r="CLR33" s="30"/>
      <c r="CLS33" s="30"/>
      <c r="CLT33" s="30"/>
      <c r="CLU33" s="30"/>
      <c r="CLV33" s="30"/>
      <c r="CLW33" s="30"/>
      <c r="CLX33" s="30"/>
      <c r="CLY33" s="30"/>
      <c r="CLZ33" s="30"/>
      <c r="CMA33" s="30"/>
      <c r="CMB33" s="30"/>
      <c r="CMC33" s="30"/>
      <c r="CMD33" s="30"/>
      <c r="CME33" s="30"/>
      <c r="CMF33" s="30"/>
      <c r="CMG33" s="30"/>
      <c r="CMH33" s="30"/>
      <c r="CMI33" s="30"/>
      <c r="CMJ33" s="30"/>
      <c r="CMK33" s="30"/>
      <c r="CML33" s="30"/>
      <c r="CMM33" s="30"/>
      <c r="CMN33" s="30"/>
      <c r="CMO33" s="30"/>
      <c r="CMP33" s="30"/>
      <c r="CMQ33" s="30"/>
      <c r="CMR33" s="30"/>
      <c r="CMS33" s="30"/>
      <c r="CMT33" s="30"/>
      <c r="CMU33" s="30"/>
      <c r="CMV33" s="30"/>
      <c r="CMW33" s="30"/>
      <c r="CMX33" s="30"/>
      <c r="CMY33" s="30"/>
      <c r="CMZ33" s="30"/>
      <c r="CNA33" s="30"/>
      <c r="CNB33" s="30"/>
      <c r="CNC33" s="30"/>
      <c r="CND33" s="30"/>
      <c r="CNE33" s="30"/>
      <c r="CNF33" s="30"/>
      <c r="CNG33" s="30"/>
      <c r="CNH33" s="30"/>
      <c r="CNI33" s="30"/>
      <c r="CNJ33" s="30"/>
      <c r="CNK33" s="30"/>
      <c r="CNL33" s="30"/>
      <c r="CNM33" s="30"/>
      <c r="CNN33" s="30"/>
      <c r="CNO33" s="30"/>
      <c r="CNP33" s="30"/>
      <c r="CNQ33" s="30"/>
      <c r="CNR33" s="30"/>
      <c r="CNS33" s="30"/>
      <c r="CNT33" s="30"/>
      <c r="CNU33" s="30"/>
      <c r="CNV33" s="30"/>
      <c r="CNW33" s="30"/>
      <c r="CNX33" s="30"/>
      <c r="CNY33" s="30"/>
      <c r="CNZ33" s="30"/>
      <c r="COA33" s="30"/>
      <c r="COB33" s="30"/>
      <c r="COC33" s="30"/>
      <c r="COD33" s="30"/>
      <c r="COE33" s="30"/>
      <c r="COF33" s="30"/>
      <c r="COG33" s="30"/>
      <c r="COH33" s="30"/>
      <c r="COI33" s="30"/>
      <c r="COJ33" s="30"/>
      <c r="COK33" s="30"/>
      <c r="COL33" s="30"/>
      <c r="COM33" s="30"/>
      <c r="CON33" s="30"/>
      <c r="COO33" s="30"/>
      <c r="COP33" s="30"/>
      <c r="COQ33" s="30"/>
      <c r="COR33" s="30"/>
      <c r="COS33" s="30"/>
      <c r="COT33" s="30"/>
      <c r="COU33" s="30"/>
      <c r="COV33" s="30"/>
      <c r="COW33" s="30"/>
      <c r="COX33" s="30"/>
      <c r="COY33" s="30"/>
      <c r="COZ33" s="30"/>
      <c r="CPA33" s="30"/>
      <c r="CPB33" s="30"/>
      <c r="CPC33" s="30"/>
      <c r="CPD33" s="30"/>
      <c r="CPE33" s="30"/>
      <c r="CPF33" s="30"/>
      <c r="CPG33" s="30"/>
      <c r="CPH33" s="30"/>
      <c r="CPI33" s="30"/>
      <c r="CPJ33" s="30"/>
      <c r="CPK33" s="30"/>
      <c r="CPL33" s="30"/>
      <c r="CPM33" s="30"/>
      <c r="CPN33" s="30"/>
      <c r="CPO33" s="30"/>
      <c r="CPP33" s="30"/>
      <c r="CPQ33" s="30"/>
      <c r="CPR33" s="30"/>
      <c r="CPS33" s="30"/>
      <c r="CPT33" s="30"/>
      <c r="CPU33" s="30"/>
      <c r="CPV33" s="30"/>
      <c r="CPW33" s="30"/>
      <c r="CPX33" s="30"/>
      <c r="CPY33" s="30"/>
      <c r="CPZ33" s="30"/>
      <c r="CQA33" s="30"/>
      <c r="CQB33" s="30"/>
      <c r="CQC33" s="30"/>
      <c r="CQD33" s="30"/>
      <c r="CQE33" s="30"/>
      <c r="CQF33" s="30"/>
      <c r="CQG33" s="30"/>
      <c r="CQH33" s="30"/>
      <c r="CQI33" s="30"/>
      <c r="CQJ33" s="30"/>
      <c r="CQK33" s="30"/>
      <c r="CQL33" s="30"/>
      <c r="CQM33" s="30"/>
      <c r="CQN33" s="30"/>
      <c r="CQO33" s="30"/>
      <c r="CQP33" s="30"/>
      <c r="CQQ33" s="30"/>
      <c r="CQR33" s="30"/>
      <c r="CQS33" s="30"/>
      <c r="CQT33" s="30"/>
      <c r="CQU33" s="30"/>
      <c r="CQV33" s="30"/>
      <c r="CQW33" s="30"/>
      <c r="CQX33" s="30"/>
      <c r="CQY33" s="30"/>
      <c r="CQZ33" s="30"/>
      <c r="CRA33" s="30"/>
      <c r="CRB33" s="30"/>
      <c r="CRC33" s="30"/>
      <c r="CRD33" s="30"/>
      <c r="CRE33" s="30"/>
      <c r="CRF33" s="30"/>
      <c r="CRG33" s="30"/>
      <c r="CRH33" s="30"/>
      <c r="CRI33" s="30"/>
      <c r="CRJ33" s="30"/>
      <c r="CRK33" s="30"/>
      <c r="CRL33" s="30"/>
      <c r="CRM33" s="30"/>
      <c r="CRN33" s="30"/>
      <c r="CRO33" s="30"/>
      <c r="CRP33" s="30"/>
      <c r="CRQ33" s="30"/>
      <c r="CRR33" s="30"/>
      <c r="CRS33" s="30"/>
      <c r="CRT33" s="30"/>
      <c r="CRU33" s="30"/>
      <c r="CRV33" s="30"/>
      <c r="CRW33" s="30"/>
      <c r="CRX33" s="30"/>
      <c r="CRY33" s="30"/>
      <c r="CRZ33" s="30"/>
      <c r="CSA33" s="30"/>
      <c r="CSB33" s="30"/>
      <c r="CSC33" s="30"/>
      <c r="CSD33" s="30"/>
      <c r="CSE33" s="30"/>
      <c r="CSF33" s="30"/>
      <c r="CSG33" s="30"/>
      <c r="CSH33" s="30"/>
      <c r="CSI33" s="30"/>
      <c r="CSJ33" s="30"/>
      <c r="CSK33" s="30"/>
      <c r="CSL33" s="30"/>
      <c r="CSM33" s="30"/>
      <c r="CSN33" s="30"/>
      <c r="CSO33" s="30"/>
      <c r="CSP33" s="30"/>
      <c r="CSQ33" s="30"/>
      <c r="CSR33" s="30"/>
      <c r="CSS33" s="30"/>
      <c r="CST33" s="30"/>
      <c r="CSU33" s="30"/>
      <c r="CSV33" s="30"/>
      <c r="CSW33" s="30"/>
      <c r="CSX33" s="30"/>
      <c r="CSY33" s="30"/>
      <c r="CSZ33" s="30"/>
      <c r="CTA33" s="30"/>
      <c r="CTB33" s="30"/>
      <c r="CTC33" s="30"/>
      <c r="CTD33" s="30"/>
      <c r="CTE33" s="30"/>
      <c r="CTF33" s="30"/>
      <c r="CTG33" s="30"/>
      <c r="CTH33" s="30"/>
      <c r="CTI33" s="30"/>
      <c r="CTJ33" s="30"/>
      <c r="CTK33" s="30"/>
      <c r="CTL33" s="30"/>
      <c r="CTM33" s="30"/>
      <c r="CTN33" s="30"/>
      <c r="CTO33" s="30"/>
      <c r="CTP33" s="30"/>
      <c r="CTQ33" s="30"/>
      <c r="CTR33" s="30"/>
      <c r="CTS33" s="30"/>
      <c r="CTT33" s="30"/>
      <c r="CTU33" s="30"/>
      <c r="CTV33" s="30"/>
      <c r="CTW33" s="30"/>
      <c r="CTX33" s="30"/>
      <c r="CTY33" s="30"/>
      <c r="CTZ33" s="30"/>
      <c r="CUA33" s="30"/>
    </row>
    <row r="34" s="27" customFormat="1" ht="20" customHeight="1" spans="1:2575">
      <c r="A34" s="268">
        <v>43</v>
      </c>
      <c r="B34" s="268" t="s">
        <v>13</v>
      </c>
      <c r="C34" s="268" t="s">
        <v>37</v>
      </c>
      <c r="D34" s="82" t="s">
        <v>330</v>
      </c>
      <c r="E34" s="29" t="s">
        <v>742</v>
      </c>
      <c r="F34" s="31" t="s">
        <v>759</v>
      </c>
      <c r="G34" s="31" t="s">
        <v>752</v>
      </c>
      <c r="H34" s="119" t="s">
        <v>760</v>
      </c>
      <c r="I34" s="32">
        <v>2010.1</v>
      </c>
      <c r="J34" s="119" t="s">
        <v>754</v>
      </c>
      <c r="K34" s="31" t="s">
        <v>42</v>
      </c>
      <c r="L34" s="31" t="s">
        <v>667</v>
      </c>
      <c r="M34" s="29" t="s">
        <v>674</v>
      </c>
      <c r="N34" s="94">
        <v>45574</v>
      </c>
      <c r="O34" s="94">
        <v>45938</v>
      </c>
      <c r="P34" s="29">
        <v>300</v>
      </c>
      <c r="Q34" s="85"/>
      <c r="R34" s="251"/>
      <c r="S34" s="267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/>
      <c r="RM34" s="30"/>
      <c r="RN34" s="30"/>
      <c r="RO34" s="30"/>
      <c r="RP34" s="30"/>
      <c r="RQ34" s="30"/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  <c r="SG34" s="30"/>
      <c r="SH34" s="30"/>
      <c r="SI34" s="30"/>
      <c r="SJ34" s="30"/>
      <c r="SK34" s="30"/>
      <c r="SL34" s="30"/>
      <c r="SM34" s="30"/>
      <c r="SN34" s="30"/>
      <c r="SO34" s="30"/>
      <c r="SP34" s="30"/>
      <c r="SQ34" s="30"/>
      <c r="SR34" s="30"/>
      <c r="SS34" s="30"/>
      <c r="ST34" s="30"/>
      <c r="SU34" s="30"/>
      <c r="SV34" s="30"/>
      <c r="SW34" s="30"/>
      <c r="SX34" s="30"/>
      <c r="SY34" s="30"/>
      <c r="SZ34" s="30"/>
      <c r="TA34" s="30"/>
      <c r="TB34" s="30"/>
      <c r="TC34" s="30"/>
      <c r="TD34" s="30"/>
      <c r="TE34" s="30"/>
      <c r="TF34" s="30"/>
      <c r="TG34" s="30"/>
      <c r="TH34" s="30"/>
      <c r="TI34" s="30"/>
      <c r="TJ34" s="30"/>
      <c r="TK34" s="30"/>
      <c r="TL34" s="30"/>
      <c r="TM34" s="30"/>
      <c r="TN34" s="30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/>
      <c r="UG34" s="30"/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30"/>
      <c r="UT34" s="30"/>
      <c r="UU34" s="30"/>
      <c r="UV34" s="30"/>
      <c r="UW34" s="30"/>
      <c r="UX34" s="30"/>
      <c r="UY34" s="30"/>
      <c r="UZ34" s="30"/>
      <c r="VA34" s="30"/>
      <c r="VB34" s="30"/>
      <c r="VC34" s="30"/>
      <c r="VD34" s="30"/>
      <c r="VE34" s="30"/>
      <c r="VF34" s="30"/>
      <c r="VG34" s="30"/>
      <c r="VH34" s="30"/>
      <c r="VI34" s="30"/>
      <c r="VJ34" s="30"/>
      <c r="VK34" s="30"/>
      <c r="VL34" s="30"/>
      <c r="VM34" s="30"/>
      <c r="VN34" s="30"/>
      <c r="VO34" s="30"/>
      <c r="VP34" s="30"/>
      <c r="VQ34" s="30"/>
      <c r="VR34" s="30"/>
      <c r="VS34" s="30"/>
      <c r="VT34" s="30"/>
      <c r="VU34" s="30"/>
      <c r="VV34" s="30"/>
      <c r="VW34" s="30"/>
      <c r="VX34" s="30"/>
      <c r="VY34" s="30"/>
      <c r="VZ34" s="30"/>
      <c r="WA34" s="30"/>
      <c r="WB34" s="30"/>
      <c r="WC34" s="30"/>
      <c r="WD34" s="30"/>
      <c r="WE34" s="30"/>
      <c r="WF34" s="30"/>
      <c r="WG34" s="30"/>
      <c r="WH34" s="30"/>
      <c r="WI34" s="30"/>
      <c r="WJ34" s="30"/>
      <c r="WK34" s="30"/>
      <c r="WL34" s="30"/>
      <c r="WM34" s="30"/>
      <c r="WN34" s="30"/>
      <c r="WO34" s="30"/>
      <c r="WP34" s="30"/>
      <c r="WQ34" s="30"/>
      <c r="WR34" s="30"/>
      <c r="WS34" s="30"/>
      <c r="WT34" s="30"/>
      <c r="WU34" s="30"/>
      <c r="WV34" s="30"/>
      <c r="WW34" s="30"/>
      <c r="WX34" s="30"/>
      <c r="WY34" s="30"/>
      <c r="WZ34" s="30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/>
      <c r="XU34" s="30"/>
      <c r="XV34" s="30"/>
      <c r="XW34" s="30"/>
      <c r="XX34" s="30"/>
      <c r="XY34" s="30"/>
      <c r="XZ34" s="30"/>
      <c r="YA34" s="30"/>
      <c r="YB34" s="30"/>
      <c r="YC34" s="30"/>
      <c r="YD34" s="30"/>
      <c r="YE34" s="30"/>
      <c r="YF34" s="30"/>
      <c r="YG34" s="30"/>
      <c r="YH34" s="30"/>
      <c r="YI34" s="30"/>
      <c r="YJ34" s="30"/>
      <c r="YK34" s="30"/>
      <c r="YL34" s="30"/>
      <c r="YM34" s="30"/>
      <c r="YN34" s="30"/>
      <c r="YO34" s="30"/>
      <c r="YP34" s="30"/>
      <c r="YQ34" s="30"/>
      <c r="YR34" s="30"/>
      <c r="YS34" s="30"/>
      <c r="YT34" s="30"/>
      <c r="YU34" s="30"/>
      <c r="YV34" s="30"/>
      <c r="YW34" s="30"/>
      <c r="YX34" s="30"/>
      <c r="YY34" s="30"/>
      <c r="YZ34" s="30"/>
      <c r="ZA34" s="30"/>
      <c r="ZB34" s="30"/>
      <c r="ZC34" s="30"/>
      <c r="ZD34" s="30"/>
      <c r="ZE34" s="30"/>
      <c r="ZF34" s="30"/>
      <c r="ZG34" s="30"/>
      <c r="ZH34" s="30"/>
      <c r="ZI34" s="30"/>
      <c r="ZJ34" s="30"/>
      <c r="ZK34" s="30"/>
      <c r="ZL34" s="30"/>
      <c r="ZM34" s="30"/>
      <c r="ZN34" s="30"/>
      <c r="ZO34" s="30"/>
      <c r="ZP34" s="30"/>
      <c r="ZQ34" s="30"/>
      <c r="ZR34" s="30"/>
      <c r="ZS34" s="30"/>
      <c r="ZT34" s="30"/>
      <c r="ZU34" s="30"/>
      <c r="ZV34" s="30"/>
      <c r="ZW34" s="30"/>
      <c r="ZX34" s="30"/>
      <c r="ZY34" s="30"/>
      <c r="ZZ34" s="30"/>
      <c r="AAA34" s="30"/>
      <c r="AAB34" s="30"/>
      <c r="AAC34" s="30"/>
      <c r="AAD34" s="30"/>
      <c r="AAE34" s="30"/>
      <c r="AAF34" s="30"/>
      <c r="AAG34" s="30"/>
      <c r="AAH34" s="30"/>
      <c r="AAI34" s="30"/>
      <c r="AAJ34" s="30"/>
      <c r="AAK34" s="30"/>
      <c r="AAL34" s="30"/>
      <c r="AAM34" s="30"/>
      <c r="AAN34" s="30"/>
      <c r="AAO34" s="30"/>
      <c r="AAP34" s="30"/>
      <c r="AAQ34" s="30"/>
      <c r="AAR34" s="30"/>
      <c r="AAS34" s="30"/>
      <c r="AAT34" s="30"/>
      <c r="AAU34" s="30"/>
      <c r="AAV34" s="30"/>
      <c r="AAW34" s="30"/>
      <c r="AAX34" s="30"/>
      <c r="AAY34" s="30"/>
      <c r="AAZ34" s="30"/>
      <c r="ABA34" s="30"/>
      <c r="ABB34" s="30"/>
      <c r="ABC34" s="30"/>
      <c r="ABD34" s="30"/>
      <c r="ABE34" s="30"/>
      <c r="ABF34" s="30"/>
      <c r="ABG34" s="30"/>
      <c r="ABH34" s="30"/>
      <c r="ABI34" s="30"/>
      <c r="ABJ34" s="30"/>
      <c r="ABK34" s="30"/>
      <c r="ABL34" s="30"/>
      <c r="ABM34" s="30"/>
      <c r="ABN34" s="30"/>
      <c r="ABO34" s="30"/>
      <c r="ABP34" s="30"/>
      <c r="ABQ34" s="30"/>
      <c r="ABR34" s="30"/>
      <c r="ABS34" s="30"/>
      <c r="ABT34" s="30"/>
      <c r="ABU34" s="30"/>
      <c r="ABV34" s="30"/>
      <c r="ABW34" s="30"/>
      <c r="ABX34" s="30"/>
      <c r="ABY34" s="30"/>
      <c r="ABZ34" s="30"/>
      <c r="ACA34" s="30"/>
      <c r="ACB34" s="30"/>
      <c r="ACC34" s="30"/>
      <c r="ACD34" s="30"/>
      <c r="ACE34" s="30"/>
      <c r="ACF34" s="30"/>
      <c r="ACG34" s="30"/>
      <c r="ACH34" s="30"/>
      <c r="ACI34" s="30"/>
      <c r="ACJ34" s="30"/>
      <c r="ACK34" s="30"/>
      <c r="ACL34" s="30"/>
      <c r="ACM34" s="30"/>
      <c r="ACN34" s="30"/>
      <c r="ACO34" s="30"/>
      <c r="ACP34" s="30"/>
      <c r="ACQ34" s="30"/>
      <c r="ACR34" s="30"/>
      <c r="ACS34" s="30"/>
      <c r="ACT34" s="30"/>
      <c r="ACU34" s="30"/>
      <c r="ACV34" s="30"/>
      <c r="ACW34" s="30"/>
      <c r="ACX34" s="30"/>
      <c r="ACY34" s="30"/>
      <c r="ACZ34" s="30"/>
      <c r="ADA34" s="30"/>
      <c r="ADB34" s="30"/>
      <c r="ADC34" s="30"/>
      <c r="ADD34" s="30"/>
      <c r="ADE34" s="30"/>
      <c r="ADF34" s="30"/>
      <c r="ADG34" s="30"/>
      <c r="ADH34" s="30"/>
      <c r="ADI34" s="30"/>
      <c r="ADJ34" s="30"/>
      <c r="ADK34" s="30"/>
      <c r="ADL34" s="30"/>
      <c r="ADM34" s="30"/>
      <c r="ADN34" s="30"/>
      <c r="ADO34" s="30"/>
      <c r="ADP34" s="30"/>
      <c r="ADQ34" s="30"/>
      <c r="ADR34" s="30"/>
      <c r="ADS34" s="30"/>
      <c r="ADT34" s="30"/>
      <c r="ADU34" s="30"/>
      <c r="ADV34" s="30"/>
      <c r="ADW34" s="30"/>
      <c r="ADX34" s="30"/>
      <c r="ADY34" s="30"/>
      <c r="ADZ34" s="30"/>
      <c r="AEA34" s="30"/>
      <c r="AEB34" s="30"/>
      <c r="AEC34" s="30"/>
      <c r="AED34" s="30"/>
      <c r="AEE34" s="30"/>
      <c r="AEF34" s="30"/>
      <c r="AEG34" s="30"/>
      <c r="AEH34" s="30"/>
      <c r="AEI34" s="30"/>
      <c r="AEJ34" s="30"/>
      <c r="AEK34" s="30"/>
      <c r="AEL34" s="30"/>
      <c r="AEM34" s="30"/>
      <c r="AEN34" s="30"/>
      <c r="AEO34" s="30"/>
      <c r="AEP34" s="30"/>
      <c r="AEQ34" s="30"/>
      <c r="AER34" s="30"/>
      <c r="AES34" s="30"/>
      <c r="AET34" s="30"/>
      <c r="AEU34" s="30"/>
      <c r="AEV34" s="30"/>
      <c r="AEW34" s="30"/>
      <c r="AEX34" s="30"/>
      <c r="AEY34" s="30"/>
      <c r="AEZ34" s="30"/>
      <c r="AFA34" s="30"/>
      <c r="AFB34" s="30"/>
      <c r="AFC34" s="30"/>
      <c r="AFD34" s="30"/>
      <c r="AFE34" s="30"/>
      <c r="AFF34" s="30"/>
      <c r="AFG34" s="30"/>
      <c r="AFH34" s="30"/>
      <c r="AFI34" s="30"/>
      <c r="AFJ34" s="30"/>
      <c r="AFK34" s="30"/>
      <c r="AFL34" s="30"/>
      <c r="AFM34" s="30"/>
      <c r="AFN34" s="30"/>
      <c r="AFO34" s="30"/>
      <c r="AFP34" s="30"/>
      <c r="AFQ34" s="30"/>
      <c r="AFR34" s="30"/>
      <c r="AFS34" s="30"/>
      <c r="AFT34" s="30"/>
      <c r="AFU34" s="30"/>
      <c r="AFV34" s="30"/>
      <c r="AFW34" s="30"/>
      <c r="AFX34" s="30"/>
      <c r="AFY34" s="30"/>
      <c r="AFZ34" s="30"/>
      <c r="AGA34" s="30"/>
      <c r="AGB34" s="30"/>
      <c r="AGC34" s="30"/>
      <c r="AGD34" s="30"/>
      <c r="AGE34" s="30"/>
      <c r="AGF34" s="30"/>
      <c r="AGG34" s="30"/>
      <c r="AGH34" s="30"/>
      <c r="AGI34" s="30"/>
      <c r="AGJ34" s="30"/>
      <c r="AGK34" s="30"/>
      <c r="AGL34" s="30"/>
      <c r="AGM34" s="30"/>
      <c r="AGN34" s="30"/>
      <c r="AGO34" s="30"/>
      <c r="AGP34" s="30"/>
      <c r="AGQ34" s="30"/>
      <c r="AGR34" s="30"/>
      <c r="AGS34" s="30"/>
      <c r="AGT34" s="30"/>
      <c r="AGU34" s="30"/>
      <c r="AGV34" s="30"/>
      <c r="AGW34" s="30"/>
      <c r="AGX34" s="30"/>
      <c r="AGY34" s="30"/>
      <c r="AGZ34" s="30"/>
      <c r="AHA34" s="30"/>
      <c r="AHB34" s="30"/>
      <c r="AHC34" s="30"/>
      <c r="AHD34" s="30"/>
      <c r="AHE34" s="30"/>
      <c r="AHF34" s="30"/>
      <c r="AHG34" s="30"/>
      <c r="AHH34" s="30"/>
      <c r="AHI34" s="30"/>
      <c r="AHJ34" s="30"/>
      <c r="AHK34" s="30"/>
      <c r="AHL34" s="30"/>
      <c r="AHM34" s="30"/>
      <c r="AHN34" s="30"/>
      <c r="AHO34" s="30"/>
      <c r="AHP34" s="30"/>
      <c r="AHQ34" s="30"/>
      <c r="AHR34" s="30"/>
      <c r="AHS34" s="30"/>
      <c r="AHT34" s="30"/>
      <c r="AHU34" s="30"/>
      <c r="AHV34" s="30"/>
      <c r="AHW34" s="30"/>
      <c r="AHX34" s="30"/>
      <c r="AHY34" s="30"/>
      <c r="AHZ34" s="30"/>
      <c r="AIA34" s="30"/>
      <c r="AIB34" s="30"/>
      <c r="AIC34" s="30"/>
      <c r="AID34" s="30"/>
      <c r="AIE34" s="30"/>
      <c r="AIF34" s="30"/>
      <c r="AIG34" s="30"/>
      <c r="AIH34" s="30"/>
      <c r="AII34" s="30"/>
      <c r="AIJ34" s="30"/>
      <c r="AIK34" s="30"/>
      <c r="AIL34" s="30"/>
      <c r="AIM34" s="30"/>
      <c r="AIN34" s="30"/>
      <c r="AIO34" s="30"/>
      <c r="AIP34" s="30"/>
      <c r="AIQ34" s="30"/>
      <c r="AIR34" s="30"/>
      <c r="AIS34" s="30"/>
      <c r="AIT34" s="30"/>
      <c r="AIU34" s="30"/>
      <c r="AIV34" s="30"/>
      <c r="AIW34" s="30"/>
      <c r="AIX34" s="30"/>
      <c r="AIY34" s="30"/>
      <c r="AIZ34" s="30"/>
      <c r="AJA34" s="30"/>
      <c r="AJB34" s="30"/>
      <c r="AJC34" s="30"/>
      <c r="AJD34" s="30"/>
      <c r="AJE34" s="30"/>
      <c r="AJF34" s="30"/>
      <c r="AJG34" s="30"/>
      <c r="AJH34" s="30"/>
      <c r="AJI34" s="30"/>
      <c r="AJJ34" s="30"/>
      <c r="AJK34" s="30"/>
      <c r="AJL34" s="30"/>
      <c r="AJM34" s="30"/>
      <c r="AJN34" s="30"/>
      <c r="AJO34" s="30"/>
      <c r="AJP34" s="30"/>
      <c r="AJQ34" s="30"/>
      <c r="AJR34" s="30"/>
      <c r="AJS34" s="30"/>
      <c r="AJT34" s="30"/>
      <c r="AJU34" s="30"/>
      <c r="AJV34" s="30"/>
      <c r="AJW34" s="30"/>
      <c r="AJX34" s="30"/>
      <c r="AJY34" s="30"/>
      <c r="AJZ34" s="30"/>
      <c r="AKA34" s="30"/>
      <c r="AKB34" s="30"/>
      <c r="AKC34" s="30"/>
      <c r="AKD34" s="30"/>
      <c r="AKE34" s="30"/>
      <c r="AKF34" s="30"/>
      <c r="AKG34" s="30"/>
      <c r="AKH34" s="30"/>
      <c r="AKI34" s="30"/>
      <c r="AKJ34" s="30"/>
      <c r="AKK34" s="30"/>
      <c r="AKL34" s="30"/>
      <c r="AKM34" s="30"/>
      <c r="AKN34" s="30"/>
      <c r="AKO34" s="30"/>
      <c r="AKP34" s="30"/>
      <c r="AKQ34" s="30"/>
      <c r="AKR34" s="30"/>
      <c r="AKS34" s="30"/>
      <c r="AKT34" s="30"/>
      <c r="AKU34" s="30"/>
      <c r="AKV34" s="30"/>
      <c r="AKW34" s="30"/>
      <c r="AKX34" s="30"/>
      <c r="AKY34" s="30"/>
      <c r="AKZ34" s="30"/>
      <c r="ALA34" s="30"/>
      <c r="ALB34" s="30"/>
      <c r="ALC34" s="30"/>
      <c r="ALD34" s="30"/>
      <c r="ALE34" s="30"/>
      <c r="ALF34" s="30"/>
      <c r="ALG34" s="30"/>
      <c r="ALH34" s="30"/>
      <c r="ALI34" s="30"/>
      <c r="ALJ34" s="30"/>
      <c r="ALK34" s="30"/>
      <c r="ALL34" s="30"/>
      <c r="ALM34" s="30"/>
      <c r="ALN34" s="30"/>
      <c r="ALO34" s="30"/>
      <c r="ALP34" s="30"/>
      <c r="ALQ34" s="30"/>
      <c r="ALR34" s="30"/>
      <c r="ALS34" s="30"/>
      <c r="ALT34" s="30"/>
      <c r="ALU34" s="30"/>
      <c r="ALV34" s="30"/>
      <c r="ALW34" s="30"/>
      <c r="ALX34" s="30"/>
      <c r="ALY34" s="30"/>
      <c r="ALZ34" s="30"/>
      <c r="AMA34" s="30"/>
      <c r="AMB34" s="30"/>
      <c r="AMC34" s="30"/>
      <c r="AMD34" s="30"/>
      <c r="AME34" s="30"/>
      <c r="AMF34" s="30"/>
      <c r="AMG34" s="30"/>
      <c r="AMH34" s="30"/>
      <c r="AMI34" s="30"/>
      <c r="AMJ34" s="30"/>
      <c r="AMK34" s="30"/>
      <c r="AML34" s="30"/>
      <c r="AMM34" s="30"/>
      <c r="AMN34" s="30"/>
      <c r="AMO34" s="30"/>
      <c r="AMP34" s="30"/>
      <c r="AMQ34" s="30"/>
      <c r="AMR34" s="30"/>
      <c r="AMS34" s="30"/>
      <c r="AMT34" s="30"/>
      <c r="AMU34" s="30"/>
      <c r="AMV34" s="30"/>
      <c r="AMW34" s="30"/>
      <c r="AMX34" s="30"/>
      <c r="AMY34" s="30"/>
      <c r="AMZ34" s="30"/>
      <c r="ANA34" s="30"/>
      <c r="ANB34" s="30"/>
      <c r="ANC34" s="30"/>
      <c r="AND34" s="30"/>
      <c r="ANE34" s="30"/>
      <c r="ANF34" s="30"/>
      <c r="ANG34" s="30"/>
      <c r="ANH34" s="30"/>
      <c r="ANI34" s="30"/>
      <c r="ANJ34" s="30"/>
      <c r="ANK34" s="30"/>
      <c r="ANL34" s="30"/>
      <c r="ANM34" s="30"/>
      <c r="ANN34" s="30"/>
      <c r="ANO34" s="30"/>
      <c r="ANP34" s="30"/>
      <c r="ANQ34" s="30"/>
      <c r="ANR34" s="30"/>
      <c r="ANS34" s="30"/>
      <c r="ANT34" s="30"/>
      <c r="ANU34" s="30"/>
      <c r="ANV34" s="30"/>
      <c r="ANW34" s="30"/>
      <c r="ANX34" s="30"/>
      <c r="ANY34" s="30"/>
      <c r="ANZ34" s="30"/>
      <c r="AOA34" s="30"/>
      <c r="AOB34" s="30"/>
      <c r="AOC34" s="30"/>
      <c r="AOD34" s="30"/>
      <c r="AOE34" s="30"/>
      <c r="AOF34" s="30"/>
      <c r="AOG34" s="30"/>
      <c r="AOH34" s="30"/>
      <c r="AOI34" s="30"/>
      <c r="AOJ34" s="30"/>
      <c r="AOK34" s="30"/>
      <c r="AOL34" s="30"/>
      <c r="AOM34" s="30"/>
      <c r="AON34" s="30"/>
      <c r="AOO34" s="30"/>
      <c r="AOP34" s="30"/>
      <c r="AOQ34" s="30"/>
      <c r="AOR34" s="30"/>
      <c r="AOS34" s="30"/>
      <c r="AOT34" s="30"/>
      <c r="AOU34" s="30"/>
      <c r="AOV34" s="30"/>
      <c r="AOW34" s="30"/>
      <c r="AOX34" s="30"/>
      <c r="AOY34" s="30"/>
      <c r="AOZ34" s="30"/>
      <c r="APA34" s="30"/>
      <c r="APB34" s="30"/>
      <c r="APC34" s="30"/>
      <c r="APD34" s="30"/>
      <c r="APE34" s="30"/>
      <c r="APF34" s="30"/>
      <c r="APG34" s="30"/>
      <c r="APH34" s="30"/>
      <c r="API34" s="30"/>
      <c r="APJ34" s="30"/>
      <c r="APK34" s="30"/>
      <c r="APL34" s="30"/>
      <c r="APM34" s="30"/>
      <c r="APN34" s="30"/>
      <c r="APO34" s="30"/>
      <c r="APP34" s="30"/>
      <c r="APQ34" s="30"/>
      <c r="APR34" s="30"/>
      <c r="APS34" s="30"/>
      <c r="APT34" s="30"/>
      <c r="APU34" s="30"/>
      <c r="APV34" s="30"/>
      <c r="APW34" s="30"/>
      <c r="APX34" s="30"/>
      <c r="APY34" s="30"/>
      <c r="APZ34" s="30"/>
      <c r="AQA34" s="30"/>
      <c r="AQB34" s="30"/>
      <c r="AQC34" s="30"/>
      <c r="AQD34" s="30"/>
      <c r="AQE34" s="30"/>
      <c r="AQF34" s="30"/>
      <c r="AQG34" s="30"/>
      <c r="AQH34" s="30"/>
      <c r="AQI34" s="30"/>
      <c r="AQJ34" s="30"/>
      <c r="AQK34" s="30"/>
      <c r="AQL34" s="30"/>
      <c r="AQM34" s="30"/>
      <c r="AQN34" s="30"/>
      <c r="AQO34" s="30"/>
      <c r="AQP34" s="30"/>
      <c r="AQQ34" s="30"/>
      <c r="AQR34" s="30"/>
      <c r="AQS34" s="30"/>
      <c r="AQT34" s="30"/>
      <c r="AQU34" s="30"/>
      <c r="AQV34" s="30"/>
      <c r="AQW34" s="30"/>
      <c r="AQX34" s="30"/>
      <c r="AQY34" s="30"/>
      <c r="AQZ34" s="30"/>
      <c r="ARA34" s="30"/>
      <c r="ARB34" s="30"/>
      <c r="ARC34" s="30"/>
      <c r="ARD34" s="30"/>
      <c r="ARE34" s="30"/>
      <c r="ARF34" s="30"/>
      <c r="ARG34" s="30"/>
      <c r="ARH34" s="30"/>
      <c r="ARI34" s="30"/>
      <c r="ARJ34" s="30"/>
      <c r="ARK34" s="30"/>
      <c r="ARL34" s="30"/>
      <c r="ARM34" s="30"/>
      <c r="ARN34" s="30"/>
      <c r="ARO34" s="30"/>
      <c r="ARP34" s="30"/>
      <c r="ARQ34" s="30"/>
      <c r="ARR34" s="30"/>
      <c r="ARS34" s="30"/>
      <c r="ART34" s="30"/>
      <c r="ARU34" s="30"/>
      <c r="ARV34" s="30"/>
      <c r="ARW34" s="30"/>
      <c r="ARX34" s="30"/>
      <c r="ARY34" s="30"/>
      <c r="ARZ34" s="30"/>
      <c r="ASA34" s="30"/>
      <c r="ASB34" s="30"/>
      <c r="ASC34" s="30"/>
      <c r="ASD34" s="30"/>
      <c r="ASE34" s="30"/>
      <c r="ASF34" s="30"/>
      <c r="ASG34" s="30"/>
      <c r="ASH34" s="30"/>
      <c r="ASI34" s="30"/>
      <c r="ASJ34" s="30"/>
      <c r="ASK34" s="30"/>
      <c r="ASL34" s="30"/>
      <c r="ASM34" s="30"/>
      <c r="ASN34" s="30"/>
      <c r="ASO34" s="30"/>
      <c r="ASP34" s="30"/>
      <c r="ASQ34" s="30"/>
      <c r="ASR34" s="30"/>
      <c r="ASS34" s="30"/>
      <c r="AST34" s="30"/>
      <c r="ASU34" s="30"/>
      <c r="ASV34" s="30"/>
      <c r="ASW34" s="30"/>
      <c r="ASX34" s="30"/>
      <c r="ASY34" s="30"/>
      <c r="ASZ34" s="30"/>
      <c r="ATA34" s="30"/>
      <c r="ATB34" s="30"/>
      <c r="ATC34" s="30"/>
      <c r="ATD34" s="30"/>
      <c r="ATE34" s="30"/>
      <c r="ATF34" s="30"/>
      <c r="ATG34" s="30"/>
      <c r="ATH34" s="30"/>
      <c r="ATI34" s="30"/>
      <c r="ATJ34" s="30"/>
      <c r="ATK34" s="30"/>
      <c r="ATL34" s="30"/>
      <c r="ATM34" s="30"/>
      <c r="ATN34" s="30"/>
      <c r="ATO34" s="30"/>
      <c r="ATP34" s="30"/>
      <c r="ATQ34" s="30"/>
      <c r="ATR34" s="30"/>
      <c r="ATS34" s="30"/>
      <c r="ATT34" s="30"/>
      <c r="ATU34" s="30"/>
      <c r="ATV34" s="30"/>
      <c r="ATW34" s="30"/>
      <c r="ATX34" s="30"/>
      <c r="ATY34" s="30"/>
      <c r="ATZ34" s="30"/>
      <c r="AUA34" s="30"/>
      <c r="AUB34" s="30"/>
      <c r="AUC34" s="30"/>
      <c r="AUD34" s="30"/>
      <c r="AUE34" s="30"/>
      <c r="AUF34" s="30"/>
      <c r="AUG34" s="30"/>
      <c r="AUH34" s="30"/>
      <c r="AUI34" s="30"/>
      <c r="AUJ34" s="30"/>
      <c r="AUK34" s="30"/>
      <c r="AUL34" s="30"/>
      <c r="AUM34" s="30"/>
      <c r="AUN34" s="30"/>
      <c r="AUO34" s="30"/>
      <c r="AUP34" s="30"/>
      <c r="AUQ34" s="30"/>
      <c r="AUR34" s="30"/>
      <c r="AUS34" s="30"/>
      <c r="AUT34" s="30"/>
      <c r="AUU34" s="30"/>
      <c r="AUV34" s="30"/>
      <c r="AUW34" s="30"/>
      <c r="AUX34" s="30"/>
      <c r="AUY34" s="30"/>
      <c r="AUZ34" s="30"/>
      <c r="AVA34" s="30"/>
      <c r="AVB34" s="30"/>
      <c r="AVC34" s="30"/>
      <c r="AVD34" s="30"/>
      <c r="AVE34" s="30"/>
      <c r="AVF34" s="30"/>
      <c r="AVG34" s="30"/>
      <c r="AVH34" s="30"/>
      <c r="AVI34" s="30"/>
      <c r="AVJ34" s="30"/>
      <c r="AVK34" s="30"/>
      <c r="AVL34" s="30"/>
      <c r="AVM34" s="30"/>
      <c r="AVN34" s="30"/>
      <c r="AVO34" s="30"/>
      <c r="AVP34" s="30"/>
      <c r="AVQ34" s="30"/>
      <c r="AVR34" s="30"/>
      <c r="AVS34" s="30"/>
      <c r="AVT34" s="30"/>
      <c r="AVU34" s="30"/>
      <c r="AVV34" s="30"/>
      <c r="AVW34" s="30"/>
      <c r="AVX34" s="30"/>
      <c r="AVY34" s="30"/>
      <c r="AVZ34" s="30"/>
      <c r="AWA34" s="30"/>
      <c r="AWB34" s="30"/>
      <c r="AWC34" s="30"/>
      <c r="AWD34" s="30"/>
      <c r="AWE34" s="30"/>
      <c r="AWF34" s="30"/>
      <c r="AWG34" s="30"/>
      <c r="AWH34" s="30"/>
      <c r="AWI34" s="30"/>
      <c r="AWJ34" s="30"/>
      <c r="AWK34" s="30"/>
      <c r="AWL34" s="30"/>
      <c r="AWM34" s="30"/>
      <c r="AWN34" s="30"/>
      <c r="AWO34" s="30"/>
      <c r="AWP34" s="30"/>
      <c r="AWQ34" s="30"/>
      <c r="AWR34" s="30"/>
      <c r="AWS34" s="30"/>
      <c r="AWT34" s="30"/>
      <c r="AWU34" s="30"/>
      <c r="AWV34" s="30"/>
      <c r="AWW34" s="30"/>
      <c r="AWX34" s="30"/>
      <c r="AWY34" s="30"/>
      <c r="AWZ34" s="30"/>
      <c r="AXA34" s="30"/>
      <c r="AXB34" s="30"/>
      <c r="AXC34" s="30"/>
      <c r="AXD34" s="30"/>
      <c r="AXE34" s="30"/>
      <c r="AXF34" s="30"/>
      <c r="AXG34" s="30"/>
      <c r="AXH34" s="30"/>
      <c r="AXI34" s="30"/>
      <c r="AXJ34" s="30"/>
      <c r="AXK34" s="30"/>
      <c r="AXL34" s="30"/>
      <c r="AXM34" s="30"/>
      <c r="AXN34" s="30"/>
      <c r="AXO34" s="30"/>
      <c r="AXP34" s="30"/>
      <c r="AXQ34" s="30"/>
      <c r="AXR34" s="30"/>
      <c r="AXS34" s="30"/>
      <c r="AXT34" s="30"/>
      <c r="AXU34" s="30"/>
      <c r="AXV34" s="30"/>
      <c r="AXW34" s="30"/>
      <c r="AXX34" s="30"/>
      <c r="AXY34" s="30"/>
      <c r="AXZ34" s="30"/>
      <c r="AYA34" s="30"/>
      <c r="AYB34" s="30"/>
      <c r="AYC34" s="30"/>
      <c r="AYD34" s="30"/>
      <c r="AYE34" s="30"/>
      <c r="AYF34" s="30"/>
      <c r="AYG34" s="30"/>
      <c r="AYH34" s="30"/>
      <c r="AYI34" s="30"/>
      <c r="AYJ34" s="30"/>
      <c r="AYK34" s="30"/>
      <c r="AYL34" s="30"/>
      <c r="AYM34" s="30"/>
      <c r="AYN34" s="30"/>
      <c r="AYO34" s="30"/>
      <c r="AYP34" s="30"/>
      <c r="AYQ34" s="30"/>
      <c r="AYR34" s="30"/>
      <c r="AYS34" s="30"/>
      <c r="AYT34" s="30"/>
      <c r="AYU34" s="30"/>
      <c r="AYV34" s="30"/>
      <c r="AYW34" s="30"/>
      <c r="AYX34" s="30"/>
      <c r="AYY34" s="30"/>
      <c r="AYZ34" s="30"/>
      <c r="AZA34" s="30"/>
      <c r="AZB34" s="30"/>
      <c r="AZC34" s="30"/>
      <c r="AZD34" s="30"/>
      <c r="AZE34" s="30"/>
      <c r="AZF34" s="30"/>
      <c r="AZG34" s="30"/>
      <c r="AZH34" s="30"/>
      <c r="AZI34" s="30"/>
      <c r="AZJ34" s="30"/>
      <c r="AZK34" s="30"/>
      <c r="AZL34" s="30"/>
      <c r="AZM34" s="30"/>
      <c r="AZN34" s="30"/>
      <c r="AZO34" s="30"/>
      <c r="AZP34" s="30"/>
      <c r="AZQ34" s="30"/>
      <c r="AZR34" s="30"/>
      <c r="AZS34" s="30"/>
      <c r="AZT34" s="30"/>
      <c r="AZU34" s="30"/>
      <c r="AZV34" s="30"/>
      <c r="AZW34" s="30"/>
      <c r="AZX34" s="30"/>
      <c r="AZY34" s="30"/>
      <c r="AZZ34" s="30"/>
      <c r="BAA34" s="30"/>
      <c r="BAB34" s="30"/>
      <c r="BAC34" s="30"/>
      <c r="BAD34" s="30"/>
      <c r="BAE34" s="30"/>
      <c r="BAF34" s="30"/>
      <c r="BAG34" s="30"/>
      <c r="BAH34" s="30"/>
      <c r="BAI34" s="30"/>
      <c r="BAJ34" s="30"/>
      <c r="BAK34" s="30"/>
      <c r="BAL34" s="30"/>
      <c r="BAM34" s="30"/>
      <c r="BAN34" s="30"/>
      <c r="BAO34" s="30"/>
      <c r="BAP34" s="30"/>
      <c r="BAQ34" s="30"/>
      <c r="BAR34" s="30"/>
      <c r="BAS34" s="30"/>
      <c r="BAT34" s="30"/>
      <c r="BAU34" s="30"/>
      <c r="BAV34" s="30"/>
      <c r="BAW34" s="30"/>
      <c r="BAX34" s="30"/>
      <c r="BAY34" s="30"/>
      <c r="BAZ34" s="30"/>
      <c r="BBA34" s="30"/>
      <c r="BBB34" s="30"/>
      <c r="BBC34" s="30"/>
      <c r="BBD34" s="30"/>
      <c r="BBE34" s="30"/>
      <c r="BBF34" s="30"/>
      <c r="BBG34" s="30"/>
      <c r="BBH34" s="30"/>
      <c r="BBI34" s="30"/>
      <c r="BBJ34" s="30"/>
      <c r="BBK34" s="30"/>
      <c r="BBL34" s="30"/>
      <c r="BBM34" s="30"/>
      <c r="BBN34" s="30"/>
      <c r="BBO34" s="30"/>
      <c r="BBP34" s="30"/>
      <c r="BBQ34" s="30"/>
      <c r="BBR34" s="30"/>
      <c r="BBS34" s="30"/>
      <c r="BBT34" s="30"/>
      <c r="BBU34" s="30"/>
      <c r="BBV34" s="30"/>
      <c r="BBW34" s="30"/>
      <c r="BBX34" s="30"/>
      <c r="BBY34" s="30"/>
      <c r="BBZ34" s="30"/>
      <c r="BCA34" s="30"/>
      <c r="BCB34" s="30"/>
      <c r="BCC34" s="30"/>
      <c r="BCD34" s="30"/>
      <c r="BCE34" s="30"/>
      <c r="BCF34" s="30"/>
      <c r="BCG34" s="30"/>
      <c r="BCH34" s="30"/>
      <c r="BCI34" s="30"/>
      <c r="BCJ34" s="30"/>
      <c r="BCK34" s="30"/>
      <c r="BCL34" s="30"/>
      <c r="BCM34" s="30"/>
      <c r="BCN34" s="30"/>
      <c r="BCO34" s="30"/>
      <c r="BCP34" s="30"/>
      <c r="BCQ34" s="30"/>
      <c r="BCR34" s="30"/>
      <c r="BCS34" s="30"/>
      <c r="BCT34" s="30"/>
      <c r="BCU34" s="30"/>
      <c r="BCV34" s="30"/>
      <c r="BCW34" s="30"/>
      <c r="BCX34" s="30"/>
      <c r="BCY34" s="30"/>
      <c r="BCZ34" s="30"/>
      <c r="BDA34" s="30"/>
      <c r="BDB34" s="30"/>
      <c r="BDC34" s="30"/>
      <c r="BDD34" s="30"/>
      <c r="BDE34" s="30"/>
      <c r="BDF34" s="30"/>
      <c r="BDG34" s="30"/>
      <c r="BDH34" s="30"/>
      <c r="BDI34" s="30"/>
      <c r="BDJ34" s="30"/>
      <c r="BDK34" s="30"/>
      <c r="BDL34" s="30"/>
      <c r="BDM34" s="30"/>
      <c r="BDN34" s="30"/>
      <c r="BDO34" s="30"/>
      <c r="BDP34" s="30"/>
      <c r="BDQ34" s="30"/>
      <c r="BDR34" s="30"/>
      <c r="BDS34" s="30"/>
      <c r="BDT34" s="30"/>
      <c r="BDU34" s="30"/>
      <c r="BDV34" s="30"/>
      <c r="BDW34" s="30"/>
      <c r="BDX34" s="30"/>
      <c r="BDY34" s="30"/>
      <c r="BDZ34" s="30"/>
      <c r="BEA34" s="30"/>
      <c r="BEB34" s="30"/>
      <c r="BEC34" s="30"/>
      <c r="BED34" s="30"/>
      <c r="BEE34" s="30"/>
      <c r="BEF34" s="30"/>
      <c r="BEG34" s="30"/>
      <c r="BEH34" s="30"/>
      <c r="BEI34" s="30"/>
      <c r="BEJ34" s="30"/>
      <c r="BEK34" s="30"/>
      <c r="BEL34" s="30"/>
      <c r="BEM34" s="30"/>
      <c r="BEN34" s="30"/>
      <c r="BEO34" s="30"/>
      <c r="BEP34" s="30"/>
      <c r="BEQ34" s="30"/>
      <c r="BER34" s="30"/>
      <c r="BES34" s="30"/>
      <c r="BET34" s="30"/>
      <c r="BEU34" s="30"/>
      <c r="BEV34" s="30"/>
      <c r="BEW34" s="30"/>
      <c r="BEX34" s="30"/>
      <c r="BEY34" s="30"/>
      <c r="BEZ34" s="30"/>
      <c r="BFA34" s="30"/>
      <c r="BFB34" s="30"/>
      <c r="BFC34" s="30"/>
      <c r="BFD34" s="30"/>
      <c r="BFE34" s="30"/>
      <c r="BFF34" s="30"/>
      <c r="BFG34" s="30"/>
      <c r="BFH34" s="30"/>
      <c r="BFI34" s="30"/>
      <c r="BFJ34" s="30"/>
      <c r="BFK34" s="30"/>
      <c r="BFL34" s="30"/>
      <c r="BFM34" s="30"/>
      <c r="BFN34" s="30"/>
      <c r="BFO34" s="30"/>
      <c r="BFP34" s="30"/>
      <c r="BFQ34" s="30"/>
      <c r="BFR34" s="30"/>
      <c r="BFS34" s="30"/>
      <c r="BFT34" s="30"/>
      <c r="BFU34" s="30"/>
      <c r="BFV34" s="30"/>
      <c r="BFW34" s="30"/>
      <c r="BFX34" s="30"/>
      <c r="BFY34" s="30"/>
      <c r="BFZ34" s="30"/>
      <c r="BGA34" s="30"/>
      <c r="BGB34" s="30"/>
      <c r="BGC34" s="30"/>
      <c r="BGD34" s="30"/>
      <c r="BGE34" s="30"/>
      <c r="BGF34" s="30"/>
      <c r="BGG34" s="30"/>
      <c r="BGH34" s="30"/>
      <c r="BGI34" s="30"/>
      <c r="BGJ34" s="30"/>
      <c r="BGK34" s="30"/>
      <c r="BGL34" s="30"/>
      <c r="BGM34" s="30"/>
      <c r="BGN34" s="30"/>
      <c r="BGO34" s="30"/>
      <c r="BGP34" s="30"/>
      <c r="BGQ34" s="30"/>
      <c r="BGR34" s="30"/>
      <c r="BGS34" s="30"/>
      <c r="BGT34" s="30"/>
      <c r="BGU34" s="30"/>
      <c r="BGV34" s="30"/>
      <c r="BGW34" s="30"/>
      <c r="BGX34" s="30"/>
      <c r="BGY34" s="30"/>
      <c r="BGZ34" s="30"/>
      <c r="BHA34" s="30"/>
      <c r="BHB34" s="30"/>
      <c r="BHC34" s="30"/>
      <c r="BHD34" s="30"/>
      <c r="BHE34" s="30"/>
      <c r="BHF34" s="30"/>
      <c r="BHG34" s="30"/>
      <c r="BHH34" s="30"/>
      <c r="BHI34" s="30"/>
      <c r="BHJ34" s="30"/>
      <c r="BHK34" s="30"/>
      <c r="BHL34" s="30"/>
      <c r="BHM34" s="30"/>
      <c r="BHN34" s="30"/>
      <c r="BHO34" s="30"/>
      <c r="BHP34" s="30"/>
      <c r="BHQ34" s="30"/>
      <c r="BHR34" s="30"/>
      <c r="BHS34" s="30"/>
      <c r="BHT34" s="30"/>
      <c r="BHU34" s="30"/>
      <c r="BHV34" s="30"/>
      <c r="BHW34" s="30"/>
      <c r="BHX34" s="30"/>
      <c r="BHY34" s="30"/>
      <c r="BHZ34" s="30"/>
      <c r="BIA34" s="30"/>
      <c r="BIB34" s="30"/>
      <c r="BIC34" s="30"/>
      <c r="BID34" s="30"/>
      <c r="BIE34" s="30"/>
      <c r="BIF34" s="30"/>
      <c r="BIG34" s="30"/>
      <c r="BIH34" s="30"/>
      <c r="BII34" s="30"/>
      <c r="BIJ34" s="30"/>
      <c r="BIK34" s="30"/>
      <c r="BIL34" s="30"/>
      <c r="BIM34" s="30"/>
      <c r="BIN34" s="30"/>
      <c r="BIO34" s="30"/>
      <c r="BIP34" s="30"/>
      <c r="BIQ34" s="30"/>
      <c r="BIR34" s="30"/>
      <c r="BIS34" s="30"/>
      <c r="BIT34" s="30"/>
      <c r="BIU34" s="30"/>
      <c r="BIV34" s="30"/>
      <c r="BIW34" s="30"/>
      <c r="BIX34" s="30"/>
      <c r="BIY34" s="30"/>
      <c r="BIZ34" s="30"/>
      <c r="BJA34" s="30"/>
      <c r="BJB34" s="30"/>
      <c r="BJC34" s="30"/>
      <c r="BJD34" s="30"/>
      <c r="BJE34" s="30"/>
      <c r="BJF34" s="30"/>
      <c r="BJG34" s="30"/>
      <c r="BJH34" s="30"/>
      <c r="BJI34" s="30"/>
      <c r="BJJ34" s="30"/>
      <c r="BJK34" s="30"/>
      <c r="BJL34" s="30"/>
      <c r="BJM34" s="30"/>
      <c r="BJN34" s="30"/>
      <c r="BJO34" s="30"/>
      <c r="BJP34" s="30"/>
      <c r="BJQ34" s="30"/>
      <c r="BJR34" s="30"/>
      <c r="BJS34" s="30"/>
      <c r="BJT34" s="30"/>
      <c r="BJU34" s="30"/>
      <c r="BJV34" s="30"/>
      <c r="BJW34" s="30"/>
      <c r="BJX34" s="30"/>
      <c r="BJY34" s="30"/>
      <c r="BJZ34" s="30"/>
      <c r="BKA34" s="30"/>
      <c r="BKB34" s="30"/>
      <c r="BKC34" s="30"/>
      <c r="BKD34" s="30"/>
      <c r="BKE34" s="30"/>
      <c r="BKF34" s="30"/>
      <c r="BKG34" s="30"/>
      <c r="BKH34" s="30"/>
      <c r="BKI34" s="30"/>
      <c r="BKJ34" s="30"/>
      <c r="BKK34" s="30"/>
      <c r="BKL34" s="30"/>
      <c r="BKM34" s="30"/>
      <c r="BKN34" s="30"/>
      <c r="BKO34" s="30"/>
      <c r="BKP34" s="30"/>
      <c r="BKQ34" s="30"/>
      <c r="BKR34" s="30"/>
      <c r="BKS34" s="30"/>
      <c r="BKT34" s="30"/>
      <c r="BKU34" s="30"/>
      <c r="BKV34" s="30"/>
      <c r="BKW34" s="30"/>
      <c r="BKX34" s="30"/>
      <c r="BKY34" s="30"/>
      <c r="BKZ34" s="30"/>
      <c r="BLA34" s="30"/>
      <c r="BLB34" s="30"/>
      <c r="BLC34" s="30"/>
      <c r="BLD34" s="30"/>
      <c r="BLE34" s="30"/>
      <c r="BLF34" s="30"/>
      <c r="BLG34" s="30"/>
      <c r="BLH34" s="30"/>
      <c r="BLI34" s="30"/>
      <c r="BLJ34" s="30"/>
      <c r="BLK34" s="30"/>
      <c r="BLL34" s="30"/>
      <c r="BLM34" s="30"/>
      <c r="BLN34" s="30"/>
      <c r="BLO34" s="30"/>
      <c r="BLP34" s="30"/>
      <c r="BLQ34" s="30"/>
      <c r="BLR34" s="30"/>
      <c r="BLS34" s="30"/>
      <c r="BLT34" s="30"/>
      <c r="BLU34" s="30"/>
      <c r="BLV34" s="30"/>
      <c r="BLW34" s="30"/>
      <c r="BLX34" s="30"/>
      <c r="BLY34" s="30"/>
      <c r="BLZ34" s="30"/>
      <c r="BMA34" s="30"/>
      <c r="BMB34" s="30"/>
      <c r="BMC34" s="30"/>
      <c r="BMD34" s="30"/>
      <c r="BME34" s="30"/>
      <c r="BMF34" s="30"/>
      <c r="BMG34" s="30"/>
      <c r="BMH34" s="30"/>
      <c r="BMI34" s="30"/>
      <c r="BMJ34" s="30"/>
      <c r="BMK34" s="30"/>
      <c r="BML34" s="30"/>
      <c r="BMM34" s="30"/>
      <c r="BMN34" s="30"/>
      <c r="BMO34" s="30"/>
      <c r="BMP34" s="30"/>
      <c r="BMQ34" s="30"/>
      <c r="BMR34" s="30"/>
      <c r="BMS34" s="30"/>
      <c r="BMT34" s="30"/>
      <c r="BMU34" s="30"/>
      <c r="BMV34" s="30"/>
      <c r="BMW34" s="30"/>
      <c r="BMX34" s="30"/>
      <c r="BMY34" s="30"/>
      <c r="BMZ34" s="30"/>
      <c r="BNA34" s="30"/>
      <c r="BNB34" s="30"/>
      <c r="BNC34" s="30"/>
      <c r="BND34" s="30"/>
      <c r="BNE34" s="30"/>
      <c r="BNF34" s="30"/>
      <c r="BNG34" s="30"/>
      <c r="BNH34" s="30"/>
      <c r="BNI34" s="30"/>
      <c r="BNJ34" s="30"/>
      <c r="BNK34" s="30"/>
      <c r="BNL34" s="30"/>
      <c r="BNM34" s="30"/>
      <c r="BNN34" s="30"/>
      <c r="BNO34" s="30"/>
      <c r="BNP34" s="30"/>
      <c r="BNQ34" s="30"/>
      <c r="BNR34" s="30"/>
      <c r="BNS34" s="30"/>
      <c r="BNT34" s="30"/>
      <c r="BNU34" s="30"/>
      <c r="BNV34" s="30"/>
      <c r="BNW34" s="30"/>
      <c r="BNX34" s="30"/>
      <c r="BNY34" s="30"/>
      <c r="BNZ34" s="30"/>
      <c r="BOA34" s="30"/>
      <c r="BOB34" s="30"/>
      <c r="BOC34" s="30"/>
      <c r="BOD34" s="30"/>
      <c r="BOE34" s="30"/>
      <c r="BOF34" s="30"/>
      <c r="BOG34" s="30"/>
      <c r="BOH34" s="30"/>
      <c r="BOI34" s="30"/>
      <c r="BOJ34" s="30"/>
      <c r="BOK34" s="30"/>
      <c r="BOL34" s="30"/>
      <c r="BOM34" s="30"/>
      <c r="BON34" s="30"/>
      <c r="BOO34" s="30"/>
      <c r="BOP34" s="30"/>
      <c r="BOQ34" s="30"/>
      <c r="BOR34" s="30"/>
      <c r="BOS34" s="30"/>
      <c r="BOT34" s="30"/>
      <c r="BOU34" s="30"/>
      <c r="BOV34" s="30"/>
      <c r="BOW34" s="30"/>
      <c r="BOX34" s="30"/>
      <c r="BOY34" s="30"/>
      <c r="BOZ34" s="30"/>
      <c r="BPA34" s="30"/>
      <c r="BPB34" s="30"/>
      <c r="BPC34" s="30"/>
      <c r="BPD34" s="30"/>
      <c r="BPE34" s="30"/>
      <c r="BPF34" s="30"/>
      <c r="BPG34" s="30"/>
      <c r="BPH34" s="30"/>
      <c r="BPI34" s="30"/>
      <c r="BPJ34" s="30"/>
      <c r="BPK34" s="30"/>
      <c r="BPL34" s="30"/>
      <c r="BPM34" s="30"/>
      <c r="BPN34" s="30"/>
      <c r="BPO34" s="30"/>
      <c r="BPP34" s="30"/>
      <c r="BPQ34" s="30"/>
      <c r="BPR34" s="30"/>
      <c r="BPS34" s="30"/>
      <c r="BPT34" s="30"/>
      <c r="BPU34" s="30"/>
      <c r="BPV34" s="30"/>
      <c r="BPW34" s="30"/>
      <c r="BPX34" s="30"/>
      <c r="BPY34" s="30"/>
      <c r="BPZ34" s="30"/>
      <c r="BQA34" s="30"/>
      <c r="BQB34" s="30"/>
      <c r="BQC34" s="30"/>
      <c r="BQD34" s="30"/>
      <c r="BQE34" s="30"/>
      <c r="BQF34" s="30"/>
      <c r="BQG34" s="30"/>
      <c r="BQH34" s="30"/>
      <c r="BQI34" s="30"/>
      <c r="BQJ34" s="30"/>
      <c r="BQK34" s="30"/>
      <c r="BQL34" s="30"/>
      <c r="BQM34" s="30"/>
      <c r="BQN34" s="30"/>
      <c r="BQO34" s="30"/>
      <c r="BQP34" s="30"/>
      <c r="BQQ34" s="30"/>
      <c r="BQR34" s="30"/>
      <c r="BQS34" s="30"/>
      <c r="BQT34" s="30"/>
      <c r="BQU34" s="30"/>
      <c r="BQV34" s="30"/>
      <c r="BQW34" s="30"/>
      <c r="BQX34" s="30"/>
      <c r="BQY34" s="30"/>
      <c r="BQZ34" s="30"/>
      <c r="BRA34" s="30"/>
      <c r="BRB34" s="30"/>
      <c r="BRC34" s="30"/>
      <c r="BRD34" s="30"/>
      <c r="BRE34" s="30"/>
      <c r="BRF34" s="30"/>
      <c r="BRG34" s="30"/>
      <c r="BRH34" s="30"/>
      <c r="BRI34" s="30"/>
      <c r="BRJ34" s="30"/>
      <c r="BRK34" s="30"/>
      <c r="BRL34" s="30"/>
      <c r="BRM34" s="30"/>
      <c r="BRN34" s="30"/>
      <c r="BRO34" s="30"/>
      <c r="BRP34" s="30"/>
      <c r="BRQ34" s="30"/>
      <c r="BRR34" s="30"/>
      <c r="BRS34" s="30"/>
      <c r="BRT34" s="30"/>
      <c r="BRU34" s="30"/>
      <c r="BRV34" s="30"/>
      <c r="BRW34" s="30"/>
      <c r="BRX34" s="30"/>
      <c r="BRY34" s="30"/>
      <c r="BRZ34" s="30"/>
      <c r="BSA34" s="30"/>
      <c r="BSB34" s="30"/>
      <c r="BSC34" s="30"/>
      <c r="BSD34" s="30"/>
      <c r="BSE34" s="30"/>
      <c r="BSF34" s="30"/>
      <c r="BSG34" s="30"/>
      <c r="BSH34" s="30"/>
      <c r="BSI34" s="30"/>
      <c r="BSJ34" s="30"/>
      <c r="BSK34" s="30"/>
      <c r="BSL34" s="30"/>
      <c r="BSM34" s="30"/>
      <c r="BSN34" s="30"/>
      <c r="BSO34" s="30"/>
      <c r="BSP34" s="30"/>
      <c r="BSQ34" s="30"/>
      <c r="BSR34" s="30"/>
      <c r="BSS34" s="30"/>
      <c r="BST34" s="30"/>
      <c r="BSU34" s="30"/>
      <c r="BSV34" s="30"/>
      <c r="BSW34" s="30"/>
      <c r="BSX34" s="30"/>
      <c r="BSY34" s="30"/>
      <c r="BSZ34" s="30"/>
      <c r="BTA34" s="30"/>
      <c r="BTB34" s="30"/>
      <c r="BTC34" s="30"/>
      <c r="BTD34" s="30"/>
      <c r="BTE34" s="30"/>
      <c r="BTF34" s="30"/>
      <c r="BTG34" s="30"/>
      <c r="BTH34" s="30"/>
      <c r="BTI34" s="30"/>
      <c r="BTJ34" s="30"/>
      <c r="BTK34" s="30"/>
      <c r="BTL34" s="30"/>
      <c r="BTM34" s="30"/>
      <c r="BTN34" s="30"/>
      <c r="BTO34" s="30"/>
      <c r="BTP34" s="30"/>
      <c r="BTQ34" s="30"/>
      <c r="BTR34" s="30"/>
      <c r="BTS34" s="30"/>
      <c r="BTT34" s="30"/>
      <c r="BTU34" s="30"/>
      <c r="BTV34" s="30"/>
      <c r="BTW34" s="30"/>
      <c r="BTX34" s="30"/>
      <c r="BTY34" s="30"/>
      <c r="BTZ34" s="30"/>
      <c r="BUA34" s="30"/>
      <c r="BUB34" s="30"/>
      <c r="BUC34" s="30"/>
      <c r="BUD34" s="30"/>
      <c r="BUE34" s="30"/>
      <c r="BUF34" s="30"/>
      <c r="BUG34" s="30"/>
      <c r="BUH34" s="30"/>
      <c r="BUI34" s="30"/>
      <c r="BUJ34" s="30"/>
      <c r="BUK34" s="30"/>
      <c r="BUL34" s="30"/>
      <c r="BUM34" s="30"/>
      <c r="BUN34" s="30"/>
      <c r="BUO34" s="30"/>
      <c r="BUP34" s="30"/>
      <c r="BUQ34" s="30"/>
      <c r="BUR34" s="30"/>
      <c r="BUS34" s="30"/>
      <c r="BUT34" s="30"/>
      <c r="BUU34" s="30"/>
      <c r="BUV34" s="30"/>
      <c r="BUW34" s="30"/>
      <c r="BUX34" s="30"/>
      <c r="BUY34" s="30"/>
      <c r="BUZ34" s="30"/>
      <c r="BVA34" s="30"/>
      <c r="BVB34" s="30"/>
      <c r="BVC34" s="30"/>
      <c r="BVD34" s="30"/>
      <c r="BVE34" s="30"/>
      <c r="BVF34" s="30"/>
      <c r="BVG34" s="30"/>
      <c r="BVH34" s="30"/>
      <c r="BVI34" s="30"/>
      <c r="BVJ34" s="30"/>
      <c r="BVK34" s="30"/>
      <c r="BVL34" s="30"/>
      <c r="BVM34" s="30"/>
      <c r="BVN34" s="30"/>
      <c r="BVO34" s="30"/>
      <c r="BVP34" s="30"/>
      <c r="BVQ34" s="30"/>
      <c r="BVR34" s="30"/>
      <c r="BVS34" s="30"/>
      <c r="BVT34" s="30"/>
      <c r="BVU34" s="30"/>
      <c r="BVV34" s="30"/>
      <c r="BVW34" s="30"/>
      <c r="BVX34" s="30"/>
      <c r="BVY34" s="30"/>
      <c r="BVZ34" s="30"/>
      <c r="BWA34" s="30"/>
      <c r="BWB34" s="30"/>
      <c r="BWC34" s="30"/>
      <c r="BWD34" s="30"/>
      <c r="BWE34" s="30"/>
      <c r="BWF34" s="30"/>
      <c r="BWG34" s="30"/>
      <c r="BWH34" s="30"/>
      <c r="BWI34" s="30"/>
      <c r="BWJ34" s="30"/>
      <c r="BWK34" s="30"/>
      <c r="BWL34" s="30"/>
      <c r="BWM34" s="30"/>
      <c r="BWN34" s="30"/>
      <c r="BWO34" s="30"/>
      <c r="BWP34" s="30"/>
      <c r="BWQ34" s="30"/>
      <c r="BWR34" s="30"/>
      <c r="BWS34" s="30"/>
      <c r="BWT34" s="30"/>
      <c r="BWU34" s="30"/>
      <c r="BWV34" s="30"/>
      <c r="BWW34" s="30"/>
      <c r="BWX34" s="30"/>
      <c r="BWY34" s="30"/>
      <c r="BWZ34" s="30"/>
      <c r="BXA34" s="30"/>
      <c r="BXB34" s="30"/>
      <c r="BXC34" s="30"/>
      <c r="BXD34" s="30"/>
      <c r="BXE34" s="30"/>
      <c r="BXF34" s="30"/>
      <c r="BXG34" s="30"/>
      <c r="BXH34" s="30"/>
      <c r="BXI34" s="30"/>
      <c r="BXJ34" s="30"/>
      <c r="BXK34" s="30"/>
      <c r="BXL34" s="30"/>
      <c r="BXM34" s="30"/>
      <c r="BXN34" s="30"/>
      <c r="BXO34" s="30"/>
      <c r="BXP34" s="30"/>
      <c r="BXQ34" s="30"/>
      <c r="BXR34" s="30"/>
      <c r="BXS34" s="30"/>
      <c r="BXT34" s="30"/>
      <c r="BXU34" s="30"/>
      <c r="BXV34" s="30"/>
      <c r="BXW34" s="30"/>
      <c r="BXX34" s="30"/>
      <c r="BXY34" s="30"/>
      <c r="BXZ34" s="30"/>
      <c r="BYA34" s="30"/>
      <c r="BYB34" s="30"/>
      <c r="BYC34" s="30"/>
      <c r="BYD34" s="30"/>
      <c r="BYE34" s="30"/>
      <c r="BYF34" s="30"/>
      <c r="BYG34" s="30"/>
      <c r="BYH34" s="30"/>
      <c r="BYI34" s="30"/>
      <c r="BYJ34" s="30"/>
      <c r="BYK34" s="30"/>
      <c r="BYL34" s="30"/>
      <c r="BYM34" s="30"/>
      <c r="BYN34" s="30"/>
      <c r="BYO34" s="30"/>
      <c r="BYP34" s="30"/>
      <c r="BYQ34" s="30"/>
      <c r="BYR34" s="30"/>
      <c r="BYS34" s="30"/>
      <c r="BYT34" s="30"/>
      <c r="BYU34" s="30"/>
      <c r="BYV34" s="30"/>
      <c r="BYW34" s="30"/>
      <c r="BYX34" s="30"/>
      <c r="BYY34" s="30"/>
      <c r="BYZ34" s="30"/>
      <c r="BZA34" s="30"/>
      <c r="BZB34" s="30"/>
      <c r="BZC34" s="30"/>
      <c r="BZD34" s="30"/>
      <c r="BZE34" s="30"/>
      <c r="BZF34" s="30"/>
      <c r="BZG34" s="30"/>
      <c r="BZH34" s="30"/>
      <c r="BZI34" s="30"/>
      <c r="BZJ34" s="30"/>
      <c r="BZK34" s="30"/>
      <c r="BZL34" s="30"/>
      <c r="BZM34" s="30"/>
      <c r="BZN34" s="30"/>
      <c r="BZO34" s="30"/>
      <c r="BZP34" s="30"/>
      <c r="BZQ34" s="30"/>
      <c r="BZR34" s="30"/>
      <c r="BZS34" s="30"/>
      <c r="BZT34" s="30"/>
      <c r="BZU34" s="30"/>
      <c r="BZV34" s="30"/>
      <c r="BZW34" s="30"/>
      <c r="BZX34" s="30"/>
      <c r="BZY34" s="30"/>
      <c r="BZZ34" s="30"/>
      <c r="CAA34" s="30"/>
      <c r="CAB34" s="30"/>
      <c r="CAC34" s="30"/>
      <c r="CAD34" s="30"/>
      <c r="CAE34" s="30"/>
      <c r="CAF34" s="30"/>
      <c r="CAG34" s="30"/>
      <c r="CAH34" s="30"/>
      <c r="CAI34" s="30"/>
      <c r="CAJ34" s="30"/>
      <c r="CAK34" s="30"/>
      <c r="CAL34" s="30"/>
      <c r="CAM34" s="30"/>
      <c r="CAN34" s="30"/>
      <c r="CAO34" s="30"/>
      <c r="CAP34" s="30"/>
      <c r="CAQ34" s="30"/>
      <c r="CAR34" s="30"/>
      <c r="CAS34" s="30"/>
      <c r="CAT34" s="30"/>
      <c r="CAU34" s="30"/>
      <c r="CAV34" s="30"/>
      <c r="CAW34" s="30"/>
      <c r="CAX34" s="30"/>
      <c r="CAY34" s="30"/>
      <c r="CAZ34" s="30"/>
      <c r="CBA34" s="30"/>
      <c r="CBB34" s="30"/>
      <c r="CBC34" s="30"/>
      <c r="CBD34" s="30"/>
      <c r="CBE34" s="30"/>
      <c r="CBF34" s="30"/>
      <c r="CBG34" s="30"/>
      <c r="CBH34" s="30"/>
      <c r="CBI34" s="30"/>
      <c r="CBJ34" s="30"/>
      <c r="CBK34" s="30"/>
      <c r="CBL34" s="30"/>
      <c r="CBM34" s="30"/>
      <c r="CBN34" s="30"/>
      <c r="CBO34" s="30"/>
      <c r="CBP34" s="30"/>
      <c r="CBQ34" s="30"/>
      <c r="CBR34" s="30"/>
      <c r="CBS34" s="30"/>
      <c r="CBT34" s="30"/>
      <c r="CBU34" s="30"/>
      <c r="CBV34" s="30"/>
      <c r="CBW34" s="30"/>
      <c r="CBX34" s="30"/>
      <c r="CBY34" s="30"/>
      <c r="CBZ34" s="30"/>
      <c r="CCA34" s="30"/>
      <c r="CCB34" s="30"/>
      <c r="CCC34" s="30"/>
      <c r="CCD34" s="30"/>
      <c r="CCE34" s="30"/>
      <c r="CCF34" s="30"/>
      <c r="CCG34" s="30"/>
      <c r="CCH34" s="30"/>
      <c r="CCI34" s="30"/>
      <c r="CCJ34" s="30"/>
      <c r="CCK34" s="30"/>
      <c r="CCL34" s="30"/>
      <c r="CCM34" s="30"/>
      <c r="CCN34" s="30"/>
      <c r="CCO34" s="30"/>
      <c r="CCP34" s="30"/>
      <c r="CCQ34" s="30"/>
      <c r="CCR34" s="30"/>
      <c r="CCS34" s="30"/>
      <c r="CCT34" s="30"/>
      <c r="CCU34" s="30"/>
      <c r="CCV34" s="30"/>
      <c r="CCW34" s="30"/>
      <c r="CCX34" s="30"/>
      <c r="CCY34" s="30"/>
      <c r="CCZ34" s="30"/>
      <c r="CDA34" s="30"/>
      <c r="CDB34" s="30"/>
      <c r="CDC34" s="30"/>
      <c r="CDD34" s="30"/>
      <c r="CDE34" s="30"/>
      <c r="CDF34" s="30"/>
      <c r="CDG34" s="30"/>
      <c r="CDH34" s="30"/>
      <c r="CDI34" s="30"/>
      <c r="CDJ34" s="30"/>
      <c r="CDK34" s="30"/>
      <c r="CDL34" s="30"/>
      <c r="CDM34" s="30"/>
      <c r="CDN34" s="30"/>
      <c r="CDO34" s="30"/>
      <c r="CDP34" s="30"/>
      <c r="CDQ34" s="30"/>
      <c r="CDR34" s="30"/>
      <c r="CDS34" s="30"/>
      <c r="CDT34" s="30"/>
      <c r="CDU34" s="30"/>
      <c r="CDV34" s="30"/>
      <c r="CDW34" s="30"/>
      <c r="CDX34" s="30"/>
      <c r="CDY34" s="30"/>
      <c r="CDZ34" s="30"/>
      <c r="CEA34" s="30"/>
      <c r="CEB34" s="30"/>
      <c r="CEC34" s="30"/>
      <c r="CED34" s="30"/>
      <c r="CEE34" s="30"/>
      <c r="CEF34" s="30"/>
      <c r="CEG34" s="30"/>
      <c r="CEH34" s="30"/>
      <c r="CEI34" s="30"/>
      <c r="CEJ34" s="30"/>
      <c r="CEK34" s="30"/>
      <c r="CEL34" s="30"/>
      <c r="CEM34" s="30"/>
      <c r="CEN34" s="30"/>
      <c r="CEO34" s="30"/>
      <c r="CEP34" s="30"/>
      <c r="CEQ34" s="30"/>
      <c r="CER34" s="30"/>
      <c r="CES34" s="30"/>
      <c r="CET34" s="30"/>
      <c r="CEU34" s="30"/>
      <c r="CEV34" s="30"/>
      <c r="CEW34" s="30"/>
      <c r="CEX34" s="30"/>
      <c r="CEY34" s="30"/>
      <c r="CEZ34" s="30"/>
      <c r="CFA34" s="30"/>
      <c r="CFB34" s="30"/>
      <c r="CFC34" s="30"/>
      <c r="CFD34" s="30"/>
      <c r="CFE34" s="30"/>
      <c r="CFF34" s="30"/>
      <c r="CFG34" s="30"/>
      <c r="CFH34" s="30"/>
      <c r="CFI34" s="30"/>
      <c r="CFJ34" s="30"/>
      <c r="CFK34" s="30"/>
      <c r="CFL34" s="30"/>
      <c r="CFM34" s="30"/>
      <c r="CFN34" s="30"/>
      <c r="CFO34" s="30"/>
      <c r="CFP34" s="30"/>
      <c r="CFQ34" s="30"/>
      <c r="CFR34" s="30"/>
      <c r="CFS34" s="30"/>
      <c r="CFT34" s="30"/>
      <c r="CFU34" s="30"/>
      <c r="CFV34" s="30"/>
      <c r="CFW34" s="30"/>
      <c r="CFX34" s="30"/>
      <c r="CFY34" s="30"/>
      <c r="CFZ34" s="30"/>
      <c r="CGA34" s="30"/>
      <c r="CGB34" s="30"/>
      <c r="CGC34" s="30"/>
      <c r="CGD34" s="30"/>
      <c r="CGE34" s="30"/>
      <c r="CGF34" s="30"/>
      <c r="CGG34" s="30"/>
      <c r="CGH34" s="30"/>
      <c r="CGI34" s="30"/>
      <c r="CGJ34" s="30"/>
      <c r="CGK34" s="30"/>
      <c r="CGL34" s="30"/>
      <c r="CGM34" s="30"/>
      <c r="CGN34" s="30"/>
      <c r="CGO34" s="30"/>
      <c r="CGP34" s="30"/>
      <c r="CGQ34" s="30"/>
      <c r="CGR34" s="30"/>
      <c r="CGS34" s="30"/>
      <c r="CGT34" s="30"/>
      <c r="CGU34" s="30"/>
      <c r="CGV34" s="30"/>
      <c r="CGW34" s="30"/>
      <c r="CGX34" s="30"/>
      <c r="CGY34" s="30"/>
      <c r="CGZ34" s="30"/>
      <c r="CHA34" s="30"/>
      <c r="CHB34" s="30"/>
      <c r="CHC34" s="30"/>
      <c r="CHD34" s="30"/>
      <c r="CHE34" s="30"/>
      <c r="CHF34" s="30"/>
      <c r="CHG34" s="30"/>
      <c r="CHH34" s="30"/>
      <c r="CHI34" s="30"/>
      <c r="CHJ34" s="30"/>
      <c r="CHK34" s="30"/>
      <c r="CHL34" s="30"/>
      <c r="CHM34" s="30"/>
      <c r="CHN34" s="30"/>
      <c r="CHO34" s="30"/>
      <c r="CHP34" s="30"/>
      <c r="CHQ34" s="30"/>
      <c r="CHR34" s="30"/>
      <c r="CHS34" s="30"/>
      <c r="CHT34" s="30"/>
      <c r="CHU34" s="30"/>
      <c r="CHV34" s="30"/>
      <c r="CHW34" s="30"/>
      <c r="CHX34" s="30"/>
      <c r="CHY34" s="30"/>
      <c r="CHZ34" s="30"/>
      <c r="CIA34" s="30"/>
      <c r="CIB34" s="30"/>
      <c r="CIC34" s="30"/>
      <c r="CID34" s="30"/>
      <c r="CIE34" s="30"/>
      <c r="CIF34" s="30"/>
      <c r="CIG34" s="30"/>
      <c r="CIH34" s="30"/>
      <c r="CII34" s="30"/>
      <c r="CIJ34" s="30"/>
      <c r="CIK34" s="30"/>
      <c r="CIL34" s="30"/>
      <c r="CIM34" s="30"/>
      <c r="CIN34" s="30"/>
      <c r="CIO34" s="30"/>
      <c r="CIP34" s="30"/>
      <c r="CIQ34" s="30"/>
      <c r="CIR34" s="30"/>
      <c r="CIS34" s="30"/>
      <c r="CIT34" s="30"/>
      <c r="CIU34" s="30"/>
      <c r="CIV34" s="30"/>
      <c r="CIW34" s="30"/>
      <c r="CIX34" s="30"/>
      <c r="CIY34" s="30"/>
      <c r="CIZ34" s="30"/>
      <c r="CJA34" s="30"/>
      <c r="CJB34" s="30"/>
      <c r="CJC34" s="30"/>
      <c r="CJD34" s="30"/>
      <c r="CJE34" s="30"/>
      <c r="CJF34" s="30"/>
      <c r="CJG34" s="30"/>
      <c r="CJH34" s="30"/>
      <c r="CJI34" s="30"/>
      <c r="CJJ34" s="30"/>
      <c r="CJK34" s="30"/>
      <c r="CJL34" s="30"/>
      <c r="CJM34" s="30"/>
      <c r="CJN34" s="30"/>
      <c r="CJO34" s="30"/>
      <c r="CJP34" s="30"/>
      <c r="CJQ34" s="30"/>
      <c r="CJR34" s="30"/>
      <c r="CJS34" s="30"/>
      <c r="CJT34" s="30"/>
      <c r="CJU34" s="30"/>
      <c r="CJV34" s="30"/>
      <c r="CJW34" s="30"/>
      <c r="CJX34" s="30"/>
      <c r="CJY34" s="30"/>
      <c r="CJZ34" s="30"/>
      <c r="CKA34" s="30"/>
      <c r="CKB34" s="30"/>
      <c r="CKC34" s="30"/>
      <c r="CKD34" s="30"/>
      <c r="CKE34" s="30"/>
      <c r="CKF34" s="30"/>
      <c r="CKG34" s="30"/>
      <c r="CKH34" s="30"/>
      <c r="CKI34" s="30"/>
      <c r="CKJ34" s="30"/>
      <c r="CKK34" s="30"/>
      <c r="CKL34" s="30"/>
      <c r="CKM34" s="30"/>
      <c r="CKN34" s="30"/>
      <c r="CKO34" s="30"/>
      <c r="CKP34" s="30"/>
      <c r="CKQ34" s="30"/>
      <c r="CKR34" s="30"/>
      <c r="CKS34" s="30"/>
      <c r="CKT34" s="30"/>
      <c r="CKU34" s="30"/>
      <c r="CKV34" s="30"/>
      <c r="CKW34" s="30"/>
      <c r="CKX34" s="30"/>
      <c r="CKY34" s="30"/>
      <c r="CKZ34" s="30"/>
      <c r="CLA34" s="30"/>
      <c r="CLB34" s="30"/>
      <c r="CLC34" s="30"/>
      <c r="CLD34" s="30"/>
      <c r="CLE34" s="30"/>
      <c r="CLF34" s="30"/>
      <c r="CLG34" s="30"/>
      <c r="CLH34" s="30"/>
      <c r="CLI34" s="30"/>
      <c r="CLJ34" s="30"/>
      <c r="CLK34" s="30"/>
      <c r="CLL34" s="30"/>
      <c r="CLM34" s="30"/>
      <c r="CLN34" s="30"/>
      <c r="CLO34" s="30"/>
      <c r="CLP34" s="30"/>
      <c r="CLQ34" s="30"/>
      <c r="CLR34" s="30"/>
      <c r="CLS34" s="30"/>
      <c r="CLT34" s="30"/>
      <c r="CLU34" s="30"/>
      <c r="CLV34" s="30"/>
      <c r="CLW34" s="30"/>
      <c r="CLX34" s="30"/>
      <c r="CLY34" s="30"/>
      <c r="CLZ34" s="30"/>
      <c r="CMA34" s="30"/>
      <c r="CMB34" s="30"/>
      <c r="CMC34" s="30"/>
      <c r="CMD34" s="30"/>
      <c r="CME34" s="30"/>
      <c r="CMF34" s="30"/>
      <c r="CMG34" s="30"/>
      <c r="CMH34" s="30"/>
      <c r="CMI34" s="30"/>
      <c r="CMJ34" s="30"/>
      <c r="CMK34" s="30"/>
      <c r="CML34" s="30"/>
      <c r="CMM34" s="30"/>
      <c r="CMN34" s="30"/>
      <c r="CMO34" s="30"/>
      <c r="CMP34" s="30"/>
      <c r="CMQ34" s="30"/>
      <c r="CMR34" s="30"/>
      <c r="CMS34" s="30"/>
      <c r="CMT34" s="30"/>
      <c r="CMU34" s="30"/>
      <c r="CMV34" s="30"/>
      <c r="CMW34" s="30"/>
      <c r="CMX34" s="30"/>
      <c r="CMY34" s="30"/>
      <c r="CMZ34" s="30"/>
      <c r="CNA34" s="30"/>
      <c r="CNB34" s="30"/>
      <c r="CNC34" s="30"/>
      <c r="CND34" s="30"/>
      <c r="CNE34" s="30"/>
      <c r="CNF34" s="30"/>
      <c r="CNG34" s="30"/>
      <c r="CNH34" s="30"/>
      <c r="CNI34" s="30"/>
      <c r="CNJ34" s="30"/>
      <c r="CNK34" s="30"/>
      <c r="CNL34" s="30"/>
      <c r="CNM34" s="30"/>
      <c r="CNN34" s="30"/>
      <c r="CNO34" s="30"/>
      <c r="CNP34" s="30"/>
      <c r="CNQ34" s="30"/>
      <c r="CNR34" s="30"/>
      <c r="CNS34" s="30"/>
      <c r="CNT34" s="30"/>
      <c r="CNU34" s="30"/>
      <c r="CNV34" s="30"/>
      <c r="CNW34" s="30"/>
      <c r="CNX34" s="30"/>
      <c r="CNY34" s="30"/>
      <c r="CNZ34" s="30"/>
      <c r="COA34" s="30"/>
      <c r="COB34" s="30"/>
      <c r="COC34" s="30"/>
      <c r="COD34" s="30"/>
      <c r="COE34" s="30"/>
      <c r="COF34" s="30"/>
      <c r="COG34" s="30"/>
      <c r="COH34" s="30"/>
      <c r="COI34" s="30"/>
      <c r="COJ34" s="30"/>
      <c r="COK34" s="30"/>
      <c r="COL34" s="30"/>
      <c r="COM34" s="30"/>
      <c r="CON34" s="30"/>
      <c r="COO34" s="30"/>
      <c r="COP34" s="30"/>
      <c r="COQ34" s="30"/>
      <c r="COR34" s="30"/>
      <c r="COS34" s="30"/>
      <c r="COT34" s="30"/>
      <c r="COU34" s="30"/>
      <c r="COV34" s="30"/>
      <c r="COW34" s="30"/>
      <c r="COX34" s="30"/>
      <c r="COY34" s="30"/>
      <c r="COZ34" s="30"/>
      <c r="CPA34" s="30"/>
      <c r="CPB34" s="30"/>
      <c r="CPC34" s="30"/>
      <c r="CPD34" s="30"/>
      <c r="CPE34" s="30"/>
      <c r="CPF34" s="30"/>
      <c r="CPG34" s="30"/>
      <c r="CPH34" s="30"/>
      <c r="CPI34" s="30"/>
      <c r="CPJ34" s="30"/>
      <c r="CPK34" s="30"/>
      <c r="CPL34" s="30"/>
      <c r="CPM34" s="30"/>
      <c r="CPN34" s="30"/>
      <c r="CPO34" s="30"/>
      <c r="CPP34" s="30"/>
      <c r="CPQ34" s="30"/>
      <c r="CPR34" s="30"/>
      <c r="CPS34" s="30"/>
      <c r="CPT34" s="30"/>
      <c r="CPU34" s="30"/>
      <c r="CPV34" s="30"/>
      <c r="CPW34" s="30"/>
      <c r="CPX34" s="30"/>
      <c r="CPY34" s="30"/>
      <c r="CPZ34" s="30"/>
      <c r="CQA34" s="30"/>
      <c r="CQB34" s="30"/>
      <c r="CQC34" s="30"/>
      <c r="CQD34" s="30"/>
      <c r="CQE34" s="30"/>
      <c r="CQF34" s="30"/>
      <c r="CQG34" s="30"/>
      <c r="CQH34" s="30"/>
      <c r="CQI34" s="30"/>
      <c r="CQJ34" s="30"/>
      <c r="CQK34" s="30"/>
      <c r="CQL34" s="30"/>
      <c r="CQM34" s="30"/>
      <c r="CQN34" s="30"/>
      <c r="CQO34" s="30"/>
      <c r="CQP34" s="30"/>
      <c r="CQQ34" s="30"/>
      <c r="CQR34" s="30"/>
      <c r="CQS34" s="30"/>
      <c r="CQT34" s="30"/>
      <c r="CQU34" s="30"/>
      <c r="CQV34" s="30"/>
      <c r="CQW34" s="30"/>
      <c r="CQX34" s="30"/>
      <c r="CQY34" s="30"/>
      <c r="CQZ34" s="30"/>
      <c r="CRA34" s="30"/>
      <c r="CRB34" s="30"/>
      <c r="CRC34" s="30"/>
      <c r="CRD34" s="30"/>
      <c r="CRE34" s="30"/>
      <c r="CRF34" s="30"/>
      <c r="CRG34" s="30"/>
      <c r="CRH34" s="30"/>
      <c r="CRI34" s="30"/>
      <c r="CRJ34" s="30"/>
      <c r="CRK34" s="30"/>
      <c r="CRL34" s="30"/>
      <c r="CRM34" s="30"/>
      <c r="CRN34" s="30"/>
      <c r="CRO34" s="30"/>
      <c r="CRP34" s="30"/>
      <c r="CRQ34" s="30"/>
      <c r="CRR34" s="30"/>
      <c r="CRS34" s="30"/>
      <c r="CRT34" s="30"/>
      <c r="CRU34" s="30"/>
      <c r="CRV34" s="30"/>
      <c r="CRW34" s="30"/>
      <c r="CRX34" s="30"/>
      <c r="CRY34" s="30"/>
      <c r="CRZ34" s="30"/>
      <c r="CSA34" s="30"/>
      <c r="CSB34" s="30"/>
      <c r="CSC34" s="30"/>
      <c r="CSD34" s="30"/>
      <c r="CSE34" s="30"/>
      <c r="CSF34" s="30"/>
      <c r="CSG34" s="30"/>
      <c r="CSH34" s="30"/>
      <c r="CSI34" s="30"/>
      <c r="CSJ34" s="30"/>
      <c r="CSK34" s="30"/>
      <c r="CSL34" s="30"/>
      <c r="CSM34" s="30"/>
      <c r="CSN34" s="30"/>
      <c r="CSO34" s="30"/>
      <c r="CSP34" s="30"/>
      <c r="CSQ34" s="30"/>
      <c r="CSR34" s="30"/>
      <c r="CSS34" s="30"/>
      <c r="CST34" s="30"/>
      <c r="CSU34" s="30"/>
      <c r="CSV34" s="30"/>
      <c r="CSW34" s="30"/>
      <c r="CSX34" s="30"/>
      <c r="CSY34" s="30"/>
      <c r="CSZ34" s="30"/>
      <c r="CTA34" s="30"/>
      <c r="CTB34" s="30"/>
      <c r="CTC34" s="30"/>
      <c r="CTD34" s="30"/>
      <c r="CTE34" s="30"/>
      <c r="CTF34" s="30"/>
      <c r="CTG34" s="30"/>
      <c r="CTH34" s="30"/>
      <c r="CTI34" s="30"/>
      <c r="CTJ34" s="30"/>
      <c r="CTK34" s="30"/>
      <c r="CTL34" s="30"/>
      <c r="CTM34" s="30"/>
      <c r="CTN34" s="30"/>
      <c r="CTO34" s="30"/>
      <c r="CTP34" s="30"/>
      <c r="CTQ34" s="30"/>
      <c r="CTR34" s="30"/>
      <c r="CTS34" s="30"/>
      <c r="CTT34" s="30"/>
      <c r="CTU34" s="30"/>
      <c r="CTV34" s="30"/>
      <c r="CTW34" s="30"/>
      <c r="CTX34" s="30"/>
      <c r="CTY34" s="30"/>
      <c r="CTZ34" s="30"/>
      <c r="CUA34" s="30"/>
    </row>
    <row r="35" s="27" customFormat="1" ht="20" customHeight="1" spans="1:2575">
      <c r="A35" s="268">
        <v>44</v>
      </c>
      <c r="B35" s="268" t="s">
        <v>13</v>
      </c>
      <c r="C35" s="268" t="s">
        <v>37</v>
      </c>
      <c r="D35" s="82" t="s">
        <v>330</v>
      </c>
      <c r="E35" s="29" t="s">
        <v>761</v>
      </c>
      <c r="F35" s="31" t="s">
        <v>762</v>
      </c>
      <c r="G35" s="210" t="s">
        <v>763</v>
      </c>
      <c r="H35" s="32">
        <v>10061108</v>
      </c>
      <c r="I35" s="32">
        <v>2010.1</v>
      </c>
      <c r="J35" s="31" t="s">
        <v>42</v>
      </c>
      <c r="K35" s="31" t="s">
        <v>42</v>
      </c>
      <c r="L35" s="31" t="s">
        <v>667</v>
      </c>
      <c r="M35" s="29" t="s">
        <v>674</v>
      </c>
      <c r="N35" s="94">
        <v>45574</v>
      </c>
      <c r="O35" s="94">
        <v>45938</v>
      </c>
      <c r="P35" s="29">
        <v>250</v>
      </c>
      <c r="Q35" s="85"/>
      <c r="R35" s="251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0"/>
      <c r="NO35" s="30"/>
      <c r="NP35" s="30"/>
      <c r="NQ35" s="30"/>
      <c r="NR35" s="30"/>
      <c r="NS35" s="30"/>
      <c r="NT35" s="30"/>
      <c r="NU35" s="30"/>
      <c r="NV35" s="30"/>
      <c r="NW35" s="30"/>
      <c r="NX35" s="30"/>
      <c r="NY35" s="30"/>
      <c r="NZ35" s="30"/>
      <c r="OA35" s="30"/>
      <c r="OB35" s="30"/>
      <c r="OC35" s="30"/>
      <c r="OD35" s="30"/>
      <c r="OE35" s="30"/>
      <c r="OF35" s="30"/>
      <c r="OG35" s="30"/>
      <c r="OH35" s="30"/>
      <c r="OI35" s="30"/>
      <c r="OJ35" s="30"/>
      <c r="OK35" s="30"/>
      <c r="OL35" s="30"/>
      <c r="OM35" s="30"/>
      <c r="ON35" s="30"/>
      <c r="OO35" s="30"/>
      <c r="OP35" s="30"/>
      <c r="OQ35" s="30"/>
      <c r="OR35" s="30"/>
      <c r="OS35" s="30"/>
      <c r="OT35" s="30"/>
      <c r="OU35" s="30"/>
      <c r="OV35" s="30"/>
      <c r="OW35" s="30"/>
      <c r="OX35" s="30"/>
      <c r="OY35" s="30"/>
      <c r="OZ35" s="30"/>
      <c r="PA35" s="30"/>
      <c r="PB35" s="30"/>
      <c r="PC35" s="30"/>
      <c r="PD35" s="30"/>
      <c r="PE35" s="30"/>
      <c r="PF35" s="30"/>
      <c r="PG35" s="30"/>
      <c r="PH35" s="30"/>
      <c r="PI35" s="30"/>
      <c r="PJ35" s="30"/>
      <c r="PK35" s="30"/>
      <c r="PL35" s="30"/>
      <c r="PM35" s="30"/>
      <c r="PN35" s="30"/>
      <c r="PO35" s="30"/>
      <c r="PP35" s="30"/>
      <c r="PQ35" s="30"/>
      <c r="PR35" s="30"/>
      <c r="PS35" s="30"/>
      <c r="PT35" s="30"/>
      <c r="PU35" s="30"/>
      <c r="PV35" s="30"/>
      <c r="PW35" s="30"/>
      <c r="PX35" s="30"/>
      <c r="PY35" s="30"/>
      <c r="PZ35" s="30"/>
      <c r="QA35" s="30"/>
      <c r="QB35" s="30"/>
      <c r="QC35" s="30"/>
      <c r="QD35" s="30"/>
      <c r="QE35" s="30"/>
      <c r="QF35" s="30"/>
      <c r="QG35" s="30"/>
      <c r="QH35" s="30"/>
      <c r="QI35" s="30"/>
      <c r="QJ35" s="30"/>
      <c r="QK35" s="30"/>
      <c r="QL35" s="30"/>
      <c r="QM35" s="30"/>
      <c r="QN35" s="30"/>
      <c r="QO35" s="30"/>
      <c r="QP35" s="30"/>
      <c r="QQ35" s="30"/>
      <c r="QR35" s="30"/>
      <c r="QS35" s="30"/>
      <c r="QT35" s="30"/>
      <c r="QU35" s="30"/>
      <c r="QV35" s="30"/>
      <c r="QW35" s="30"/>
      <c r="QX35" s="30"/>
      <c r="QY35" s="30"/>
      <c r="QZ35" s="30"/>
      <c r="RA35" s="30"/>
      <c r="RB35" s="30"/>
      <c r="RC35" s="30"/>
      <c r="RD35" s="30"/>
      <c r="RE35" s="30"/>
      <c r="RF35" s="30"/>
      <c r="RG35" s="30"/>
      <c r="RH35" s="30"/>
      <c r="RI35" s="30"/>
      <c r="RJ35" s="30"/>
      <c r="RK35" s="30"/>
      <c r="RL35" s="30"/>
      <c r="RM35" s="30"/>
      <c r="RN35" s="30"/>
      <c r="RO35" s="30"/>
      <c r="RP35" s="30"/>
      <c r="RQ35" s="30"/>
      <c r="RR35" s="30"/>
      <c r="RS35" s="30"/>
      <c r="RT35" s="30"/>
      <c r="RU35" s="30"/>
      <c r="RV35" s="30"/>
      <c r="RW35" s="30"/>
      <c r="RX35" s="30"/>
      <c r="RY35" s="30"/>
      <c r="RZ35" s="30"/>
      <c r="SA35" s="30"/>
      <c r="SB35" s="30"/>
      <c r="SC35" s="30"/>
      <c r="SD35" s="30"/>
      <c r="SE35" s="30"/>
      <c r="SF35" s="30"/>
      <c r="SG35" s="30"/>
      <c r="SH35" s="30"/>
      <c r="SI35" s="30"/>
      <c r="SJ35" s="30"/>
      <c r="SK35" s="30"/>
      <c r="SL35" s="30"/>
      <c r="SM35" s="30"/>
      <c r="SN35" s="30"/>
      <c r="SO35" s="30"/>
      <c r="SP35" s="30"/>
      <c r="SQ35" s="30"/>
      <c r="SR35" s="30"/>
      <c r="SS35" s="30"/>
      <c r="ST35" s="30"/>
      <c r="SU35" s="30"/>
      <c r="SV35" s="30"/>
      <c r="SW35" s="30"/>
      <c r="SX35" s="30"/>
      <c r="SY35" s="30"/>
      <c r="SZ35" s="30"/>
      <c r="TA35" s="30"/>
      <c r="TB35" s="30"/>
      <c r="TC35" s="30"/>
      <c r="TD35" s="30"/>
      <c r="TE35" s="30"/>
      <c r="TF35" s="30"/>
      <c r="TG35" s="30"/>
      <c r="TH35" s="30"/>
      <c r="TI35" s="30"/>
      <c r="TJ35" s="30"/>
      <c r="TK35" s="30"/>
      <c r="TL35" s="30"/>
      <c r="TM35" s="30"/>
      <c r="TN35" s="30"/>
      <c r="TO35" s="30"/>
      <c r="TP35" s="30"/>
      <c r="TQ35" s="30"/>
      <c r="TR35" s="30"/>
      <c r="TS35" s="30"/>
      <c r="TT35" s="30"/>
      <c r="TU35" s="30"/>
      <c r="TV35" s="30"/>
      <c r="TW35" s="30"/>
      <c r="TX35" s="30"/>
      <c r="TY35" s="30"/>
      <c r="TZ35" s="30"/>
      <c r="UA35" s="30"/>
      <c r="UB35" s="30"/>
      <c r="UC35" s="30"/>
      <c r="UD35" s="30"/>
      <c r="UE35" s="30"/>
      <c r="UF35" s="30"/>
      <c r="UG35" s="30"/>
      <c r="UH35" s="30"/>
      <c r="UI35" s="30"/>
      <c r="UJ35" s="30"/>
      <c r="UK35" s="30"/>
      <c r="UL35" s="30"/>
      <c r="UM35" s="30"/>
      <c r="UN35" s="30"/>
      <c r="UO35" s="30"/>
      <c r="UP35" s="30"/>
      <c r="UQ35" s="30"/>
      <c r="UR35" s="30"/>
      <c r="US35" s="30"/>
      <c r="UT35" s="30"/>
      <c r="UU35" s="30"/>
      <c r="UV35" s="30"/>
      <c r="UW35" s="30"/>
      <c r="UX35" s="30"/>
      <c r="UY35" s="30"/>
      <c r="UZ35" s="30"/>
      <c r="VA35" s="30"/>
      <c r="VB35" s="30"/>
      <c r="VC35" s="30"/>
      <c r="VD35" s="30"/>
      <c r="VE35" s="30"/>
      <c r="VF35" s="30"/>
      <c r="VG35" s="30"/>
      <c r="VH35" s="30"/>
      <c r="VI35" s="30"/>
      <c r="VJ35" s="30"/>
      <c r="VK35" s="30"/>
      <c r="VL35" s="30"/>
      <c r="VM35" s="30"/>
      <c r="VN35" s="30"/>
      <c r="VO35" s="30"/>
      <c r="VP35" s="30"/>
      <c r="VQ35" s="30"/>
      <c r="VR35" s="30"/>
      <c r="VS35" s="30"/>
      <c r="VT35" s="30"/>
      <c r="VU35" s="30"/>
      <c r="VV35" s="30"/>
      <c r="VW35" s="30"/>
      <c r="VX35" s="30"/>
      <c r="VY35" s="30"/>
      <c r="VZ35" s="30"/>
      <c r="WA35" s="30"/>
      <c r="WB35" s="30"/>
      <c r="WC35" s="30"/>
      <c r="WD35" s="30"/>
      <c r="WE35" s="30"/>
      <c r="WF35" s="30"/>
      <c r="WG35" s="30"/>
      <c r="WH35" s="30"/>
      <c r="WI35" s="30"/>
      <c r="WJ35" s="30"/>
      <c r="WK35" s="30"/>
      <c r="WL35" s="30"/>
      <c r="WM35" s="30"/>
      <c r="WN35" s="30"/>
      <c r="WO35" s="30"/>
      <c r="WP35" s="30"/>
      <c r="WQ35" s="30"/>
      <c r="WR35" s="30"/>
      <c r="WS35" s="30"/>
      <c r="WT35" s="30"/>
      <c r="WU35" s="30"/>
      <c r="WV35" s="30"/>
      <c r="WW35" s="30"/>
      <c r="WX35" s="30"/>
      <c r="WY35" s="30"/>
      <c r="WZ35" s="30"/>
      <c r="XA35" s="30"/>
      <c r="XB35" s="30"/>
      <c r="XC35" s="30"/>
      <c r="XD35" s="30"/>
      <c r="XE35" s="30"/>
      <c r="XF35" s="30"/>
      <c r="XG35" s="30"/>
      <c r="XH35" s="30"/>
      <c r="XI35" s="30"/>
      <c r="XJ35" s="30"/>
      <c r="XK35" s="30"/>
      <c r="XL35" s="30"/>
      <c r="XM35" s="30"/>
      <c r="XN35" s="30"/>
      <c r="XO35" s="30"/>
      <c r="XP35" s="30"/>
      <c r="XQ35" s="30"/>
      <c r="XR35" s="30"/>
      <c r="XS35" s="30"/>
      <c r="XT35" s="30"/>
      <c r="XU35" s="30"/>
      <c r="XV35" s="30"/>
      <c r="XW35" s="30"/>
      <c r="XX35" s="30"/>
      <c r="XY35" s="30"/>
      <c r="XZ35" s="30"/>
      <c r="YA35" s="30"/>
      <c r="YB35" s="30"/>
      <c r="YC35" s="30"/>
      <c r="YD35" s="30"/>
      <c r="YE35" s="30"/>
      <c r="YF35" s="30"/>
      <c r="YG35" s="30"/>
      <c r="YH35" s="30"/>
      <c r="YI35" s="30"/>
      <c r="YJ35" s="30"/>
      <c r="YK35" s="30"/>
      <c r="YL35" s="30"/>
      <c r="YM35" s="30"/>
      <c r="YN35" s="30"/>
      <c r="YO35" s="30"/>
      <c r="YP35" s="30"/>
      <c r="YQ35" s="30"/>
      <c r="YR35" s="30"/>
      <c r="YS35" s="30"/>
      <c r="YT35" s="30"/>
      <c r="YU35" s="30"/>
      <c r="YV35" s="30"/>
      <c r="YW35" s="30"/>
      <c r="YX35" s="30"/>
      <c r="YY35" s="30"/>
      <c r="YZ35" s="30"/>
      <c r="ZA35" s="30"/>
      <c r="ZB35" s="30"/>
      <c r="ZC35" s="30"/>
      <c r="ZD35" s="30"/>
      <c r="ZE35" s="30"/>
      <c r="ZF35" s="30"/>
      <c r="ZG35" s="30"/>
      <c r="ZH35" s="30"/>
      <c r="ZI35" s="30"/>
      <c r="ZJ35" s="30"/>
      <c r="ZK35" s="30"/>
      <c r="ZL35" s="30"/>
      <c r="ZM35" s="30"/>
      <c r="ZN35" s="30"/>
      <c r="ZO35" s="30"/>
      <c r="ZP35" s="30"/>
      <c r="ZQ35" s="30"/>
      <c r="ZR35" s="30"/>
      <c r="ZS35" s="30"/>
      <c r="ZT35" s="30"/>
      <c r="ZU35" s="30"/>
      <c r="ZV35" s="30"/>
      <c r="ZW35" s="30"/>
      <c r="ZX35" s="30"/>
      <c r="ZY35" s="30"/>
      <c r="ZZ35" s="30"/>
      <c r="AAA35" s="30"/>
      <c r="AAB35" s="30"/>
      <c r="AAC35" s="30"/>
      <c r="AAD35" s="30"/>
      <c r="AAE35" s="30"/>
      <c r="AAF35" s="30"/>
      <c r="AAG35" s="30"/>
      <c r="AAH35" s="30"/>
      <c r="AAI35" s="30"/>
      <c r="AAJ35" s="30"/>
      <c r="AAK35" s="30"/>
      <c r="AAL35" s="30"/>
      <c r="AAM35" s="30"/>
      <c r="AAN35" s="30"/>
      <c r="AAO35" s="30"/>
      <c r="AAP35" s="30"/>
      <c r="AAQ35" s="30"/>
      <c r="AAR35" s="30"/>
      <c r="AAS35" s="30"/>
      <c r="AAT35" s="30"/>
      <c r="AAU35" s="30"/>
      <c r="AAV35" s="30"/>
      <c r="AAW35" s="30"/>
      <c r="AAX35" s="30"/>
      <c r="AAY35" s="30"/>
      <c r="AAZ35" s="30"/>
      <c r="ABA35" s="30"/>
      <c r="ABB35" s="30"/>
      <c r="ABC35" s="30"/>
      <c r="ABD35" s="30"/>
      <c r="ABE35" s="30"/>
      <c r="ABF35" s="30"/>
      <c r="ABG35" s="30"/>
      <c r="ABH35" s="30"/>
      <c r="ABI35" s="30"/>
      <c r="ABJ35" s="30"/>
      <c r="ABK35" s="30"/>
      <c r="ABL35" s="30"/>
      <c r="ABM35" s="30"/>
      <c r="ABN35" s="30"/>
      <c r="ABO35" s="30"/>
      <c r="ABP35" s="30"/>
      <c r="ABQ35" s="30"/>
      <c r="ABR35" s="30"/>
      <c r="ABS35" s="30"/>
      <c r="ABT35" s="30"/>
      <c r="ABU35" s="30"/>
      <c r="ABV35" s="30"/>
      <c r="ABW35" s="30"/>
      <c r="ABX35" s="30"/>
      <c r="ABY35" s="30"/>
      <c r="ABZ35" s="30"/>
      <c r="ACA35" s="30"/>
      <c r="ACB35" s="30"/>
      <c r="ACC35" s="30"/>
      <c r="ACD35" s="30"/>
      <c r="ACE35" s="30"/>
      <c r="ACF35" s="30"/>
      <c r="ACG35" s="30"/>
      <c r="ACH35" s="30"/>
      <c r="ACI35" s="30"/>
      <c r="ACJ35" s="30"/>
      <c r="ACK35" s="30"/>
      <c r="ACL35" s="30"/>
      <c r="ACM35" s="30"/>
      <c r="ACN35" s="30"/>
      <c r="ACO35" s="30"/>
      <c r="ACP35" s="30"/>
      <c r="ACQ35" s="30"/>
      <c r="ACR35" s="30"/>
      <c r="ACS35" s="30"/>
      <c r="ACT35" s="30"/>
      <c r="ACU35" s="30"/>
      <c r="ACV35" s="30"/>
      <c r="ACW35" s="30"/>
      <c r="ACX35" s="30"/>
      <c r="ACY35" s="30"/>
      <c r="ACZ35" s="30"/>
      <c r="ADA35" s="30"/>
      <c r="ADB35" s="30"/>
      <c r="ADC35" s="30"/>
      <c r="ADD35" s="30"/>
      <c r="ADE35" s="30"/>
      <c r="ADF35" s="30"/>
      <c r="ADG35" s="30"/>
      <c r="ADH35" s="30"/>
      <c r="ADI35" s="30"/>
      <c r="ADJ35" s="30"/>
      <c r="ADK35" s="30"/>
      <c r="ADL35" s="30"/>
      <c r="ADM35" s="30"/>
      <c r="ADN35" s="30"/>
      <c r="ADO35" s="30"/>
      <c r="ADP35" s="30"/>
      <c r="ADQ35" s="30"/>
      <c r="ADR35" s="30"/>
      <c r="ADS35" s="30"/>
      <c r="ADT35" s="30"/>
      <c r="ADU35" s="30"/>
      <c r="ADV35" s="30"/>
      <c r="ADW35" s="30"/>
      <c r="ADX35" s="30"/>
      <c r="ADY35" s="30"/>
      <c r="ADZ35" s="30"/>
      <c r="AEA35" s="30"/>
      <c r="AEB35" s="30"/>
      <c r="AEC35" s="30"/>
      <c r="AED35" s="30"/>
      <c r="AEE35" s="30"/>
      <c r="AEF35" s="30"/>
      <c r="AEG35" s="30"/>
      <c r="AEH35" s="30"/>
      <c r="AEI35" s="30"/>
      <c r="AEJ35" s="30"/>
      <c r="AEK35" s="30"/>
      <c r="AEL35" s="30"/>
      <c r="AEM35" s="30"/>
      <c r="AEN35" s="30"/>
      <c r="AEO35" s="30"/>
      <c r="AEP35" s="30"/>
      <c r="AEQ35" s="30"/>
      <c r="AER35" s="30"/>
      <c r="AES35" s="30"/>
      <c r="AET35" s="30"/>
      <c r="AEU35" s="30"/>
      <c r="AEV35" s="30"/>
      <c r="AEW35" s="30"/>
      <c r="AEX35" s="30"/>
      <c r="AEY35" s="30"/>
      <c r="AEZ35" s="30"/>
      <c r="AFA35" s="30"/>
      <c r="AFB35" s="30"/>
      <c r="AFC35" s="30"/>
      <c r="AFD35" s="30"/>
      <c r="AFE35" s="30"/>
      <c r="AFF35" s="30"/>
      <c r="AFG35" s="30"/>
      <c r="AFH35" s="30"/>
      <c r="AFI35" s="30"/>
      <c r="AFJ35" s="30"/>
      <c r="AFK35" s="30"/>
      <c r="AFL35" s="30"/>
      <c r="AFM35" s="30"/>
      <c r="AFN35" s="30"/>
      <c r="AFO35" s="30"/>
      <c r="AFP35" s="30"/>
      <c r="AFQ35" s="30"/>
      <c r="AFR35" s="30"/>
      <c r="AFS35" s="30"/>
      <c r="AFT35" s="30"/>
      <c r="AFU35" s="30"/>
      <c r="AFV35" s="30"/>
      <c r="AFW35" s="30"/>
      <c r="AFX35" s="30"/>
      <c r="AFY35" s="30"/>
      <c r="AFZ35" s="30"/>
      <c r="AGA35" s="30"/>
      <c r="AGB35" s="30"/>
      <c r="AGC35" s="30"/>
      <c r="AGD35" s="30"/>
      <c r="AGE35" s="30"/>
      <c r="AGF35" s="30"/>
      <c r="AGG35" s="30"/>
      <c r="AGH35" s="30"/>
      <c r="AGI35" s="30"/>
      <c r="AGJ35" s="30"/>
      <c r="AGK35" s="30"/>
      <c r="AGL35" s="30"/>
      <c r="AGM35" s="30"/>
      <c r="AGN35" s="30"/>
      <c r="AGO35" s="30"/>
      <c r="AGP35" s="30"/>
      <c r="AGQ35" s="30"/>
      <c r="AGR35" s="30"/>
      <c r="AGS35" s="30"/>
      <c r="AGT35" s="30"/>
      <c r="AGU35" s="30"/>
      <c r="AGV35" s="30"/>
      <c r="AGW35" s="30"/>
      <c r="AGX35" s="30"/>
      <c r="AGY35" s="30"/>
      <c r="AGZ35" s="30"/>
      <c r="AHA35" s="30"/>
      <c r="AHB35" s="30"/>
      <c r="AHC35" s="30"/>
      <c r="AHD35" s="30"/>
      <c r="AHE35" s="30"/>
      <c r="AHF35" s="30"/>
      <c r="AHG35" s="30"/>
      <c r="AHH35" s="30"/>
      <c r="AHI35" s="30"/>
      <c r="AHJ35" s="30"/>
      <c r="AHK35" s="30"/>
      <c r="AHL35" s="30"/>
      <c r="AHM35" s="30"/>
      <c r="AHN35" s="30"/>
      <c r="AHO35" s="30"/>
      <c r="AHP35" s="30"/>
      <c r="AHQ35" s="30"/>
      <c r="AHR35" s="30"/>
      <c r="AHS35" s="30"/>
      <c r="AHT35" s="30"/>
      <c r="AHU35" s="30"/>
      <c r="AHV35" s="30"/>
      <c r="AHW35" s="30"/>
      <c r="AHX35" s="30"/>
      <c r="AHY35" s="30"/>
      <c r="AHZ35" s="30"/>
      <c r="AIA35" s="30"/>
      <c r="AIB35" s="30"/>
      <c r="AIC35" s="30"/>
      <c r="AID35" s="30"/>
      <c r="AIE35" s="30"/>
      <c r="AIF35" s="30"/>
      <c r="AIG35" s="30"/>
      <c r="AIH35" s="30"/>
      <c r="AII35" s="30"/>
      <c r="AIJ35" s="30"/>
      <c r="AIK35" s="30"/>
      <c r="AIL35" s="30"/>
      <c r="AIM35" s="30"/>
      <c r="AIN35" s="30"/>
      <c r="AIO35" s="30"/>
      <c r="AIP35" s="30"/>
      <c r="AIQ35" s="30"/>
      <c r="AIR35" s="30"/>
      <c r="AIS35" s="30"/>
      <c r="AIT35" s="30"/>
      <c r="AIU35" s="30"/>
      <c r="AIV35" s="30"/>
      <c r="AIW35" s="30"/>
      <c r="AIX35" s="30"/>
      <c r="AIY35" s="30"/>
      <c r="AIZ35" s="30"/>
      <c r="AJA35" s="30"/>
      <c r="AJB35" s="30"/>
      <c r="AJC35" s="30"/>
      <c r="AJD35" s="30"/>
      <c r="AJE35" s="30"/>
      <c r="AJF35" s="30"/>
      <c r="AJG35" s="30"/>
      <c r="AJH35" s="30"/>
      <c r="AJI35" s="30"/>
      <c r="AJJ35" s="30"/>
      <c r="AJK35" s="30"/>
      <c r="AJL35" s="30"/>
      <c r="AJM35" s="30"/>
      <c r="AJN35" s="30"/>
      <c r="AJO35" s="30"/>
      <c r="AJP35" s="30"/>
      <c r="AJQ35" s="30"/>
      <c r="AJR35" s="30"/>
      <c r="AJS35" s="30"/>
      <c r="AJT35" s="30"/>
      <c r="AJU35" s="30"/>
      <c r="AJV35" s="30"/>
      <c r="AJW35" s="30"/>
      <c r="AJX35" s="30"/>
      <c r="AJY35" s="30"/>
      <c r="AJZ35" s="30"/>
      <c r="AKA35" s="30"/>
      <c r="AKB35" s="30"/>
      <c r="AKC35" s="30"/>
      <c r="AKD35" s="30"/>
      <c r="AKE35" s="30"/>
      <c r="AKF35" s="30"/>
      <c r="AKG35" s="30"/>
      <c r="AKH35" s="30"/>
      <c r="AKI35" s="30"/>
      <c r="AKJ35" s="30"/>
      <c r="AKK35" s="30"/>
      <c r="AKL35" s="30"/>
      <c r="AKM35" s="30"/>
      <c r="AKN35" s="30"/>
      <c r="AKO35" s="30"/>
      <c r="AKP35" s="30"/>
      <c r="AKQ35" s="30"/>
      <c r="AKR35" s="30"/>
      <c r="AKS35" s="30"/>
      <c r="AKT35" s="30"/>
      <c r="AKU35" s="30"/>
      <c r="AKV35" s="30"/>
      <c r="AKW35" s="30"/>
      <c r="AKX35" s="30"/>
      <c r="AKY35" s="30"/>
      <c r="AKZ35" s="30"/>
      <c r="ALA35" s="30"/>
      <c r="ALB35" s="30"/>
      <c r="ALC35" s="30"/>
      <c r="ALD35" s="30"/>
      <c r="ALE35" s="30"/>
      <c r="ALF35" s="30"/>
      <c r="ALG35" s="30"/>
      <c r="ALH35" s="30"/>
      <c r="ALI35" s="30"/>
      <c r="ALJ35" s="30"/>
      <c r="ALK35" s="30"/>
      <c r="ALL35" s="30"/>
      <c r="ALM35" s="30"/>
      <c r="ALN35" s="30"/>
      <c r="ALO35" s="30"/>
      <c r="ALP35" s="30"/>
      <c r="ALQ35" s="30"/>
      <c r="ALR35" s="30"/>
      <c r="ALS35" s="30"/>
      <c r="ALT35" s="30"/>
      <c r="ALU35" s="30"/>
      <c r="ALV35" s="30"/>
      <c r="ALW35" s="30"/>
      <c r="ALX35" s="30"/>
      <c r="ALY35" s="30"/>
      <c r="ALZ35" s="30"/>
      <c r="AMA35" s="30"/>
      <c r="AMB35" s="30"/>
      <c r="AMC35" s="30"/>
      <c r="AMD35" s="30"/>
      <c r="AME35" s="30"/>
      <c r="AMF35" s="30"/>
      <c r="AMG35" s="30"/>
      <c r="AMH35" s="30"/>
      <c r="AMI35" s="30"/>
      <c r="AMJ35" s="30"/>
      <c r="AMK35" s="30"/>
      <c r="AML35" s="30"/>
      <c r="AMM35" s="30"/>
      <c r="AMN35" s="30"/>
      <c r="AMO35" s="30"/>
      <c r="AMP35" s="30"/>
      <c r="AMQ35" s="30"/>
      <c r="AMR35" s="30"/>
      <c r="AMS35" s="30"/>
      <c r="AMT35" s="30"/>
      <c r="AMU35" s="30"/>
      <c r="AMV35" s="30"/>
      <c r="AMW35" s="30"/>
      <c r="AMX35" s="30"/>
      <c r="AMY35" s="30"/>
      <c r="AMZ35" s="30"/>
      <c r="ANA35" s="30"/>
      <c r="ANB35" s="30"/>
      <c r="ANC35" s="30"/>
      <c r="AND35" s="30"/>
      <c r="ANE35" s="30"/>
      <c r="ANF35" s="30"/>
      <c r="ANG35" s="30"/>
      <c r="ANH35" s="30"/>
      <c r="ANI35" s="30"/>
      <c r="ANJ35" s="30"/>
      <c r="ANK35" s="30"/>
      <c r="ANL35" s="30"/>
      <c r="ANM35" s="30"/>
      <c r="ANN35" s="30"/>
      <c r="ANO35" s="30"/>
      <c r="ANP35" s="30"/>
      <c r="ANQ35" s="30"/>
      <c r="ANR35" s="30"/>
      <c r="ANS35" s="30"/>
      <c r="ANT35" s="30"/>
      <c r="ANU35" s="30"/>
      <c r="ANV35" s="30"/>
      <c r="ANW35" s="30"/>
      <c r="ANX35" s="30"/>
      <c r="ANY35" s="30"/>
      <c r="ANZ35" s="30"/>
      <c r="AOA35" s="30"/>
      <c r="AOB35" s="30"/>
      <c r="AOC35" s="30"/>
      <c r="AOD35" s="30"/>
      <c r="AOE35" s="30"/>
      <c r="AOF35" s="30"/>
      <c r="AOG35" s="30"/>
      <c r="AOH35" s="30"/>
      <c r="AOI35" s="30"/>
      <c r="AOJ35" s="30"/>
      <c r="AOK35" s="30"/>
      <c r="AOL35" s="30"/>
      <c r="AOM35" s="30"/>
      <c r="AON35" s="30"/>
      <c r="AOO35" s="30"/>
      <c r="AOP35" s="30"/>
      <c r="AOQ35" s="30"/>
      <c r="AOR35" s="30"/>
      <c r="AOS35" s="30"/>
      <c r="AOT35" s="30"/>
      <c r="AOU35" s="30"/>
      <c r="AOV35" s="30"/>
      <c r="AOW35" s="30"/>
      <c r="AOX35" s="30"/>
      <c r="AOY35" s="30"/>
      <c r="AOZ35" s="30"/>
      <c r="APA35" s="30"/>
      <c r="APB35" s="30"/>
      <c r="APC35" s="30"/>
      <c r="APD35" s="30"/>
      <c r="APE35" s="30"/>
      <c r="APF35" s="30"/>
      <c r="APG35" s="30"/>
      <c r="APH35" s="30"/>
      <c r="API35" s="30"/>
      <c r="APJ35" s="30"/>
      <c r="APK35" s="30"/>
      <c r="APL35" s="30"/>
      <c r="APM35" s="30"/>
      <c r="APN35" s="30"/>
      <c r="APO35" s="30"/>
      <c r="APP35" s="30"/>
      <c r="APQ35" s="30"/>
      <c r="APR35" s="30"/>
      <c r="APS35" s="30"/>
      <c r="APT35" s="30"/>
      <c r="APU35" s="30"/>
      <c r="APV35" s="30"/>
      <c r="APW35" s="30"/>
      <c r="APX35" s="30"/>
      <c r="APY35" s="30"/>
      <c r="APZ35" s="30"/>
      <c r="AQA35" s="30"/>
      <c r="AQB35" s="30"/>
      <c r="AQC35" s="30"/>
      <c r="AQD35" s="30"/>
      <c r="AQE35" s="30"/>
      <c r="AQF35" s="30"/>
      <c r="AQG35" s="30"/>
      <c r="AQH35" s="30"/>
      <c r="AQI35" s="30"/>
      <c r="AQJ35" s="30"/>
      <c r="AQK35" s="30"/>
      <c r="AQL35" s="30"/>
      <c r="AQM35" s="30"/>
      <c r="AQN35" s="30"/>
      <c r="AQO35" s="30"/>
      <c r="AQP35" s="30"/>
      <c r="AQQ35" s="30"/>
      <c r="AQR35" s="30"/>
      <c r="AQS35" s="30"/>
      <c r="AQT35" s="30"/>
      <c r="AQU35" s="30"/>
      <c r="AQV35" s="30"/>
      <c r="AQW35" s="30"/>
      <c r="AQX35" s="30"/>
      <c r="AQY35" s="30"/>
      <c r="AQZ35" s="30"/>
      <c r="ARA35" s="30"/>
      <c r="ARB35" s="30"/>
      <c r="ARC35" s="30"/>
      <c r="ARD35" s="30"/>
      <c r="ARE35" s="30"/>
      <c r="ARF35" s="30"/>
      <c r="ARG35" s="30"/>
      <c r="ARH35" s="30"/>
      <c r="ARI35" s="30"/>
      <c r="ARJ35" s="30"/>
      <c r="ARK35" s="30"/>
      <c r="ARL35" s="30"/>
      <c r="ARM35" s="30"/>
      <c r="ARN35" s="30"/>
      <c r="ARO35" s="30"/>
      <c r="ARP35" s="30"/>
      <c r="ARQ35" s="30"/>
      <c r="ARR35" s="30"/>
      <c r="ARS35" s="30"/>
      <c r="ART35" s="30"/>
      <c r="ARU35" s="30"/>
      <c r="ARV35" s="30"/>
      <c r="ARW35" s="30"/>
      <c r="ARX35" s="30"/>
      <c r="ARY35" s="30"/>
      <c r="ARZ35" s="30"/>
      <c r="ASA35" s="30"/>
      <c r="ASB35" s="30"/>
      <c r="ASC35" s="30"/>
      <c r="ASD35" s="30"/>
      <c r="ASE35" s="30"/>
      <c r="ASF35" s="30"/>
      <c r="ASG35" s="30"/>
      <c r="ASH35" s="30"/>
      <c r="ASI35" s="30"/>
      <c r="ASJ35" s="30"/>
      <c r="ASK35" s="30"/>
      <c r="ASL35" s="30"/>
      <c r="ASM35" s="30"/>
      <c r="ASN35" s="30"/>
      <c r="ASO35" s="30"/>
      <c r="ASP35" s="30"/>
      <c r="ASQ35" s="30"/>
      <c r="ASR35" s="30"/>
      <c r="ASS35" s="30"/>
      <c r="AST35" s="30"/>
      <c r="ASU35" s="30"/>
      <c r="ASV35" s="30"/>
      <c r="ASW35" s="30"/>
      <c r="ASX35" s="30"/>
      <c r="ASY35" s="30"/>
      <c r="ASZ35" s="30"/>
      <c r="ATA35" s="30"/>
      <c r="ATB35" s="30"/>
      <c r="ATC35" s="30"/>
      <c r="ATD35" s="30"/>
      <c r="ATE35" s="30"/>
      <c r="ATF35" s="30"/>
      <c r="ATG35" s="30"/>
      <c r="ATH35" s="30"/>
      <c r="ATI35" s="30"/>
      <c r="ATJ35" s="30"/>
      <c r="ATK35" s="30"/>
      <c r="ATL35" s="30"/>
      <c r="ATM35" s="30"/>
      <c r="ATN35" s="30"/>
      <c r="ATO35" s="30"/>
      <c r="ATP35" s="30"/>
      <c r="ATQ35" s="30"/>
      <c r="ATR35" s="30"/>
      <c r="ATS35" s="30"/>
      <c r="ATT35" s="30"/>
      <c r="ATU35" s="30"/>
      <c r="ATV35" s="30"/>
      <c r="ATW35" s="30"/>
      <c r="ATX35" s="30"/>
      <c r="ATY35" s="30"/>
      <c r="ATZ35" s="30"/>
      <c r="AUA35" s="30"/>
      <c r="AUB35" s="30"/>
      <c r="AUC35" s="30"/>
      <c r="AUD35" s="30"/>
      <c r="AUE35" s="30"/>
      <c r="AUF35" s="30"/>
      <c r="AUG35" s="30"/>
      <c r="AUH35" s="30"/>
      <c r="AUI35" s="30"/>
      <c r="AUJ35" s="30"/>
      <c r="AUK35" s="30"/>
      <c r="AUL35" s="30"/>
      <c r="AUM35" s="30"/>
      <c r="AUN35" s="30"/>
      <c r="AUO35" s="30"/>
      <c r="AUP35" s="30"/>
      <c r="AUQ35" s="30"/>
      <c r="AUR35" s="30"/>
      <c r="AUS35" s="30"/>
      <c r="AUT35" s="30"/>
      <c r="AUU35" s="30"/>
      <c r="AUV35" s="30"/>
      <c r="AUW35" s="30"/>
      <c r="AUX35" s="30"/>
      <c r="AUY35" s="30"/>
      <c r="AUZ35" s="30"/>
      <c r="AVA35" s="30"/>
      <c r="AVB35" s="30"/>
      <c r="AVC35" s="30"/>
      <c r="AVD35" s="30"/>
      <c r="AVE35" s="30"/>
      <c r="AVF35" s="30"/>
      <c r="AVG35" s="30"/>
      <c r="AVH35" s="30"/>
      <c r="AVI35" s="30"/>
      <c r="AVJ35" s="30"/>
      <c r="AVK35" s="30"/>
      <c r="AVL35" s="30"/>
      <c r="AVM35" s="30"/>
      <c r="AVN35" s="30"/>
      <c r="AVO35" s="30"/>
      <c r="AVP35" s="30"/>
      <c r="AVQ35" s="30"/>
      <c r="AVR35" s="30"/>
      <c r="AVS35" s="30"/>
      <c r="AVT35" s="30"/>
      <c r="AVU35" s="30"/>
      <c r="AVV35" s="30"/>
      <c r="AVW35" s="30"/>
      <c r="AVX35" s="30"/>
      <c r="AVY35" s="30"/>
      <c r="AVZ35" s="30"/>
      <c r="AWA35" s="30"/>
      <c r="AWB35" s="30"/>
      <c r="AWC35" s="30"/>
      <c r="AWD35" s="30"/>
      <c r="AWE35" s="30"/>
      <c r="AWF35" s="30"/>
      <c r="AWG35" s="30"/>
      <c r="AWH35" s="30"/>
      <c r="AWI35" s="30"/>
      <c r="AWJ35" s="30"/>
      <c r="AWK35" s="30"/>
      <c r="AWL35" s="30"/>
      <c r="AWM35" s="30"/>
      <c r="AWN35" s="30"/>
      <c r="AWO35" s="30"/>
      <c r="AWP35" s="30"/>
      <c r="AWQ35" s="30"/>
      <c r="AWR35" s="30"/>
      <c r="AWS35" s="30"/>
      <c r="AWT35" s="30"/>
      <c r="AWU35" s="30"/>
      <c r="AWV35" s="30"/>
      <c r="AWW35" s="30"/>
      <c r="AWX35" s="30"/>
      <c r="AWY35" s="30"/>
      <c r="AWZ35" s="30"/>
      <c r="AXA35" s="30"/>
      <c r="AXB35" s="30"/>
      <c r="AXC35" s="30"/>
      <c r="AXD35" s="30"/>
      <c r="AXE35" s="30"/>
      <c r="AXF35" s="30"/>
      <c r="AXG35" s="30"/>
      <c r="AXH35" s="30"/>
      <c r="AXI35" s="30"/>
      <c r="AXJ35" s="30"/>
      <c r="AXK35" s="30"/>
      <c r="AXL35" s="30"/>
      <c r="AXM35" s="30"/>
      <c r="AXN35" s="30"/>
      <c r="AXO35" s="30"/>
      <c r="AXP35" s="30"/>
      <c r="AXQ35" s="30"/>
      <c r="AXR35" s="30"/>
      <c r="AXS35" s="30"/>
      <c r="AXT35" s="30"/>
      <c r="AXU35" s="30"/>
      <c r="AXV35" s="30"/>
      <c r="AXW35" s="30"/>
      <c r="AXX35" s="30"/>
      <c r="AXY35" s="30"/>
      <c r="AXZ35" s="30"/>
      <c r="AYA35" s="30"/>
      <c r="AYB35" s="30"/>
      <c r="AYC35" s="30"/>
      <c r="AYD35" s="30"/>
      <c r="AYE35" s="30"/>
      <c r="AYF35" s="30"/>
      <c r="AYG35" s="30"/>
      <c r="AYH35" s="30"/>
      <c r="AYI35" s="30"/>
      <c r="AYJ35" s="30"/>
      <c r="AYK35" s="30"/>
      <c r="AYL35" s="30"/>
      <c r="AYM35" s="30"/>
      <c r="AYN35" s="30"/>
      <c r="AYO35" s="30"/>
      <c r="AYP35" s="30"/>
      <c r="AYQ35" s="30"/>
      <c r="AYR35" s="30"/>
      <c r="AYS35" s="30"/>
      <c r="AYT35" s="30"/>
      <c r="AYU35" s="30"/>
      <c r="AYV35" s="30"/>
      <c r="AYW35" s="30"/>
      <c r="AYX35" s="30"/>
      <c r="AYY35" s="30"/>
      <c r="AYZ35" s="30"/>
      <c r="AZA35" s="30"/>
      <c r="AZB35" s="30"/>
      <c r="AZC35" s="30"/>
      <c r="AZD35" s="30"/>
      <c r="AZE35" s="30"/>
      <c r="AZF35" s="30"/>
      <c r="AZG35" s="30"/>
      <c r="AZH35" s="30"/>
      <c r="AZI35" s="30"/>
      <c r="AZJ35" s="30"/>
      <c r="AZK35" s="30"/>
      <c r="AZL35" s="30"/>
      <c r="AZM35" s="30"/>
      <c r="AZN35" s="30"/>
      <c r="AZO35" s="30"/>
      <c r="AZP35" s="30"/>
      <c r="AZQ35" s="30"/>
      <c r="AZR35" s="30"/>
      <c r="AZS35" s="30"/>
      <c r="AZT35" s="30"/>
      <c r="AZU35" s="30"/>
      <c r="AZV35" s="30"/>
      <c r="AZW35" s="30"/>
      <c r="AZX35" s="30"/>
      <c r="AZY35" s="30"/>
      <c r="AZZ35" s="30"/>
      <c r="BAA35" s="30"/>
      <c r="BAB35" s="30"/>
      <c r="BAC35" s="30"/>
      <c r="BAD35" s="30"/>
      <c r="BAE35" s="30"/>
      <c r="BAF35" s="30"/>
      <c r="BAG35" s="30"/>
      <c r="BAH35" s="30"/>
      <c r="BAI35" s="30"/>
      <c r="BAJ35" s="30"/>
      <c r="BAK35" s="30"/>
      <c r="BAL35" s="30"/>
      <c r="BAM35" s="30"/>
      <c r="BAN35" s="30"/>
      <c r="BAO35" s="30"/>
      <c r="BAP35" s="30"/>
      <c r="BAQ35" s="30"/>
      <c r="BAR35" s="30"/>
      <c r="BAS35" s="30"/>
      <c r="BAT35" s="30"/>
      <c r="BAU35" s="30"/>
      <c r="BAV35" s="30"/>
      <c r="BAW35" s="30"/>
      <c r="BAX35" s="30"/>
      <c r="BAY35" s="30"/>
      <c r="BAZ35" s="30"/>
      <c r="BBA35" s="30"/>
      <c r="BBB35" s="30"/>
      <c r="BBC35" s="30"/>
      <c r="BBD35" s="30"/>
      <c r="BBE35" s="30"/>
      <c r="BBF35" s="30"/>
      <c r="BBG35" s="30"/>
      <c r="BBH35" s="30"/>
      <c r="BBI35" s="30"/>
      <c r="BBJ35" s="30"/>
      <c r="BBK35" s="30"/>
      <c r="BBL35" s="30"/>
      <c r="BBM35" s="30"/>
      <c r="BBN35" s="30"/>
      <c r="BBO35" s="30"/>
      <c r="BBP35" s="30"/>
      <c r="BBQ35" s="30"/>
      <c r="BBR35" s="30"/>
      <c r="BBS35" s="30"/>
      <c r="BBT35" s="30"/>
      <c r="BBU35" s="30"/>
      <c r="BBV35" s="30"/>
      <c r="BBW35" s="30"/>
      <c r="BBX35" s="30"/>
      <c r="BBY35" s="30"/>
      <c r="BBZ35" s="30"/>
      <c r="BCA35" s="30"/>
      <c r="BCB35" s="30"/>
      <c r="BCC35" s="30"/>
      <c r="BCD35" s="30"/>
      <c r="BCE35" s="30"/>
      <c r="BCF35" s="30"/>
      <c r="BCG35" s="30"/>
      <c r="BCH35" s="30"/>
      <c r="BCI35" s="30"/>
      <c r="BCJ35" s="30"/>
      <c r="BCK35" s="30"/>
      <c r="BCL35" s="30"/>
      <c r="BCM35" s="30"/>
      <c r="BCN35" s="30"/>
      <c r="BCO35" s="30"/>
      <c r="BCP35" s="30"/>
      <c r="BCQ35" s="30"/>
      <c r="BCR35" s="30"/>
      <c r="BCS35" s="30"/>
      <c r="BCT35" s="30"/>
      <c r="BCU35" s="30"/>
      <c r="BCV35" s="30"/>
      <c r="BCW35" s="30"/>
      <c r="BCX35" s="30"/>
      <c r="BCY35" s="30"/>
      <c r="BCZ35" s="30"/>
      <c r="BDA35" s="30"/>
      <c r="BDB35" s="30"/>
      <c r="BDC35" s="30"/>
      <c r="BDD35" s="30"/>
      <c r="BDE35" s="30"/>
      <c r="BDF35" s="30"/>
      <c r="BDG35" s="30"/>
      <c r="BDH35" s="30"/>
      <c r="BDI35" s="30"/>
      <c r="BDJ35" s="30"/>
      <c r="BDK35" s="30"/>
      <c r="BDL35" s="30"/>
      <c r="BDM35" s="30"/>
      <c r="BDN35" s="30"/>
      <c r="BDO35" s="30"/>
      <c r="BDP35" s="30"/>
      <c r="BDQ35" s="30"/>
      <c r="BDR35" s="30"/>
      <c r="BDS35" s="30"/>
      <c r="BDT35" s="30"/>
      <c r="BDU35" s="30"/>
      <c r="BDV35" s="30"/>
      <c r="BDW35" s="30"/>
      <c r="BDX35" s="30"/>
      <c r="BDY35" s="30"/>
      <c r="BDZ35" s="30"/>
      <c r="BEA35" s="30"/>
      <c r="BEB35" s="30"/>
      <c r="BEC35" s="30"/>
      <c r="BED35" s="30"/>
      <c r="BEE35" s="30"/>
      <c r="BEF35" s="30"/>
      <c r="BEG35" s="30"/>
      <c r="BEH35" s="30"/>
      <c r="BEI35" s="30"/>
      <c r="BEJ35" s="30"/>
      <c r="BEK35" s="30"/>
      <c r="BEL35" s="30"/>
      <c r="BEM35" s="30"/>
      <c r="BEN35" s="30"/>
      <c r="BEO35" s="30"/>
      <c r="BEP35" s="30"/>
      <c r="BEQ35" s="30"/>
      <c r="BER35" s="30"/>
      <c r="BES35" s="30"/>
      <c r="BET35" s="30"/>
      <c r="BEU35" s="30"/>
      <c r="BEV35" s="30"/>
      <c r="BEW35" s="30"/>
      <c r="BEX35" s="30"/>
      <c r="BEY35" s="30"/>
      <c r="BEZ35" s="30"/>
      <c r="BFA35" s="30"/>
      <c r="BFB35" s="30"/>
      <c r="BFC35" s="30"/>
      <c r="BFD35" s="30"/>
      <c r="BFE35" s="30"/>
      <c r="BFF35" s="30"/>
      <c r="BFG35" s="30"/>
      <c r="BFH35" s="30"/>
      <c r="BFI35" s="30"/>
      <c r="BFJ35" s="30"/>
      <c r="BFK35" s="30"/>
      <c r="BFL35" s="30"/>
      <c r="BFM35" s="30"/>
      <c r="BFN35" s="30"/>
      <c r="BFO35" s="30"/>
      <c r="BFP35" s="30"/>
      <c r="BFQ35" s="30"/>
      <c r="BFR35" s="30"/>
      <c r="BFS35" s="30"/>
      <c r="BFT35" s="30"/>
      <c r="BFU35" s="30"/>
      <c r="BFV35" s="30"/>
      <c r="BFW35" s="30"/>
      <c r="BFX35" s="30"/>
      <c r="BFY35" s="30"/>
      <c r="BFZ35" s="30"/>
      <c r="BGA35" s="30"/>
      <c r="BGB35" s="30"/>
      <c r="BGC35" s="30"/>
      <c r="BGD35" s="30"/>
      <c r="BGE35" s="30"/>
      <c r="BGF35" s="30"/>
      <c r="BGG35" s="30"/>
      <c r="BGH35" s="30"/>
      <c r="BGI35" s="30"/>
      <c r="BGJ35" s="30"/>
      <c r="BGK35" s="30"/>
      <c r="BGL35" s="30"/>
      <c r="BGM35" s="30"/>
      <c r="BGN35" s="30"/>
      <c r="BGO35" s="30"/>
      <c r="BGP35" s="30"/>
      <c r="BGQ35" s="30"/>
      <c r="BGR35" s="30"/>
      <c r="BGS35" s="30"/>
      <c r="BGT35" s="30"/>
      <c r="BGU35" s="30"/>
      <c r="BGV35" s="30"/>
      <c r="BGW35" s="30"/>
      <c r="BGX35" s="30"/>
      <c r="BGY35" s="30"/>
      <c r="BGZ35" s="30"/>
      <c r="BHA35" s="30"/>
      <c r="BHB35" s="30"/>
      <c r="BHC35" s="30"/>
      <c r="BHD35" s="30"/>
      <c r="BHE35" s="30"/>
      <c r="BHF35" s="30"/>
      <c r="BHG35" s="30"/>
      <c r="BHH35" s="30"/>
      <c r="BHI35" s="30"/>
      <c r="BHJ35" s="30"/>
      <c r="BHK35" s="30"/>
      <c r="BHL35" s="30"/>
      <c r="BHM35" s="30"/>
      <c r="BHN35" s="30"/>
      <c r="BHO35" s="30"/>
      <c r="BHP35" s="30"/>
      <c r="BHQ35" s="30"/>
      <c r="BHR35" s="30"/>
      <c r="BHS35" s="30"/>
      <c r="BHT35" s="30"/>
      <c r="BHU35" s="30"/>
      <c r="BHV35" s="30"/>
      <c r="BHW35" s="30"/>
      <c r="BHX35" s="30"/>
      <c r="BHY35" s="30"/>
      <c r="BHZ35" s="30"/>
      <c r="BIA35" s="30"/>
      <c r="BIB35" s="30"/>
      <c r="BIC35" s="30"/>
      <c r="BID35" s="30"/>
      <c r="BIE35" s="30"/>
      <c r="BIF35" s="30"/>
      <c r="BIG35" s="30"/>
      <c r="BIH35" s="30"/>
      <c r="BII35" s="30"/>
      <c r="BIJ35" s="30"/>
      <c r="BIK35" s="30"/>
      <c r="BIL35" s="30"/>
      <c r="BIM35" s="30"/>
      <c r="BIN35" s="30"/>
      <c r="BIO35" s="30"/>
      <c r="BIP35" s="30"/>
      <c r="BIQ35" s="30"/>
      <c r="BIR35" s="30"/>
      <c r="BIS35" s="30"/>
      <c r="BIT35" s="30"/>
      <c r="BIU35" s="30"/>
      <c r="BIV35" s="30"/>
      <c r="BIW35" s="30"/>
      <c r="BIX35" s="30"/>
      <c r="BIY35" s="30"/>
      <c r="BIZ35" s="30"/>
      <c r="BJA35" s="30"/>
      <c r="BJB35" s="30"/>
      <c r="BJC35" s="30"/>
      <c r="BJD35" s="30"/>
      <c r="BJE35" s="30"/>
      <c r="BJF35" s="30"/>
      <c r="BJG35" s="30"/>
      <c r="BJH35" s="30"/>
      <c r="BJI35" s="30"/>
      <c r="BJJ35" s="30"/>
      <c r="BJK35" s="30"/>
      <c r="BJL35" s="30"/>
      <c r="BJM35" s="30"/>
      <c r="BJN35" s="30"/>
      <c r="BJO35" s="30"/>
      <c r="BJP35" s="30"/>
      <c r="BJQ35" s="30"/>
      <c r="BJR35" s="30"/>
      <c r="BJS35" s="30"/>
      <c r="BJT35" s="30"/>
      <c r="BJU35" s="30"/>
      <c r="BJV35" s="30"/>
      <c r="BJW35" s="30"/>
      <c r="BJX35" s="30"/>
      <c r="BJY35" s="30"/>
      <c r="BJZ35" s="30"/>
      <c r="BKA35" s="30"/>
      <c r="BKB35" s="30"/>
      <c r="BKC35" s="30"/>
      <c r="BKD35" s="30"/>
      <c r="BKE35" s="30"/>
      <c r="BKF35" s="30"/>
      <c r="BKG35" s="30"/>
      <c r="BKH35" s="30"/>
      <c r="BKI35" s="30"/>
      <c r="BKJ35" s="30"/>
      <c r="BKK35" s="30"/>
      <c r="BKL35" s="30"/>
      <c r="BKM35" s="30"/>
      <c r="BKN35" s="30"/>
      <c r="BKO35" s="30"/>
      <c r="BKP35" s="30"/>
      <c r="BKQ35" s="30"/>
      <c r="BKR35" s="30"/>
      <c r="BKS35" s="30"/>
      <c r="BKT35" s="30"/>
      <c r="BKU35" s="30"/>
      <c r="BKV35" s="30"/>
      <c r="BKW35" s="30"/>
      <c r="BKX35" s="30"/>
      <c r="BKY35" s="30"/>
      <c r="BKZ35" s="30"/>
      <c r="BLA35" s="30"/>
      <c r="BLB35" s="30"/>
      <c r="BLC35" s="30"/>
      <c r="BLD35" s="30"/>
      <c r="BLE35" s="30"/>
      <c r="BLF35" s="30"/>
      <c r="BLG35" s="30"/>
      <c r="BLH35" s="30"/>
      <c r="BLI35" s="30"/>
      <c r="BLJ35" s="30"/>
      <c r="BLK35" s="30"/>
      <c r="BLL35" s="30"/>
      <c r="BLM35" s="30"/>
      <c r="BLN35" s="30"/>
      <c r="BLO35" s="30"/>
      <c r="BLP35" s="30"/>
      <c r="BLQ35" s="30"/>
      <c r="BLR35" s="30"/>
      <c r="BLS35" s="30"/>
      <c r="BLT35" s="30"/>
      <c r="BLU35" s="30"/>
      <c r="BLV35" s="30"/>
      <c r="BLW35" s="30"/>
      <c r="BLX35" s="30"/>
      <c r="BLY35" s="30"/>
      <c r="BLZ35" s="30"/>
      <c r="BMA35" s="30"/>
      <c r="BMB35" s="30"/>
      <c r="BMC35" s="30"/>
      <c r="BMD35" s="30"/>
      <c r="BME35" s="30"/>
      <c r="BMF35" s="30"/>
      <c r="BMG35" s="30"/>
      <c r="BMH35" s="30"/>
      <c r="BMI35" s="30"/>
      <c r="BMJ35" s="30"/>
      <c r="BMK35" s="30"/>
      <c r="BML35" s="30"/>
      <c r="BMM35" s="30"/>
      <c r="BMN35" s="30"/>
      <c r="BMO35" s="30"/>
      <c r="BMP35" s="30"/>
      <c r="BMQ35" s="30"/>
      <c r="BMR35" s="30"/>
      <c r="BMS35" s="30"/>
      <c r="BMT35" s="30"/>
      <c r="BMU35" s="30"/>
      <c r="BMV35" s="30"/>
      <c r="BMW35" s="30"/>
      <c r="BMX35" s="30"/>
      <c r="BMY35" s="30"/>
      <c r="BMZ35" s="30"/>
      <c r="BNA35" s="30"/>
      <c r="BNB35" s="30"/>
      <c r="BNC35" s="30"/>
      <c r="BND35" s="30"/>
      <c r="BNE35" s="30"/>
      <c r="BNF35" s="30"/>
      <c r="BNG35" s="30"/>
      <c r="BNH35" s="30"/>
      <c r="BNI35" s="30"/>
      <c r="BNJ35" s="30"/>
      <c r="BNK35" s="30"/>
      <c r="BNL35" s="30"/>
      <c r="BNM35" s="30"/>
      <c r="BNN35" s="30"/>
      <c r="BNO35" s="30"/>
      <c r="BNP35" s="30"/>
      <c r="BNQ35" s="30"/>
      <c r="BNR35" s="30"/>
      <c r="BNS35" s="30"/>
      <c r="BNT35" s="30"/>
      <c r="BNU35" s="30"/>
      <c r="BNV35" s="30"/>
      <c r="BNW35" s="30"/>
      <c r="BNX35" s="30"/>
      <c r="BNY35" s="30"/>
      <c r="BNZ35" s="30"/>
      <c r="BOA35" s="30"/>
      <c r="BOB35" s="30"/>
      <c r="BOC35" s="30"/>
      <c r="BOD35" s="30"/>
      <c r="BOE35" s="30"/>
      <c r="BOF35" s="30"/>
      <c r="BOG35" s="30"/>
      <c r="BOH35" s="30"/>
      <c r="BOI35" s="30"/>
      <c r="BOJ35" s="30"/>
      <c r="BOK35" s="30"/>
      <c r="BOL35" s="30"/>
      <c r="BOM35" s="30"/>
      <c r="BON35" s="30"/>
      <c r="BOO35" s="30"/>
      <c r="BOP35" s="30"/>
      <c r="BOQ35" s="30"/>
      <c r="BOR35" s="30"/>
      <c r="BOS35" s="30"/>
      <c r="BOT35" s="30"/>
      <c r="BOU35" s="30"/>
      <c r="BOV35" s="30"/>
      <c r="BOW35" s="30"/>
      <c r="BOX35" s="30"/>
      <c r="BOY35" s="30"/>
      <c r="BOZ35" s="30"/>
      <c r="BPA35" s="30"/>
      <c r="BPB35" s="30"/>
      <c r="BPC35" s="30"/>
      <c r="BPD35" s="30"/>
      <c r="BPE35" s="30"/>
      <c r="BPF35" s="30"/>
      <c r="BPG35" s="30"/>
      <c r="BPH35" s="30"/>
      <c r="BPI35" s="30"/>
      <c r="BPJ35" s="30"/>
      <c r="BPK35" s="30"/>
      <c r="BPL35" s="30"/>
      <c r="BPM35" s="30"/>
      <c r="BPN35" s="30"/>
      <c r="BPO35" s="30"/>
      <c r="BPP35" s="30"/>
      <c r="BPQ35" s="30"/>
      <c r="BPR35" s="30"/>
      <c r="BPS35" s="30"/>
      <c r="BPT35" s="30"/>
      <c r="BPU35" s="30"/>
      <c r="BPV35" s="30"/>
      <c r="BPW35" s="30"/>
      <c r="BPX35" s="30"/>
      <c r="BPY35" s="30"/>
      <c r="BPZ35" s="30"/>
      <c r="BQA35" s="30"/>
      <c r="BQB35" s="30"/>
      <c r="BQC35" s="30"/>
      <c r="BQD35" s="30"/>
      <c r="BQE35" s="30"/>
      <c r="BQF35" s="30"/>
      <c r="BQG35" s="30"/>
      <c r="BQH35" s="30"/>
      <c r="BQI35" s="30"/>
      <c r="BQJ35" s="30"/>
      <c r="BQK35" s="30"/>
      <c r="BQL35" s="30"/>
      <c r="BQM35" s="30"/>
      <c r="BQN35" s="30"/>
      <c r="BQO35" s="30"/>
      <c r="BQP35" s="30"/>
      <c r="BQQ35" s="30"/>
      <c r="BQR35" s="30"/>
      <c r="BQS35" s="30"/>
      <c r="BQT35" s="30"/>
      <c r="BQU35" s="30"/>
      <c r="BQV35" s="30"/>
      <c r="BQW35" s="30"/>
      <c r="BQX35" s="30"/>
      <c r="BQY35" s="30"/>
      <c r="BQZ35" s="30"/>
      <c r="BRA35" s="30"/>
      <c r="BRB35" s="30"/>
      <c r="BRC35" s="30"/>
      <c r="BRD35" s="30"/>
      <c r="BRE35" s="30"/>
      <c r="BRF35" s="30"/>
      <c r="BRG35" s="30"/>
      <c r="BRH35" s="30"/>
      <c r="BRI35" s="30"/>
      <c r="BRJ35" s="30"/>
      <c r="BRK35" s="30"/>
      <c r="BRL35" s="30"/>
      <c r="BRM35" s="30"/>
      <c r="BRN35" s="30"/>
      <c r="BRO35" s="30"/>
      <c r="BRP35" s="30"/>
      <c r="BRQ35" s="30"/>
      <c r="BRR35" s="30"/>
      <c r="BRS35" s="30"/>
      <c r="BRT35" s="30"/>
      <c r="BRU35" s="30"/>
      <c r="BRV35" s="30"/>
      <c r="BRW35" s="30"/>
      <c r="BRX35" s="30"/>
      <c r="BRY35" s="30"/>
      <c r="BRZ35" s="30"/>
      <c r="BSA35" s="30"/>
      <c r="BSB35" s="30"/>
      <c r="BSC35" s="30"/>
      <c r="BSD35" s="30"/>
      <c r="BSE35" s="30"/>
      <c r="BSF35" s="30"/>
      <c r="BSG35" s="30"/>
      <c r="BSH35" s="30"/>
      <c r="BSI35" s="30"/>
      <c r="BSJ35" s="30"/>
      <c r="BSK35" s="30"/>
      <c r="BSL35" s="30"/>
      <c r="BSM35" s="30"/>
      <c r="BSN35" s="30"/>
      <c r="BSO35" s="30"/>
      <c r="BSP35" s="30"/>
      <c r="BSQ35" s="30"/>
      <c r="BSR35" s="30"/>
      <c r="BSS35" s="30"/>
      <c r="BST35" s="30"/>
      <c r="BSU35" s="30"/>
      <c r="BSV35" s="30"/>
      <c r="BSW35" s="30"/>
      <c r="BSX35" s="30"/>
      <c r="BSY35" s="30"/>
      <c r="BSZ35" s="30"/>
      <c r="BTA35" s="30"/>
      <c r="BTB35" s="30"/>
      <c r="BTC35" s="30"/>
      <c r="BTD35" s="30"/>
      <c r="BTE35" s="30"/>
      <c r="BTF35" s="30"/>
      <c r="BTG35" s="30"/>
      <c r="BTH35" s="30"/>
      <c r="BTI35" s="30"/>
      <c r="BTJ35" s="30"/>
      <c r="BTK35" s="30"/>
      <c r="BTL35" s="30"/>
      <c r="BTM35" s="30"/>
      <c r="BTN35" s="30"/>
      <c r="BTO35" s="30"/>
      <c r="BTP35" s="30"/>
      <c r="BTQ35" s="30"/>
      <c r="BTR35" s="30"/>
      <c r="BTS35" s="30"/>
      <c r="BTT35" s="30"/>
      <c r="BTU35" s="30"/>
      <c r="BTV35" s="30"/>
      <c r="BTW35" s="30"/>
      <c r="BTX35" s="30"/>
      <c r="BTY35" s="30"/>
      <c r="BTZ35" s="30"/>
      <c r="BUA35" s="30"/>
      <c r="BUB35" s="30"/>
      <c r="BUC35" s="30"/>
      <c r="BUD35" s="30"/>
      <c r="BUE35" s="30"/>
      <c r="BUF35" s="30"/>
      <c r="BUG35" s="30"/>
      <c r="BUH35" s="30"/>
      <c r="BUI35" s="30"/>
      <c r="BUJ35" s="30"/>
      <c r="BUK35" s="30"/>
      <c r="BUL35" s="30"/>
      <c r="BUM35" s="30"/>
      <c r="BUN35" s="30"/>
      <c r="BUO35" s="30"/>
      <c r="BUP35" s="30"/>
      <c r="BUQ35" s="30"/>
      <c r="BUR35" s="30"/>
      <c r="BUS35" s="30"/>
      <c r="BUT35" s="30"/>
      <c r="BUU35" s="30"/>
      <c r="BUV35" s="30"/>
      <c r="BUW35" s="30"/>
      <c r="BUX35" s="30"/>
      <c r="BUY35" s="30"/>
      <c r="BUZ35" s="30"/>
      <c r="BVA35" s="30"/>
      <c r="BVB35" s="30"/>
      <c r="BVC35" s="30"/>
      <c r="BVD35" s="30"/>
      <c r="BVE35" s="30"/>
      <c r="BVF35" s="30"/>
      <c r="BVG35" s="30"/>
      <c r="BVH35" s="30"/>
      <c r="BVI35" s="30"/>
      <c r="BVJ35" s="30"/>
      <c r="BVK35" s="30"/>
      <c r="BVL35" s="30"/>
      <c r="BVM35" s="30"/>
      <c r="BVN35" s="30"/>
      <c r="BVO35" s="30"/>
      <c r="BVP35" s="30"/>
      <c r="BVQ35" s="30"/>
      <c r="BVR35" s="30"/>
      <c r="BVS35" s="30"/>
      <c r="BVT35" s="30"/>
      <c r="BVU35" s="30"/>
      <c r="BVV35" s="30"/>
      <c r="BVW35" s="30"/>
      <c r="BVX35" s="30"/>
      <c r="BVY35" s="30"/>
      <c r="BVZ35" s="30"/>
      <c r="BWA35" s="30"/>
      <c r="BWB35" s="30"/>
      <c r="BWC35" s="30"/>
      <c r="BWD35" s="30"/>
      <c r="BWE35" s="30"/>
      <c r="BWF35" s="30"/>
      <c r="BWG35" s="30"/>
      <c r="BWH35" s="30"/>
      <c r="BWI35" s="30"/>
      <c r="BWJ35" s="30"/>
      <c r="BWK35" s="30"/>
      <c r="BWL35" s="30"/>
      <c r="BWM35" s="30"/>
      <c r="BWN35" s="30"/>
      <c r="BWO35" s="30"/>
      <c r="BWP35" s="30"/>
      <c r="BWQ35" s="30"/>
      <c r="BWR35" s="30"/>
      <c r="BWS35" s="30"/>
      <c r="BWT35" s="30"/>
      <c r="BWU35" s="30"/>
      <c r="BWV35" s="30"/>
      <c r="BWW35" s="30"/>
      <c r="BWX35" s="30"/>
      <c r="BWY35" s="30"/>
      <c r="BWZ35" s="30"/>
      <c r="BXA35" s="30"/>
      <c r="BXB35" s="30"/>
      <c r="BXC35" s="30"/>
      <c r="BXD35" s="30"/>
      <c r="BXE35" s="30"/>
      <c r="BXF35" s="30"/>
      <c r="BXG35" s="30"/>
      <c r="BXH35" s="30"/>
      <c r="BXI35" s="30"/>
      <c r="BXJ35" s="30"/>
      <c r="BXK35" s="30"/>
      <c r="BXL35" s="30"/>
      <c r="BXM35" s="30"/>
      <c r="BXN35" s="30"/>
      <c r="BXO35" s="30"/>
      <c r="BXP35" s="30"/>
      <c r="BXQ35" s="30"/>
      <c r="BXR35" s="30"/>
      <c r="BXS35" s="30"/>
      <c r="BXT35" s="30"/>
      <c r="BXU35" s="30"/>
      <c r="BXV35" s="30"/>
      <c r="BXW35" s="30"/>
      <c r="BXX35" s="30"/>
      <c r="BXY35" s="30"/>
      <c r="BXZ35" s="30"/>
      <c r="BYA35" s="30"/>
      <c r="BYB35" s="30"/>
      <c r="BYC35" s="30"/>
      <c r="BYD35" s="30"/>
      <c r="BYE35" s="30"/>
      <c r="BYF35" s="30"/>
      <c r="BYG35" s="30"/>
      <c r="BYH35" s="30"/>
      <c r="BYI35" s="30"/>
      <c r="BYJ35" s="30"/>
      <c r="BYK35" s="30"/>
      <c r="BYL35" s="30"/>
      <c r="BYM35" s="30"/>
      <c r="BYN35" s="30"/>
      <c r="BYO35" s="30"/>
      <c r="BYP35" s="30"/>
      <c r="BYQ35" s="30"/>
      <c r="BYR35" s="30"/>
      <c r="BYS35" s="30"/>
      <c r="BYT35" s="30"/>
      <c r="BYU35" s="30"/>
      <c r="BYV35" s="30"/>
      <c r="BYW35" s="30"/>
      <c r="BYX35" s="30"/>
      <c r="BYY35" s="30"/>
      <c r="BYZ35" s="30"/>
      <c r="BZA35" s="30"/>
      <c r="BZB35" s="30"/>
      <c r="BZC35" s="30"/>
      <c r="BZD35" s="30"/>
      <c r="BZE35" s="30"/>
      <c r="BZF35" s="30"/>
      <c r="BZG35" s="30"/>
      <c r="BZH35" s="30"/>
      <c r="BZI35" s="30"/>
      <c r="BZJ35" s="30"/>
      <c r="BZK35" s="30"/>
      <c r="BZL35" s="30"/>
      <c r="BZM35" s="30"/>
      <c r="BZN35" s="30"/>
      <c r="BZO35" s="30"/>
      <c r="BZP35" s="30"/>
      <c r="BZQ35" s="30"/>
      <c r="BZR35" s="30"/>
      <c r="BZS35" s="30"/>
      <c r="BZT35" s="30"/>
      <c r="BZU35" s="30"/>
      <c r="BZV35" s="30"/>
      <c r="BZW35" s="30"/>
      <c r="BZX35" s="30"/>
      <c r="BZY35" s="30"/>
      <c r="BZZ35" s="30"/>
      <c r="CAA35" s="30"/>
      <c r="CAB35" s="30"/>
      <c r="CAC35" s="30"/>
      <c r="CAD35" s="30"/>
      <c r="CAE35" s="30"/>
      <c r="CAF35" s="30"/>
      <c r="CAG35" s="30"/>
      <c r="CAH35" s="30"/>
      <c r="CAI35" s="30"/>
      <c r="CAJ35" s="30"/>
      <c r="CAK35" s="30"/>
      <c r="CAL35" s="30"/>
      <c r="CAM35" s="30"/>
      <c r="CAN35" s="30"/>
      <c r="CAO35" s="30"/>
      <c r="CAP35" s="30"/>
      <c r="CAQ35" s="30"/>
      <c r="CAR35" s="30"/>
      <c r="CAS35" s="30"/>
      <c r="CAT35" s="30"/>
      <c r="CAU35" s="30"/>
      <c r="CAV35" s="30"/>
      <c r="CAW35" s="30"/>
      <c r="CAX35" s="30"/>
      <c r="CAY35" s="30"/>
      <c r="CAZ35" s="30"/>
      <c r="CBA35" s="30"/>
      <c r="CBB35" s="30"/>
      <c r="CBC35" s="30"/>
      <c r="CBD35" s="30"/>
      <c r="CBE35" s="30"/>
      <c r="CBF35" s="30"/>
      <c r="CBG35" s="30"/>
      <c r="CBH35" s="30"/>
      <c r="CBI35" s="30"/>
      <c r="CBJ35" s="30"/>
      <c r="CBK35" s="30"/>
      <c r="CBL35" s="30"/>
      <c r="CBM35" s="30"/>
      <c r="CBN35" s="30"/>
      <c r="CBO35" s="30"/>
      <c r="CBP35" s="30"/>
      <c r="CBQ35" s="30"/>
      <c r="CBR35" s="30"/>
      <c r="CBS35" s="30"/>
      <c r="CBT35" s="30"/>
      <c r="CBU35" s="30"/>
      <c r="CBV35" s="30"/>
      <c r="CBW35" s="30"/>
      <c r="CBX35" s="30"/>
      <c r="CBY35" s="30"/>
      <c r="CBZ35" s="30"/>
      <c r="CCA35" s="30"/>
      <c r="CCB35" s="30"/>
      <c r="CCC35" s="30"/>
      <c r="CCD35" s="30"/>
      <c r="CCE35" s="30"/>
      <c r="CCF35" s="30"/>
      <c r="CCG35" s="30"/>
      <c r="CCH35" s="30"/>
      <c r="CCI35" s="30"/>
      <c r="CCJ35" s="30"/>
      <c r="CCK35" s="30"/>
      <c r="CCL35" s="30"/>
      <c r="CCM35" s="30"/>
      <c r="CCN35" s="30"/>
      <c r="CCO35" s="30"/>
      <c r="CCP35" s="30"/>
      <c r="CCQ35" s="30"/>
      <c r="CCR35" s="30"/>
      <c r="CCS35" s="30"/>
      <c r="CCT35" s="30"/>
      <c r="CCU35" s="30"/>
      <c r="CCV35" s="30"/>
      <c r="CCW35" s="30"/>
      <c r="CCX35" s="30"/>
      <c r="CCY35" s="30"/>
      <c r="CCZ35" s="30"/>
      <c r="CDA35" s="30"/>
      <c r="CDB35" s="30"/>
      <c r="CDC35" s="30"/>
      <c r="CDD35" s="30"/>
      <c r="CDE35" s="30"/>
      <c r="CDF35" s="30"/>
      <c r="CDG35" s="30"/>
      <c r="CDH35" s="30"/>
      <c r="CDI35" s="30"/>
      <c r="CDJ35" s="30"/>
      <c r="CDK35" s="30"/>
      <c r="CDL35" s="30"/>
      <c r="CDM35" s="30"/>
      <c r="CDN35" s="30"/>
      <c r="CDO35" s="30"/>
      <c r="CDP35" s="30"/>
      <c r="CDQ35" s="30"/>
      <c r="CDR35" s="30"/>
      <c r="CDS35" s="30"/>
      <c r="CDT35" s="30"/>
      <c r="CDU35" s="30"/>
      <c r="CDV35" s="30"/>
      <c r="CDW35" s="30"/>
      <c r="CDX35" s="30"/>
      <c r="CDY35" s="30"/>
      <c r="CDZ35" s="30"/>
      <c r="CEA35" s="30"/>
      <c r="CEB35" s="30"/>
      <c r="CEC35" s="30"/>
      <c r="CED35" s="30"/>
      <c r="CEE35" s="30"/>
      <c r="CEF35" s="30"/>
      <c r="CEG35" s="30"/>
      <c r="CEH35" s="30"/>
      <c r="CEI35" s="30"/>
      <c r="CEJ35" s="30"/>
      <c r="CEK35" s="30"/>
      <c r="CEL35" s="30"/>
      <c r="CEM35" s="30"/>
      <c r="CEN35" s="30"/>
      <c r="CEO35" s="30"/>
      <c r="CEP35" s="30"/>
      <c r="CEQ35" s="30"/>
      <c r="CER35" s="30"/>
      <c r="CES35" s="30"/>
      <c r="CET35" s="30"/>
      <c r="CEU35" s="30"/>
      <c r="CEV35" s="30"/>
      <c r="CEW35" s="30"/>
      <c r="CEX35" s="30"/>
      <c r="CEY35" s="30"/>
      <c r="CEZ35" s="30"/>
      <c r="CFA35" s="30"/>
      <c r="CFB35" s="30"/>
      <c r="CFC35" s="30"/>
      <c r="CFD35" s="30"/>
      <c r="CFE35" s="30"/>
      <c r="CFF35" s="30"/>
      <c r="CFG35" s="30"/>
      <c r="CFH35" s="30"/>
      <c r="CFI35" s="30"/>
      <c r="CFJ35" s="30"/>
      <c r="CFK35" s="30"/>
      <c r="CFL35" s="30"/>
      <c r="CFM35" s="30"/>
      <c r="CFN35" s="30"/>
      <c r="CFO35" s="30"/>
      <c r="CFP35" s="30"/>
      <c r="CFQ35" s="30"/>
      <c r="CFR35" s="30"/>
      <c r="CFS35" s="30"/>
      <c r="CFT35" s="30"/>
      <c r="CFU35" s="30"/>
      <c r="CFV35" s="30"/>
      <c r="CFW35" s="30"/>
      <c r="CFX35" s="30"/>
      <c r="CFY35" s="30"/>
      <c r="CFZ35" s="30"/>
      <c r="CGA35" s="30"/>
      <c r="CGB35" s="30"/>
      <c r="CGC35" s="30"/>
      <c r="CGD35" s="30"/>
      <c r="CGE35" s="30"/>
      <c r="CGF35" s="30"/>
      <c r="CGG35" s="30"/>
      <c r="CGH35" s="30"/>
      <c r="CGI35" s="30"/>
      <c r="CGJ35" s="30"/>
      <c r="CGK35" s="30"/>
      <c r="CGL35" s="30"/>
      <c r="CGM35" s="30"/>
      <c r="CGN35" s="30"/>
      <c r="CGO35" s="30"/>
      <c r="CGP35" s="30"/>
      <c r="CGQ35" s="30"/>
      <c r="CGR35" s="30"/>
      <c r="CGS35" s="30"/>
      <c r="CGT35" s="30"/>
      <c r="CGU35" s="30"/>
      <c r="CGV35" s="30"/>
      <c r="CGW35" s="30"/>
      <c r="CGX35" s="30"/>
      <c r="CGY35" s="30"/>
      <c r="CGZ35" s="30"/>
      <c r="CHA35" s="30"/>
      <c r="CHB35" s="30"/>
      <c r="CHC35" s="30"/>
      <c r="CHD35" s="30"/>
      <c r="CHE35" s="30"/>
      <c r="CHF35" s="30"/>
      <c r="CHG35" s="30"/>
      <c r="CHH35" s="30"/>
      <c r="CHI35" s="30"/>
      <c r="CHJ35" s="30"/>
      <c r="CHK35" s="30"/>
      <c r="CHL35" s="30"/>
      <c r="CHM35" s="30"/>
      <c r="CHN35" s="30"/>
      <c r="CHO35" s="30"/>
      <c r="CHP35" s="30"/>
      <c r="CHQ35" s="30"/>
      <c r="CHR35" s="30"/>
      <c r="CHS35" s="30"/>
      <c r="CHT35" s="30"/>
      <c r="CHU35" s="30"/>
      <c r="CHV35" s="30"/>
      <c r="CHW35" s="30"/>
      <c r="CHX35" s="30"/>
      <c r="CHY35" s="30"/>
      <c r="CHZ35" s="30"/>
      <c r="CIA35" s="30"/>
      <c r="CIB35" s="30"/>
      <c r="CIC35" s="30"/>
      <c r="CID35" s="30"/>
      <c r="CIE35" s="30"/>
      <c r="CIF35" s="30"/>
      <c r="CIG35" s="30"/>
      <c r="CIH35" s="30"/>
      <c r="CII35" s="30"/>
      <c r="CIJ35" s="30"/>
      <c r="CIK35" s="30"/>
      <c r="CIL35" s="30"/>
      <c r="CIM35" s="30"/>
      <c r="CIN35" s="30"/>
      <c r="CIO35" s="30"/>
      <c r="CIP35" s="30"/>
      <c r="CIQ35" s="30"/>
      <c r="CIR35" s="30"/>
      <c r="CIS35" s="30"/>
      <c r="CIT35" s="30"/>
      <c r="CIU35" s="30"/>
      <c r="CIV35" s="30"/>
      <c r="CIW35" s="30"/>
      <c r="CIX35" s="30"/>
      <c r="CIY35" s="30"/>
      <c r="CIZ35" s="30"/>
      <c r="CJA35" s="30"/>
      <c r="CJB35" s="30"/>
      <c r="CJC35" s="30"/>
      <c r="CJD35" s="30"/>
      <c r="CJE35" s="30"/>
      <c r="CJF35" s="30"/>
      <c r="CJG35" s="30"/>
      <c r="CJH35" s="30"/>
      <c r="CJI35" s="30"/>
      <c r="CJJ35" s="30"/>
      <c r="CJK35" s="30"/>
      <c r="CJL35" s="30"/>
      <c r="CJM35" s="30"/>
      <c r="CJN35" s="30"/>
      <c r="CJO35" s="30"/>
      <c r="CJP35" s="30"/>
      <c r="CJQ35" s="30"/>
      <c r="CJR35" s="30"/>
      <c r="CJS35" s="30"/>
      <c r="CJT35" s="30"/>
      <c r="CJU35" s="30"/>
      <c r="CJV35" s="30"/>
      <c r="CJW35" s="30"/>
      <c r="CJX35" s="30"/>
      <c r="CJY35" s="30"/>
      <c r="CJZ35" s="30"/>
      <c r="CKA35" s="30"/>
      <c r="CKB35" s="30"/>
      <c r="CKC35" s="30"/>
      <c r="CKD35" s="30"/>
      <c r="CKE35" s="30"/>
      <c r="CKF35" s="30"/>
      <c r="CKG35" s="30"/>
      <c r="CKH35" s="30"/>
      <c r="CKI35" s="30"/>
      <c r="CKJ35" s="30"/>
      <c r="CKK35" s="30"/>
      <c r="CKL35" s="30"/>
      <c r="CKM35" s="30"/>
      <c r="CKN35" s="30"/>
      <c r="CKO35" s="30"/>
      <c r="CKP35" s="30"/>
      <c r="CKQ35" s="30"/>
      <c r="CKR35" s="30"/>
      <c r="CKS35" s="30"/>
      <c r="CKT35" s="30"/>
      <c r="CKU35" s="30"/>
      <c r="CKV35" s="30"/>
      <c r="CKW35" s="30"/>
      <c r="CKX35" s="30"/>
      <c r="CKY35" s="30"/>
      <c r="CKZ35" s="30"/>
      <c r="CLA35" s="30"/>
      <c r="CLB35" s="30"/>
      <c r="CLC35" s="30"/>
      <c r="CLD35" s="30"/>
      <c r="CLE35" s="30"/>
      <c r="CLF35" s="30"/>
      <c r="CLG35" s="30"/>
      <c r="CLH35" s="30"/>
      <c r="CLI35" s="30"/>
      <c r="CLJ35" s="30"/>
      <c r="CLK35" s="30"/>
      <c r="CLL35" s="30"/>
      <c r="CLM35" s="30"/>
      <c r="CLN35" s="30"/>
      <c r="CLO35" s="30"/>
      <c r="CLP35" s="30"/>
      <c r="CLQ35" s="30"/>
      <c r="CLR35" s="30"/>
      <c r="CLS35" s="30"/>
      <c r="CLT35" s="30"/>
      <c r="CLU35" s="30"/>
      <c r="CLV35" s="30"/>
      <c r="CLW35" s="30"/>
      <c r="CLX35" s="30"/>
      <c r="CLY35" s="30"/>
      <c r="CLZ35" s="30"/>
      <c r="CMA35" s="30"/>
      <c r="CMB35" s="30"/>
      <c r="CMC35" s="30"/>
      <c r="CMD35" s="30"/>
      <c r="CME35" s="30"/>
      <c r="CMF35" s="30"/>
      <c r="CMG35" s="30"/>
      <c r="CMH35" s="30"/>
      <c r="CMI35" s="30"/>
      <c r="CMJ35" s="30"/>
      <c r="CMK35" s="30"/>
      <c r="CML35" s="30"/>
      <c r="CMM35" s="30"/>
      <c r="CMN35" s="30"/>
      <c r="CMO35" s="30"/>
      <c r="CMP35" s="30"/>
      <c r="CMQ35" s="30"/>
      <c r="CMR35" s="30"/>
      <c r="CMS35" s="30"/>
      <c r="CMT35" s="30"/>
      <c r="CMU35" s="30"/>
      <c r="CMV35" s="30"/>
      <c r="CMW35" s="30"/>
      <c r="CMX35" s="30"/>
      <c r="CMY35" s="30"/>
      <c r="CMZ35" s="30"/>
      <c r="CNA35" s="30"/>
      <c r="CNB35" s="30"/>
      <c r="CNC35" s="30"/>
      <c r="CND35" s="30"/>
      <c r="CNE35" s="30"/>
      <c r="CNF35" s="30"/>
      <c r="CNG35" s="30"/>
      <c r="CNH35" s="30"/>
      <c r="CNI35" s="30"/>
      <c r="CNJ35" s="30"/>
      <c r="CNK35" s="30"/>
      <c r="CNL35" s="30"/>
      <c r="CNM35" s="30"/>
      <c r="CNN35" s="30"/>
      <c r="CNO35" s="30"/>
      <c r="CNP35" s="30"/>
      <c r="CNQ35" s="30"/>
      <c r="CNR35" s="30"/>
      <c r="CNS35" s="30"/>
      <c r="CNT35" s="30"/>
      <c r="CNU35" s="30"/>
      <c r="CNV35" s="30"/>
      <c r="CNW35" s="30"/>
      <c r="CNX35" s="30"/>
      <c r="CNY35" s="30"/>
      <c r="CNZ35" s="30"/>
      <c r="COA35" s="30"/>
      <c r="COB35" s="30"/>
      <c r="COC35" s="30"/>
      <c r="COD35" s="30"/>
      <c r="COE35" s="30"/>
      <c r="COF35" s="30"/>
      <c r="COG35" s="30"/>
      <c r="COH35" s="30"/>
      <c r="COI35" s="30"/>
      <c r="COJ35" s="30"/>
      <c r="COK35" s="30"/>
      <c r="COL35" s="30"/>
      <c r="COM35" s="30"/>
      <c r="CON35" s="30"/>
      <c r="COO35" s="30"/>
      <c r="COP35" s="30"/>
      <c r="COQ35" s="30"/>
      <c r="COR35" s="30"/>
      <c r="COS35" s="30"/>
      <c r="COT35" s="30"/>
      <c r="COU35" s="30"/>
      <c r="COV35" s="30"/>
      <c r="COW35" s="30"/>
      <c r="COX35" s="30"/>
      <c r="COY35" s="30"/>
      <c r="COZ35" s="30"/>
      <c r="CPA35" s="30"/>
      <c r="CPB35" s="30"/>
      <c r="CPC35" s="30"/>
      <c r="CPD35" s="30"/>
      <c r="CPE35" s="30"/>
      <c r="CPF35" s="30"/>
      <c r="CPG35" s="30"/>
      <c r="CPH35" s="30"/>
      <c r="CPI35" s="30"/>
      <c r="CPJ35" s="30"/>
      <c r="CPK35" s="30"/>
      <c r="CPL35" s="30"/>
      <c r="CPM35" s="30"/>
      <c r="CPN35" s="30"/>
      <c r="CPO35" s="30"/>
      <c r="CPP35" s="30"/>
      <c r="CPQ35" s="30"/>
      <c r="CPR35" s="30"/>
      <c r="CPS35" s="30"/>
      <c r="CPT35" s="30"/>
      <c r="CPU35" s="30"/>
      <c r="CPV35" s="30"/>
      <c r="CPW35" s="30"/>
      <c r="CPX35" s="30"/>
      <c r="CPY35" s="30"/>
      <c r="CPZ35" s="30"/>
      <c r="CQA35" s="30"/>
      <c r="CQB35" s="30"/>
      <c r="CQC35" s="30"/>
      <c r="CQD35" s="30"/>
      <c r="CQE35" s="30"/>
      <c r="CQF35" s="30"/>
      <c r="CQG35" s="30"/>
      <c r="CQH35" s="30"/>
      <c r="CQI35" s="30"/>
      <c r="CQJ35" s="30"/>
      <c r="CQK35" s="30"/>
      <c r="CQL35" s="30"/>
      <c r="CQM35" s="30"/>
      <c r="CQN35" s="30"/>
      <c r="CQO35" s="30"/>
      <c r="CQP35" s="30"/>
      <c r="CQQ35" s="30"/>
      <c r="CQR35" s="30"/>
      <c r="CQS35" s="30"/>
      <c r="CQT35" s="30"/>
      <c r="CQU35" s="30"/>
      <c r="CQV35" s="30"/>
      <c r="CQW35" s="30"/>
      <c r="CQX35" s="30"/>
      <c r="CQY35" s="30"/>
      <c r="CQZ35" s="30"/>
      <c r="CRA35" s="30"/>
      <c r="CRB35" s="30"/>
      <c r="CRC35" s="30"/>
      <c r="CRD35" s="30"/>
      <c r="CRE35" s="30"/>
      <c r="CRF35" s="30"/>
      <c r="CRG35" s="30"/>
      <c r="CRH35" s="30"/>
      <c r="CRI35" s="30"/>
      <c r="CRJ35" s="30"/>
      <c r="CRK35" s="30"/>
      <c r="CRL35" s="30"/>
      <c r="CRM35" s="30"/>
      <c r="CRN35" s="30"/>
      <c r="CRO35" s="30"/>
      <c r="CRP35" s="30"/>
      <c r="CRQ35" s="30"/>
      <c r="CRR35" s="30"/>
      <c r="CRS35" s="30"/>
      <c r="CRT35" s="30"/>
      <c r="CRU35" s="30"/>
      <c r="CRV35" s="30"/>
      <c r="CRW35" s="30"/>
      <c r="CRX35" s="30"/>
      <c r="CRY35" s="30"/>
      <c r="CRZ35" s="30"/>
      <c r="CSA35" s="30"/>
      <c r="CSB35" s="30"/>
      <c r="CSC35" s="30"/>
      <c r="CSD35" s="30"/>
      <c r="CSE35" s="30"/>
      <c r="CSF35" s="30"/>
      <c r="CSG35" s="30"/>
      <c r="CSH35" s="30"/>
      <c r="CSI35" s="30"/>
      <c r="CSJ35" s="30"/>
      <c r="CSK35" s="30"/>
      <c r="CSL35" s="30"/>
      <c r="CSM35" s="30"/>
      <c r="CSN35" s="30"/>
      <c r="CSO35" s="30"/>
      <c r="CSP35" s="30"/>
      <c r="CSQ35" s="30"/>
      <c r="CSR35" s="30"/>
      <c r="CSS35" s="30"/>
      <c r="CST35" s="30"/>
      <c r="CSU35" s="30"/>
      <c r="CSV35" s="30"/>
      <c r="CSW35" s="30"/>
      <c r="CSX35" s="30"/>
      <c r="CSY35" s="30"/>
      <c r="CSZ35" s="30"/>
      <c r="CTA35" s="30"/>
      <c r="CTB35" s="30"/>
      <c r="CTC35" s="30"/>
      <c r="CTD35" s="30"/>
      <c r="CTE35" s="30"/>
      <c r="CTF35" s="30"/>
      <c r="CTG35" s="30"/>
      <c r="CTH35" s="30"/>
      <c r="CTI35" s="30"/>
      <c r="CTJ35" s="30"/>
      <c r="CTK35" s="30"/>
      <c r="CTL35" s="30"/>
      <c r="CTM35" s="30"/>
      <c r="CTN35" s="30"/>
      <c r="CTO35" s="30"/>
      <c r="CTP35" s="30"/>
      <c r="CTQ35" s="30"/>
      <c r="CTR35" s="30"/>
      <c r="CTS35" s="30"/>
      <c r="CTT35" s="30"/>
      <c r="CTU35" s="30"/>
      <c r="CTV35" s="30"/>
      <c r="CTW35" s="30"/>
      <c r="CTX35" s="30"/>
      <c r="CTY35" s="30"/>
      <c r="CTZ35" s="30"/>
      <c r="CUA35" s="30"/>
    </row>
    <row r="36" s="27" customFormat="1" ht="20" customHeight="1" spans="1:2575">
      <c r="A36" s="268">
        <v>45</v>
      </c>
      <c r="B36" s="268" t="s">
        <v>13</v>
      </c>
      <c r="C36" s="268" t="s">
        <v>37</v>
      </c>
      <c r="D36" s="82" t="s">
        <v>330</v>
      </c>
      <c r="E36" s="118" t="s">
        <v>761</v>
      </c>
      <c r="F36" s="31" t="s">
        <v>764</v>
      </c>
      <c r="G36" s="210" t="s">
        <v>763</v>
      </c>
      <c r="H36" s="32">
        <v>11071461</v>
      </c>
      <c r="I36" s="32">
        <v>2012.01</v>
      </c>
      <c r="J36" s="31" t="s">
        <v>42</v>
      </c>
      <c r="K36" s="31" t="s">
        <v>42</v>
      </c>
      <c r="L36" s="31" t="s">
        <v>667</v>
      </c>
      <c r="M36" s="29" t="s">
        <v>674</v>
      </c>
      <c r="N36" s="94">
        <v>45574</v>
      </c>
      <c r="O36" s="94">
        <v>45938</v>
      </c>
      <c r="P36" s="29">
        <v>250</v>
      </c>
      <c r="Q36" s="85"/>
      <c r="R36" s="251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30"/>
      <c r="VH36" s="30"/>
      <c r="VI36" s="30"/>
      <c r="VJ36" s="30"/>
      <c r="VK36" s="30"/>
      <c r="VL36" s="30"/>
      <c r="VM36" s="30"/>
      <c r="VN36" s="30"/>
      <c r="VO36" s="30"/>
      <c r="VP36" s="30"/>
      <c r="VQ36" s="30"/>
      <c r="VR36" s="30"/>
      <c r="VS36" s="30"/>
      <c r="VT36" s="30"/>
      <c r="VU36" s="30"/>
      <c r="VV36" s="30"/>
      <c r="VW36" s="30"/>
      <c r="VX36" s="30"/>
      <c r="VY36" s="30"/>
      <c r="VZ36" s="30"/>
      <c r="WA36" s="30"/>
      <c r="WB36" s="30"/>
      <c r="WC36" s="30"/>
      <c r="WD36" s="30"/>
      <c r="WE36" s="30"/>
      <c r="WF36" s="30"/>
      <c r="WG36" s="30"/>
      <c r="WH36" s="30"/>
      <c r="WI36" s="30"/>
      <c r="WJ36" s="30"/>
      <c r="WK36" s="30"/>
      <c r="WL36" s="30"/>
      <c r="WM36" s="30"/>
      <c r="WN36" s="30"/>
      <c r="WO36" s="30"/>
      <c r="WP36" s="30"/>
      <c r="WQ36" s="30"/>
      <c r="WR36" s="30"/>
      <c r="WS36" s="30"/>
      <c r="WT36" s="30"/>
      <c r="WU36" s="30"/>
      <c r="WV36" s="30"/>
      <c r="WW36" s="30"/>
      <c r="WX36" s="30"/>
      <c r="WY36" s="30"/>
      <c r="WZ36" s="30"/>
      <c r="XA36" s="30"/>
      <c r="XB36" s="30"/>
      <c r="XC36" s="30"/>
      <c r="XD36" s="30"/>
      <c r="XE36" s="30"/>
      <c r="XF36" s="30"/>
      <c r="XG36" s="30"/>
      <c r="XH36" s="30"/>
      <c r="XI36" s="30"/>
      <c r="XJ36" s="30"/>
      <c r="XK36" s="30"/>
      <c r="XL36" s="30"/>
      <c r="XM36" s="30"/>
      <c r="XN36" s="30"/>
      <c r="XO36" s="30"/>
      <c r="XP36" s="30"/>
      <c r="XQ36" s="30"/>
      <c r="XR36" s="30"/>
      <c r="XS36" s="30"/>
      <c r="XT36" s="30"/>
      <c r="XU36" s="30"/>
      <c r="XV36" s="30"/>
      <c r="XW36" s="30"/>
      <c r="XX36" s="30"/>
      <c r="XY36" s="30"/>
      <c r="XZ36" s="30"/>
      <c r="YA36" s="30"/>
      <c r="YB36" s="30"/>
      <c r="YC36" s="30"/>
      <c r="YD36" s="30"/>
      <c r="YE36" s="30"/>
      <c r="YF36" s="30"/>
      <c r="YG36" s="30"/>
      <c r="YH36" s="30"/>
      <c r="YI36" s="30"/>
      <c r="YJ36" s="30"/>
      <c r="YK36" s="30"/>
      <c r="YL36" s="30"/>
      <c r="YM36" s="30"/>
      <c r="YN36" s="30"/>
      <c r="YO36" s="30"/>
      <c r="YP36" s="30"/>
      <c r="YQ36" s="30"/>
      <c r="YR36" s="30"/>
      <c r="YS36" s="30"/>
      <c r="YT36" s="30"/>
      <c r="YU36" s="30"/>
      <c r="YV36" s="30"/>
      <c r="YW36" s="30"/>
      <c r="YX36" s="30"/>
      <c r="YY36" s="30"/>
      <c r="YZ36" s="30"/>
      <c r="ZA36" s="30"/>
      <c r="ZB36" s="30"/>
      <c r="ZC36" s="30"/>
      <c r="ZD36" s="30"/>
      <c r="ZE36" s="30"/>
      <c r="ZF36" s="30"/>
      <c r="ZG36" s="30"/>
      <c r="ZH36" s="30"/>
      <c r="ZI36" s="30"/>
      <c r="ZJ36" s="30"/>
      <c r="ZK36" s="30"/>
      <c r="ZL36" s="30"/>
      <c r="ZM36" s="30"/>
      <c r="ZN36" s="30"/>
      <c r="ZO36" s="30"/>
      <c r="ZP36" s="30"/>
      <c r="ZQ36" s="30"/>
      <c r="ZR36" s="30"/>
      <c r="ZS36" s="30"/>
      <c r="ZT36" s="30"/>
      <c r="ZU36" s="30"/>
      <c r="ZV36" s="30"/>
      <c r="ZW36" s="30"/>
      <c r="ZX36" s="30"/>
      <c r="ZY36" s="30"/>
      <c r="ZZ36" s="30"/>
      <c r="AAA36" s="30"/>
      <c r="AAB36" s="30"/>
      <c r="AAC36" s="30"/>
      <c r="AAD36" s="30"/>
      <c r="AAE36" s="30"/>
      <c r="AAF36" s="30"/>
      <c r="AAG36" s="30"/>
      <c r="AAH36" s="30"/>
      <c r="AAI36" s="30"/>
      <c r="AAJ36" s="30"/>
      <c r="AAK36" s="30"/>
      <c r="AAL36" s="30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30"/>
      <c r="AAX36" s="30"/>
      <c r="AAY36" s="30"/>
      <c r="AAZ36" s="30"/>
      <c r="ABA36" s="30"/>
      <c r="ABB36" s="30"/>
      <c r="ABC36" s="30"/>
      <c r="ABD36" s="30"/>
      <c r="ABE36" s="30"/>
      <c r="ABF36" s="30"/>
      <c r="ABG36" s="30"/>
      <c r="ABH36" s="30"/>
      <c r="ABI36" s="30"/>
      <c r="ABJ36" s="30"/>
      <c r="ABK36" s="30"/>
      <c r="ABL36" s="30"/>
      <c r="ABM36" s="30"/>
      <c r="ABN36" s="30"/>
      <c r="ABO36" s="30"/>
      <c r="ABP36" s="30"/>
      <c r="ABQ36" s="30"/>
      <c r="ABR36" s="30"/>
      <c r="ABS36" s="30"/>
      <c r="ABT36" s="30"/>
      <c r="ABU36" s="30"/>
      <c r="ABV36" s="30"/>
      <c r="ABW36" s="30"/>
      <c r="ABX36" s="30"/>
      <c r="ABY36" s="30"/>
      <c r="ABZ36" s="30"/>
      <c r="ACA36" s="30"/>
      <c r="ACB36" s="30"/>
      <c r="ACC36" s="30"/>
      <c r="ACD36" s="30"/>
      <c r="ACE36" s="30"/>
      <c r="ACF36" s="30"/>
      <c r="ACG36" s="30"/>
      <c r="ACH36" s="30"/>
      <c r="ACI36" s="30"/>
      <c r="ACJ36" s="30"/>
      <c r="ACK36" s="30"/>
      <c r="ACL36" s="30"/>
      <c r="ACM36" s="30"/>
      <c r="ACN36" s="30"/>
      <c r="ACO36" s="30"/>
      <c r="ACP36" s="30"/>
      <c r="ACQ36" s="30"/>
      <c r="ACR36" s="30"/>
      <c r="ACS36" s="30"/>
      <c r="ACT36" s="30"/>
      <c r="ACU36" s="30"/>
      <c r="ACV36" s="30"/>
      <c r="ACW36" s="30"/>
      <c r="ACX36" s="30"/>
      <c r="ACY36" s="30"/>
      <c r="ACZ36" s="30"/>
      <c r="ADA36" s="30"/>
      <c r="ADB36" s="30"/>
      <c r="ADC36" s="30"/>
      <c r="ADD36" s="30"/>
      <c r="ADE36" s="30"/>
      <c r="ADF36" s="30"/>
      <c r="ADG36" s="30"/>
      <c r="ADH36" s="30"/>
      <c r="ADI36" s="30"/>
      <c r="ADJ36" s="30"/>
      <c r="ADK36" s="30"/>
      <c r="ADL36" s="30"/>
      <c r="ADM36" s="30"/>
      <c r="ADN36" s="30"/>
      <c r="ADO36" s="30"/>
      <c r="ADP36" s="30"/>
      <c r="ADQ36" s="30"/>
      <c r="ADR36" s="30"/>
      <c r="ADS36" s="30"/>
      <c r="ADT36" s="30"/>
      <c r="ADU36" s="30"/>
      <c r="ADV36" s="30"/>
      <c r="ADW36" s="30"/>
      <c r="ADX36" s="30"/>
      <c r="ADY36" s="30"/>
      <c r="ADZ36" s="30"/>
      <c r="AEA36" s="30"/>
      <c r="AEB36" s="30"/>
      <c r="AEC36" s="30"/>
      <c r="AED36" s="30"/>
      <c r="AEE36" s="30"/>
      <c r="AEF36" s="30"/>
      <c r="AEG36" s="30"/>
      <c r="AEH36" s="30"/>
      <c r="AEI36" s="30"/>
      <c r="AEJ36" s="30"/>
      <c r="AEK36" s="30"/>
      <c r="AEL36" s="30"/>
      <c r="AEM36" s="30"/>
      <c r="AEN36" s="30"/>
      <c r="AEO36" s="30"/>
      <c r="AEP36" s="30"/>
      <c r="AEQ36" s="30"/>
      <c r="AER36" s="30"/>
      <c r="AES36" s="30"/>
      <c r="AET36" s="30"/>
      <c r="AEU36" s="30"/>
      <c r="AEV36" s="30"/>
      <c r="AEW36" s="30"/>
      <c r="AEX36" s="30"/>
      <c r="AEY36" s="30"/>
      <c r="AEZ36" s="30"/>
      <c r="AFA36" s="30"/>
      <c r="AFB36" s="30"/>
      <c r="AFC36" s="30"/>
      <c r="AFD36" s="30"/>
      <c r="AFE36" s="30"/>
      <c r="AFF36" s="30"/>
      <c r="AFG36" s="30"/>
      <c r="AFH36" s="30"/>
      <c r="AFI36" s="30"/>
      <c r="AFJ36" s="30"/>
      <c r="AFK36" s="30"/>
      <c r="AFL36" s="30"/>
      <c r="AFM36" s="30"/>
      <c r="AFN36" s="30"/>
      <c r="AFO36" s="30"/>
      <c r="AFP36" s="30"/>
      <c r="AFQ36" s="30"/>
      <c r="AFR36" s="30"/>
      <c r="AFS36" s="30"/>
      <c r="AFT36" s="30"/>
      <c r="AFU36" s="30"/>
      <c r="AFV36" s="30"/>
      <c r="AFW36" s="30"/>
      <c r="AFX36" s="30"/>
      <c r="AFY36" s="30"/>
      <c r="AFZ36" s="30"/>
      <c r="AGA36" s="30"/>
      <c r="AGB36" s="30"/>
      <c r="AGC36" s="30"/>
      <c r="AGD36" s="30"/>
      <c r="AGE36" s="30"/>
      <c r="AGF36" s="30"/>
      <c r="AGG36" s="30"/>
      <c r="AGH36" s="30"/>
      <c r="AGI36" s="30"/>
      <c r="AGJ36" s="30"/>
      <c r="AGK36" s="30"/>
      <c r="AGL36" s="30"/>
      <c r="AGM36" s="30"/>
      <c r="AGN36" s="30"/>
      <c r="AGO36" s="30"/>
      <c r="AGP36" s="30"/>
      <c r="AGQ36" s="30"/>
      <c r="AGR36" s="30"/>
      <c r="AGS36" s="30"/>
      <c r="AGT36" s="30"/>
      <c r="AGU36" s="30"/>
      <c r="AGV36" s="30"/>
      <c r="AGW36" s="30"/>
      <c r="AGX36" s="30"/>
      <c r="AGY36" s="30"/>
      <c r="AGZ36" s="30"/>
      <c r="AHA36" s="30"/>
      <c r="AHB36" s="30"/>
      <c r="AHC36" s="30"/>
      <c r="AHD36" s="30"/>
      <c r="AHE36" s="30"/>
      <c r="AHF36" s="30"/>
      <c r="AHG36" s="30"/>
      <c r="AHH36" s="30"/>
      <c r="AHI36" s="30"/>
      <c r="AHJ36" s="30"/>
      <c r="AHK36" s="30"/>
      <c r="AHL36" s="30"/>
      <c r="AHM36" s="30"/>
      <c r="AHN36" s="30"/>
      <c r="AHO36" s="30"/>
      <c r="AHP36" s="30"/>
      <c r="AHQ36" s="30"/>
      <c r="AHR36" s="30"/>
      <c r="AHS36" s="30"/>
      <c r="AHT36" s="30"/>
      <c r="AHU36" s="30"/>
      <c r="AHV36" s="30"/>
      <c r="AHW36" s="30"/>
      <c r="AHX36" s="30"/>
      <c r="AHY36" s="30"/>
      <c r="AHZ36" s="30"/>
      <c r="AIA36" s="30"/>
      <c r="AIB36" s="30"/>
      <c r="AIC36" s="30"/>
      <c r="AID36" s="30"/>
      <c r="AIE36" s="30"/>
      <c r="AIF36" s="30"/>
      <c r="AIG36" s="30"/>
      <c r="AIH36" s="30"/>
      <c r="AII36" s="30"/>
      <c r="AIJ36" s="30"/>
      <c r="AIK36" s="30"/>
      <c r="AIL36" s="30"/>
      <c r="AIM36" s="30"/>
      <c r="AIN36" s="30"/>
      <c r="AIO36" s="30"/>
      <c r="AIP36" s="30"/>
      <c r="AIQ36" s="30"/>
      <c r="AIR36" s="30"/>
      <c r="AIS36" s="30"/>
      <c r="AIT36" s="30"/>
      <c r="AIU36" s="30"/>
      <c r="AIV36" s="30"/>
      <c r="AIW36" s="30"/>
      <c r="AIX36" s="30"/>
      <c r="AIY36" s="30"/>
      <c r="AIZ36" s="30"/>
      <c r="AJA36" s="30"/>
      <c r="AJB36" s="30"/>
      <c r="AJC36" s="30"/>
      <c r="AJD36" s="30"/>
      <c r="AJE36" s="30"/>
      <c r="AJF36" s="30"/>
      <c r="AJG36" s="30"/>
      <c r="AJH36" s="30"/>
      <c r="AJI36" s="30"/>
      <c r="AJJ36" s="30"/>
      <c r="AJK36" s="30"/>
      <c r="AJL36" s="30"/>
      <c r="AJM36" s="30"/>
      <c r="AJN36" s="30"/>
      <c r="AJO36" s="30"/>
      <c r="AJP36" s="30"/>
      <c r="AJQ36" s="30"/>
      <c r="AJR36" s="30"/>
      <c r="AJS36" s="30"/>
      <c r="AJT36" s="30"/>
      <c r="AJU36" s="30"/>
      <c r="AJV36" s="30"/>
      <c r="AJW36" s="30"/>
      <c r="AJX36" s="30"/>
      <c r="AJY36" s="30"/>
      <c r="AJZ36" s="30"/>
      <c r="AKA36" s="30"/>
      <c r="AKB36" s="30"/>
      <c r="AKC36" s="30"/>
      <c r="AKD36" s="30"/>
      <c r="AKE36" s="30"/>
      <c r="AKF36" s="30"/>
      <c r="AKG36" s="30"/>
      <c r="AKH36" s="30"/>
      <c r="AKI36" s="30"/>
      <c r="AKJ36" s="30"/>
      <c r="AKK36" s="30"/>
      <c r="AKL36" s="30"/>
      <c r="AKM36" s="30"/>
      <c r="AKN36" s="30"/>
      <c r="AKO36" s="30"/>
      <c r="AKP36" s="30"/>
      <c r="AKQ36" s="30"/>
      <c r="AKR36" s="30"/>
      <c r="AKS36" s="30"/>
      <c r="AKT36" s="30"/>
      <c r="AKU36" s="30"/>
      <c r="AKV36" s="30"/>
      <c r="AKW36" s="30"/>
      <c r="AKX36" s="30"/>
      <c r="AKY36" s="30"/>
      <c r="AKZ36" s="30"/>
      <c r="ALA36" s="30"/>
      <c r="ALB36" s="30"/>
      <c r="ALC36" s="30"/>
      <c r="ALD36" s="30"/>
      <c r="ALE36" s="30"/>
      <c r="ALF36" s="30"/>
      <c r="ALG36" s="30"/>
      <c r="ALH36" s="30"/>
      <c r="ALI36" s="30"/>
      <c r="ALJ36" s="30"/>
      <c r="ALK36" s="30"/>
      <c r="ALL36" s="30"/>
      <c r="ALM36" s="30"/>
      <c r="ALN36" s="30"/>
      <c r="ALO36" s="30"/>
      <c r="ALP36" s="30"/>
      <c r="ALQ36" s="30"/>
      <c r="ALR36" s="30"/>
      <c r="ALS36" s="30"/>
      <c r="ALT36" s="30"/>
      <c r="ALU36" s="30"/>
      <c r="ALV36" s="30"/>
      <c r="ALW36" s="30"/>
      <c r="ALX36" s="30"/>
      <c r="ALY36" s="30"/>
      <c r="ALZ36" s="30"/>
      <c r="AMA36" s="30"/>
      <c r="AMB36" s="30"/>
      <c r="AMC36" s="30"/>
      <c r="AMD36" s="30"/>
      <c r="AME36" s="30"/>
      <c r="AMF36" s="30"/>
      <c r="AMG36" s="30"/>
      <c r="AMH36" s="30"/>
      <c r="AMI36" s="30"/>
      <c r="AMJ36" s="30"/>
      <c r="AMK36" s="30"/>
      <c r="AML36" s="30"/>
      <c r="AMM36" s="30"/>
      <c r="AMN36" s="30"/>
      <c r="AMO36" s="30"/>
      <c r="AMP36" s="30"/>
      <c r="AMQ36" s="30"/>
      <c r="AMR36" s="30"/>
      <c r="AMS36" s="30"/>
      <c r="AMT36" s="30"/>
      <c r="AMU36" s="30"/>
      <c r="AMV36" s="30"/>
      <c r="AMW36" s="30"/>
      <c r="AMX36" s="30"/>
      <c r="AMY36" s="30"/>
      <c r="AMZ36" s="30"/>
      <c r="ANA36" s="30"/>
      <c r="ANB36" s="30"/>
      <c r="ANC36" s="30"/>
      <c r="AND36" s="30"/>
      <c r="ANE36" s="30"/>
      <c r="ANF36" s="30"/>
      <c r="ANG36" s="30"/>
      <c r="ANH36" s="30"/>
      <c r="ANI36" s="30"/>
      <c r="ANJ36" s="30"/>
      <c r="ANK36" s="30"/>
      <c r="ANL36" s="30"/>
      <c r="ANM36" s="30"/>
      <c r="ANN36" s="30"/>
      <c r="ANO36" s="30"/>
      <c r="ANP36" s="30"/>
      <c r="ANQ36" s="30"/>
      <c r="ANR36" s="30"/>
      <c r="ANS36" s="30"/>
      <c r="ANT36" s="30"/>
      <c r="ANU36" s="30"/>
      <c r="ANV36" s="30"/>
      <c r="ANW36" s="30"/>
      <c r="ANX36" s="30"/>
      <c r="ANY36" s="30"/>
      <c r="ANZ36" s="30"/>
      <c r="AOA36" s="30"/>
      <c r="AOB36" s="30"/>
      <c r="AOC36" s="30"/>
      <c r="AOD36" s="30"/>
      <c r="AOE36" s="30"/>
      <c r="AOF36" s="30"/>
      <c r="AOG36" s="30"/>
      <c r="AOH36" s="30"/>
      <c r="AOI36" s="30"/>
      <c r="AOJ36" s="30"/>
      <c r="AOK36" s="30"/>
      <c r="AOL36" s="30"/>
      <c r="AOM36" s="30"/>
      <c r="AON36" s="30"/>
      <c r="AOO36" s="30"/>
      <c r="AOP36" s="30"/>
      <c r="AOQ36" s="30"/>
      <c r="AOR36" s="30"/>
      <c r="AOS36" s="30"/>
      <c r="AOT36" s="30"/>
      <c r="AOU36" s="30"/>
      <c r="AOV36" s="30"/>
      <c r="AOW36" s="30"/>
      <c r="AOX36" s="30"/>
      <c r="AOY36" s="30"/>
      <c r="AOZ36" s="30"/>
      <c r="APA36" s="30"/>
      <c r="APB36" s="30"/>
      <c r="APC36" s="30"/>
      <c r="APD36" s="30"/>
      <c r="APE36" s="30"/>
      <c r="APF36" s="30"/>
      <c r="APG36" s="30"/>
      <c r="APH36" s="30"/>
      <c r="API36" s="30"/>
      <c r="APJ36" s="30"/>
      <c r="APK36" s="30"/>
      <c r="APL36" s="30"/>
      <c r="APM36" s="30"/>
      <c r="APN36" s="30"/>
      <c r="APO36" s="30"/>
      <c r="APP36" s="30"/>
      <c r="APQ36" s="30"/>
      <c r="APR36" s="30"/>
      <c r="APS36" s="30"/>
      <c r="APT36" s="30"/>
      <c r="APU36" s="30"/>
      <c r="APV36" s="30"/>
      <c r="APW36" s="30"/>
      <c r="APX36" s="30"/>
      <c r="APY36" s="30"/>
      <c r="APZ36" s="30"/>
      <c r="AQA36" s="30"/>
      <c r="AQB36" s="30"/>
      <c r="AQC36" s="30"/>
      <c r="AQD36" s="30"/>
      <c r="AQE36" s="30"/>
      <c r="AQF36" s="30"/>
      <c r="AQG36" s="30"/>
      <c r="AQH36" s="30"/>
      <c r="AQI36" s="30"/>
      <c r="AQJ36" s="30"/>
      <c r="AQK36" s="30"/>
      <c r="AQL36" s="30"/>
      <c r="AQM36" s="30"/>
      <c r="AQN36" s="30"/>
      <c r="AQO36" s="30"/>
      <c r="AQP36" s="30"/>
      <c r="AQQ36" s="30"/>
      <c r="AQR36" s="30"/>
      <c r="AQS36" s="30"/>
      <c r="AQT36" s="30"/>
      <c r="AQU36" s="30"/>
      <c r="AQV36" s="30"/>
      <c r="AQW36" s="30"/>
      <c r="AQX36" s="30"/>
      <c r="AQY36" s="30"/>
      <c r="AQZ36" s="30"/>
      <c r="ARA36" s="30"/>
      <c r="ARB36" s="30"/>
      <c r="ARC36" s="30"/>
      <c r="ARD36" s="30"/>
      <c r="ARE36" s="30"/>
      <c r="ARF36" s="30"/>
      <c r="ARG36" s="30"/>
      <c r="ARH36" s="30"/>
      <c r="ARI36" s="30"/>
      <c r="ARJ36" s="30"/>
      <c r="ARK36" s="30"/>
      <c r="ARL36" s="30"/>
      <c r="ARM36" s="30"/>
      <c r="ARN36" s="30"/>
      <c r="ARO36" s="30"/>
      <c r="ARP36" s="30"/>
      <c r="ARQ36" s="30"/>
      <c r="ARR36" s="30"/>
      <c r="ARS36" s="30"/>
      <c r="ART36" s="30"/>
      <c r="ARU36" s="30"/>
      <c r="ARV36" s="30"/>
      <c r="ARW36" s="30"/>
      <c r="ARX36" s="30"/>
      <c r="ARY36" s="30"/>
      <c r="ARZ36" s="30"/>
      <c r="ASA36" s="30"/>
      <c r="ASB36" s="30"/>
      <c r="ASC36" s="30"/>
      <c r="ASD36" s="30"/>
      <c r="ASE36" s="30"/>
      <c r="ASF36" s="30"/>
      <c r="ASG36" s="30"/>
      <c r="ASH36" s="30"/>
      <c r="ASI36" s="30"/>
      <c r="ASJ36" s="30"/>
      <c r="ASK36" s="30"/>
      <c r="ASL36" s="30"/>
      <c r="ASM36" s="30"/>
      <c r="ASN36" s="30"/>
      <c r="ASO36" s="30"/>
      <c r="ASP36" s="30"/>
      <c r="ASQ36" s="30"/>
      <c r="ASR36" s="30"/>
      <c r="ASS36" s="30"/>
      <c r="AST36" s="30"/>
      <c r="ASU36" s="30"/>
      <c r="ASV36" s="30"/>
      <c r="ASW36" s="30"/>
      <c r="ASX36" s="30"/>
      <c r="ASY36" s="30"/>
      <c r="ASZ36" s="30"/>
      <c r="ATA36" s="30"/>
      <c r="ATB36" s="30"/>
      <c r="ATC36" s="30"/>
      <c r="ATD36" s="30"/>
      <c r="ATE36" s="30"/>
      <c r="ATF36" s="30"/>
      <c r="ATG36" s="30"/>
      <c r="ATH36" s="30"/>
      <c r="ATI36" s="30"/>
      <c r="ATJ36" s="30"/>
      <c r="ATK36" s="30"/>
      <c r="ATL36" s="30"/>
      <c r="ATM36" s="30"/>
      <c r="ATN36" s="30"/>
      <c r="ATO36" s="30"/>
      <c r="ATP36" s="30"/>
      <c r="ATQ36" s="30"/>
      <c r="ATR36" s="30"/>
      <c r="ATS36" s="30"/>
      <c r="ATT36" s="30"/>
      <c r="ATU36" s="30"/>
      <c r="ATV36" s="30"/>
      <c r="ATW36" s="30"/>
      <c r="ATX36" s="30"/>
      <c r="ATY36" s="30"/>
      <c r="ATZ36" s="30"/>
      <c r="AUA36" s="30"/>
      <c r="AUB36" s="30"/>
      <c r="AUC36" s="30"/>
      <c r="AUD36" s="30"/>
      <c r="AUE36" s="30"/>
      <c r="AUF36" s="30"/>
      <c r="AUG36" s="30"/>
      <c r="AUH36" s="30"/>
      <c r="AUI36" s="30"/>
      <c r="AUJ36" s="30"/>
      <c r="AUK36" s="30"/>
      <c r="AUL36" s="30"/>
      <c r="AUM36" s="30"/>
      <c r="AUN36" s="30"/>
      <c r="AUO36" s="30"/>
      <c r="AUP36" s="30"/>
      <c r="AUQ36" s="30"/>
      <c r="AUR36" s="30"/>
      <c r="AUS36" s="30"/>
      <c r="AUT36" s="30"/>
      <c r="AUU36" s="30"/>
      <c r="AUV36" s="30"/>
      <c r="AUW36" s="30"/>
      <c r="AUX36" s="30"/>
      <c r="AUY36" s="30"/>
      <c r="AUZ36" s="30"/>
      <c r="AVA36" s="30"/>
      <c r="AVB36" s="30"/>
      <c r="AVC36" s="30"/>
      <c r="AVD36" s="30"/>
      <c r="AVE36" s="30"/>
      <c r="AVF36" s="30"/>
      <c r="AVG36" s="30"/>
      <c r="AVH36" s="30"/>
      <c r="AVI36" s="30"/>
      <c r="AVJ36" s="30"/>
      <c r="AVK36" s="30"/>
      <c r="AVL36" s="30"/>
      <c r="AVM36" s="30"/>
      <c r="AVN36" s="30"/>
      <c r="AVO36" s="30"/>
      <c r="AVP36" s="30"/>
      <c r="AVQ36" s="30"/>
      <c r="AVR36" s="30"/>
      <c r="AVS36" s="30"/>
      <c r="AVT36" s="30"/>
      <c r="AVU36" s="30"/>
      <c r="AVV36" s="30"/>
      <c r="AVW36" s="30"/>
      <c r="AVX36" s="30"/>
      <c r="AVY36" s="30"/>
      <c r="AVZ36" s="30"/>
      <c r="AWA36" s="30"/>
      <c r="AWB36" s="30"/>
      <c r="AWC36" s="30"/>
      <c r="AWD36" s="30"/>
      <c r="AWE36" s="30"/>
      <c r="AWF36" s="30"/>
      <c r="AWG36" s="30"/>
      <c r="AWH36" s="30"/>
      <c r="AWI36" s="30"/>
      <c r="AWJ36" s="30"/>
      <c r="AWK36" s="30"/>
      <c r="AWL36" s="30"/>
      <c r="AWM36" s="30"/>
      <c r="AWN36" s="30"/>
      <c r="AWO36" s="30"/>
      <c r="AWP36" s="30"/>
      <c r="AWQ36" s="30"/>
      <c r="AWR36" s="30"/>
      <c r="AWS36" s="30"/>
      <c r="AWT36" s="30"/>
      <c r="AWU36" s="30"/>
      <c r="AWV36" s="30"/>
      <c r="AWW36" s="30"/>
      <c r="AWX36" s="30"/>
      <c r="AWY36" s="30"/>
      <c r="AWZ36" s="30"/>
      <c r="AXA36" s="30"/>
      <c r="AXB36" s="30"/>
      <c r="AXC36" s="30"/>
      <c r="AXD36" s="30"/>
      <c r="AXE36" s="30"/>
      <c r="AXF36" s="30"/>
      <c r="AXG36" s="30"/>
      <c r="AXH36" s="30"/>
      <c r="AXI36" s="30"/>
      <c r="AXJ36" s="30"/>
      <c r="AXK36" s="30"/>
      <c r="AXL36" s="30"/>
      <c r="AXM36" s="30"/>
      <c r="AXN36" s="30"/>
      <c r="AXO36" s="30"/>
      <c r="AXP36" s="30"/>
      <c r="AXQ36" s="30"/>
      <c r="AXR36" s="30"/>
      <c r="AXS36" s="30"/>
      <c r="AXT36" s="30"/>
      <c r="AXU36" s="30"/>
      <c r="AXV36" s="30"/>
      <c r="AXW36" s="30"/>
      <c r="AXX36" s="30"/>
      <c r="AXY36" s="30"/>
      <c r="AXZ36" s="30"/>
      <c r="AYA36" s="30"/>
      <c r="AYB36" s="30"/>
      <c r="AYC36" s="30"/>
      <c r="AYD36" s="30"/>
      <c r="AYE36" s="30"/>
      <c r="AYF36" s="30"/>
      <c r="AYG36" s="30"/>
      <c r="AYH36" s="30"/>
      <c r="AYI36" s="30"/>
      <c r="AYJ36" s="30"/>
      <c r="AYK36" s="30"/>
      <c r="AYL36" s="30"/>
      <c r="AYM36" s="30"/>
      <c r="AYN36" s="30"/>
      <c r="AYO36" s="30"/>
      <c r="AYP36" s="30"/>
      <c r="AYQ36" s="30"/>
      <c r="AYR36" s="30"/>
      <c r="AYS36" s="30"/>
      <c r="AYT36" s="30"/>
      <c r="AYU36" s="30"/>
      <c r="AYV36" s="30"/>
      <c r="AYW36" s="30"/>
      <c r="AYX36" s="30"/>
      <c r="AYY36" s="30"/>
      <c r="AYZ36" s="30"/>
      <c r="AZA36" s="30"/>
      <c r="AZB36" s="30"/>
      <c r="AZC36" s="30"/>
      <c r="AZD36" s="30"/>
      <c r="AZE36" s="30"/>
      <c r="AZF36" s="30"/>
      <c r="AZG36" s="30"/>
      <c r="AZH36" s="30"/>
      <c r="AZI36" s="30"/>
      <c r="AZJ36" s="30"/>
      <c r="AZK36" s="30"/>
      <c r="AZL36" s="30"/>
      <c r="AZM36" s="30"/>
      <c r="AZN36" s="30"/>
      <c r="AZO36" s="30"/>
      <c r="AZP36" s="30"/>
      <c r="AZQ36" s="30"/>
      <c r="AZR36" s="30"/>
      <c r="AZS36" s="30"/>
      <c r="AZT36" s="30"/>
      <c r="AZU36" s="30"/>
      <c r="AZV36" s="30"/>
      <c r="AZW36" s="30"/>
      <c r="AZX36" s="30"/>
      <c r="AZY36" s="30"/>
      <c r="AZZ36" s="30"/>
      <c r="BAA36" s="30"/>
      <c r="BAB36" s="30"/>
      <c r="BAC36" s="30"/>
      <c r="BAD36" s="30"/>
      <c r="BAE36" s="30"/>
      <c r="BAF36" s="30"/>
      <c r="BAG36" s="30"/>
      <c r="BAH36" s="30"/>
      <c r="BAI36" s="30"/>
      <c r="BAJ36" s="30"/>
      <c r="BAK36" s="30"/>
      <c r="BAL36" s="30"/>
      <c r="BAM36" s="30"/>
      <c r="BAN36" s="30"/>
      <c r="BAO36" s="30"/>
      <c r="BAP36" s="30"/>
      <c r="BAQ36" s="30"/>
      <c r="BAR36" s="30"/>
      <c r="BAS36" s="30"/>
      <c r="BAT36" s="30"/>
      <c r="BAU36" s="30"/>
      <c r="BAV36" s="30"/>
      <c r="BAW36" s="30"/>
      <c r="BAX36" s="30"/>
      <c r="BAY36" s="30"/>
      <c r="BAZ36" s="30"/>
      <c r="BBA36" s="30"/>
      <c r="BBB36" s="30"/>
      <c r="BBC36" s="30"/>
      <c r="BBD36" s="30"/>
      <c r="BBE36" s="30"/>
      <c r="BBF36" s="30"/>
      <c r="BBG36" s="30"/>
      <c r="BBH36" s="30"/>
      <c r="BBI36" s="30"/>
      <c r="BBJ36" s="30"/>
      <c r="BBK36" s="30"/>
      <c r="BBL36" s="30"/>
      <c r="BBM36" s="30"/>
      <c r="BBN36" s="30"/>
      <c r="BBO36" s="30"/>
      <c r="BBP36" s="30"/>
      <c r="BBQ36" s="30"/>
      <c r="BBR36" s="30"/>
      <c r="BBS36" s="30"/>
      <c r="BBT36" s="30"/>
      <c r="BBU36" s="30"/>
      <c r="BBV36" s="30"/>
      <c r="BBW36" s="30"/>
      <c r="BBX36" s="30"/>
      <c r="BBY36" s="30"/>
      <c r="BBZ36" s="30"/>
      <c r="BCA36" s="30"/>
      <c r="BCB36" s="30"/>
      <c r="BCC36" s="30"/>
      <c r="BCD36" s="30"/>
      <c r="BCE36" s="30"/>
      <c r="BCF36" s="30"/>
      <c r="BCG36" s="30"/>
      <c r="BCH36" s="30"/>
      <c r="BCI36" s="30"/>
      <c r="BCJ36" s="30"/>
      <c r="BCK36" s="30"/>
      <c r="BCL36" s="30"/>
      <c r="BCM36" s="30"/>
      <c r="BCN36" s="30"/>
      <c r="BCO36" s="30"/>
      <c r="BCP36" s="30"/>
      <c r="BCQ36" s="30"/>
      <c r="BCR36" s="30"/>
      <c r="BCS36" s="30"/>
      <c r="BCT36" s="30"/>
      <c r="BCU36" s="30"/>
      <c r="BCV36" s="30"/>
      <c r="BCW36" s="30"/>
      <c r="BCX36" s="30"/>
      <c r="BCY36" s="30"/>
      <c r="BCZ36" s="30"/>
      <c r="BDA36" s="30"/>
      <c r="BDB36" s="30"/>
      <c r="BDC36" s="30"/>
      <c r="BDD36" s="30"/>
      <c r="BDE36" s="30"/>
      <c r="BDF36" s="30"/>
      <c r="BDG36" s="30"/>
      <c r="BDH36" s="30"/>
      <c r="BDI36" s="30"/>
      <c r="BDJ36" s="30"/>
      <c r="BDK36" s="30"/>
      <c r="BDL36" s="30"/>
      <c r="BDM36" s="30"/>
      <c r="BDN36" s="30"/>
      <c r="BDO36" s="30"/>
      <c r="BDP36" s="30"/>
      <c r="BDQ36" s="30"/>
      <c r="BDR36" s="30"/>
      <c r="BDS36" s="30"/>
      <c r="BDT36" s="30"/>
      <c r="BDU36" s="30"/>
      <c r="BDV36" s="30"/>
      <c r="BDW36" s="30"/>
      <c r="BDX36" s="30"/>
      <c r="BDY36" s="30"/>
      <c r="BDZ36" s="30"/>
      <c r="BEA36" s="30"/>
      <c r="BEB36" s="30"/>
      <c r="BEC36" s="30"/>
      <c r="BED36" s="30"/>
      <c r="BEE36" s="30"/>
      <c r="BEF36" s="30"/>
      <c r="BEG36" s="30"/>
      <c r="BEH36" s="30"/>
      <c r="BEI36" s="30"/>
      <c r="BEJ36" s="30"/>
      <c r="BEK36" s="30"/>
      <c r="BEL36" s="30"/>
      <c r="BEM36" s="30"/>
      <c r="BEN36" s="30"/>
      <c r="BEO36" s="30"/>
      <c r="BEP36" s="30"/>
      <c r="BEQ36" s="30"/>
      <c r="BER36" s="30"/>
      <c r="BES36" s="30"/>
      <c r="BET36" s="30"/>
      <c r="BEU36" s="30"/>
      <c r="BEV36" s="30"/>
      <c r="BEW36" s="30"/>
      <c r="BEX36" s="30"/>
      <c r="BEY36" s="30"/>
      <c r="BEZ36" s="30"/>
      <c r="BFA36" s="30"/>
      <c r="BFB36" s="30"/>
      <c r="BFC36" s="30"/>
      <c r="BFD36" s="30"/>
      <c r="BFE36" s="30"/>
      <c r="BFF36" s="30"/>
      <c r="BFG36" s="30"/>
      <c r="BFH36" s="30"/>
      <c r="BFI36" s="30"/>
      <c r="BFJ36" s="30"/>
      <c r="BFK36" s="30"/>
      <c r="BFL36" s="30"/>
      <c r="BFM36" s="30"/>
      <c r="BFN36" s="30"/>
      <c r="BFO36" s="30"/>
      <c r="BFP36" s="30"/>
      <c r="BFQ36" s="30"/>
      <c r="BFR36" s="30"/>
      <c r="BFS36" s="30"/>
      <c r="BFT36" s="30"/>
      <c r="BFU36" s="30"/>
      <c r="BFV36" s="30"/>
      <c r="BFW36" s="30"/>
      <c r="BFX36" s="30"/>
      <c r="BFY36" s="30"/>
      <c r="BFZ36" s="30"/>
      <c r="BGA36" s="30"/>
      <c r="BGB36" s="30"/>
      <c r="BGC36" s="30"/>
      <c r="BGD36" s="30"/>
      <c r="BGE36" s="30"/>
      <c r="BGF36" s="30"/>
      <c r="BGG36" s="30"/>
      <c r="BGH36" s="30"/>
      <c r="BGI36" s="30"/>
      <c r="BGJ36" s="30"/>
      <c r="BGK36" s="30"/>
      <c r="BGL36" s="30"/>
      <c r="BGM36" s="30"/>
      <c r="BGN36" s="30"/>
      <c r="BGO36" s="30"/>
      <c r="BGP36" s="30"/>
      <c r="BGQ36" s="30"/>
      <c r="BGR36" s="30"/>
      <c r="BGS36" s="30"/>
      <c r="BGT36" s="30"/>
      <c r="BGU36" s="30"/>
      <c r="BGV36" s="30"/>
      <c r="BGW36" s="30"/>
      <c r="BGX36" s="30"/>
      <c r="BGY36" s="30"/>
      <c r="BGZ36" s="30"/>
      <c r="BHA36" s="30"/>
      <c r="BHB36" s="30"/>
      <c r="BHC36" s="30"/>
      <c r="BHD36" s="30"/>
      <c r="BHE36" s="30"/>
      <c r="BHF36" s="30"/>
      <c r="BHG36" s="30"/>
      <c r="BHH36" s="30"/>
      <c r="BHI36" s="30"/>
      <c r="BHJ36" s="30"/>
      <c r="BHK36" s="30"/>
      <c r="BHL36" s="30"/>
      <c r="BHM36" s="30"/>
      <c r="BHN36" s="30"/>
      <c r="BHO36" s="30"/>
      <c r="BHP36" s="30"/>
      <c r="BHQ36" s="30"/>
      <c r="BHR36" s="30"/>
      <c r="BHS36" s="30"/>
      <c r="BHT36" s="30"/>
      <c r="BHU36" s="30"/>
      <c r="BHV36" s="30"/>
      <c r="BHW36" s="30"/>
      <c r="BHX36" s="30"/>
      <c r="BHY36" s="30"/>
      <c r="BHZ36" s="30"/>
      <c r="BIA36" s="30"/>
      <c r="BIB36" s="30"/>
      <c r="BIC36" s="30"/>
      <c r="BID36" s="30"/>
      <c r="BIE36" s="30"/>
      <c r="BIF36" s="30"/>
      <c r="BIG36" s="30"/>
      <c r="BIH36" s="30"/>
      <c r="BII36" s="30"/>
      <c r="BIJ36" s="30"/>
      <c r="BIK36" s="30"/>
      <c r="BIL36" s="30"/>
      <c r="BIM36" s="30"/>
      <c r="BIN36" s="30"/>
      <c r="BIO36" s="30"/>
      <c r="BIP36" s="30"/>
      <c r="BIQ36" s="30"/>
      <c r="BIR36" s="30"/>
      <c r="BIS36" s="30"/>
      <c r="BIT36" s="30"/>
      <c r="BIU36" s="30"/>
      <c r="BIV36" s="30"/>
      <c r="BIW36" s="30"/>
      <c r="BIX36" s="30"/>
      <c r="BIY36" s="30"/>
      <c r="BIZ36" s="30"/>
      <c r="BJA36" s="30"/>
      <c r="BJB36" s="30"/>
      <c r="BJC36" s="30"/>
      <c r="BJD36" s="30"/>
      <c r="BJE36" s="30"/>
      <c r="BJF36" s="30"/>
      <c r="BJG36" s="30"/>
      <c r="BJH36" s="30"/>
      <c r="BJI36" s="30"/>
      <c r="BJJ36" s="30"/>
      <c r="BJK36" s="30"/>
      <c r="BJL36" s="30"/>
      <c r="BJM36" s="30"/>
      <c r="BJN36" s="30"/>
      <c r="BJO36" s="30"/>
      <c r="BJP36" s="30"/>
      <c r="BJQ36" s="30"/>
      <c r="BJR36" s="30"/>
      <c r="BJS36" s="30"/>
      <c r="BJT36" s="30"/>
      <c r="BJU36" s="30"/>
      <c r="BJV36" s="30"/>
      <c r="BJW36" s="30"/>
      <c r="BJX36" s="30"/>
      <c r="BJY36" s="30"/>
      <c r="BJZ36" s="30"/>
      <c r="BKA36" s="30"/>
      <c r="BKB36" s="30"/>
      <c r="BKC36" s="30"/>
      <c r="BKD36" s="30"/>
      <c r="BKE36" s="30"/>
      <c r="BKF36" s="30"/>
      <c r="BKG36" s="30"/>
      <c r="BKH36" s="30"/>
      <c r="BKI36" s="30"/>
      <c r="BKJ36" s="30"/>
      <c r="BKK36" s="30"/>
      <c r="BKL36" s="30"/>
      <c r="BKM36" s="30"/>
      <c r="BKN36" s="30"/>
      <c r="BKO36" s="30"/>
      <c r="BKP36" s="30"/>
      <c r="BKQ36" s="30"/>
      <c r="BKR36" s="30"/>
      <c r="BKS36" s="30"/>
      <c r="BKT36" s="30"/>
      <c r="BKU36" s="30"/>
      <c r="BKV36" s="30"/>
      <c r="BKW36" s="30"/>
      <c r="BKX36" s="30"/>
      <c r="BKY36" s="30"/>
      <c r="BKZ36" s="30"/>
      <c r="BLA36" s="30"/>
      <c r="BLB36" s="30"/>
      <c r="BLC36" s="30"/>
      <c r="BLD36" s="30"/>
      <c r="BLE36" s="30"/>
      <c r="BLF36" s="30"/>
      <c r="BLG36" s="30"/>
      <c r="BLH36" s="30"/>
      <c r="BLI36" s="30"/>
      <c r="BLJ36" s="30"/>
      <c r="BLK36" s="30"/>
      <c r="BLL36" s="30"/>
      <c r="BLM36" s="30"/>
      <c r="BLN36" s="30"/>
      <c r="BLO36" s="30"/>
      <c r="BLP36" s="30"/>
      <c r="BLQ36" s="30"/>
      <c r="BLR36" s="30"/>
      <c r="BLS36" s="30"/>
      <c r="BLT36" s="30"/>
      <c r="BLU36" s="30"/>
      <c r="BLV36" s="30"/>
      <c r="BLW36" s="30"/>
      <c r="BLX36" s="30"/>
      <c r="BLY36" s="30"/>
      <c r="BLZ36" s="30"/>
      <c r="BMA36" s="30"/>
      <c r="BMB36" s="30"/>
      <c r="BMC36" s="30"/>
      <c r="BMD36" s="30"/>
      <c r="BME36" s="30"/>
      <c r="BMF36" s="30"/>
      <c r="BMG36" s="30"/>
      <c r="BMH36" s="30"/>
      <c r="BMI36" s="30"/>
      <c r="BMJ36" s="30"/>
      <c r="BMK36" s="30"/>
      <c r="BML36" s="30"/>
      <c r="BMM36" s="30"/>
      <c r="BMN36" s="30"/>
      <c r="BMO36" s="30"/>
      <c r="BMP36" s="30"/>
      <c r="BMQ36" s="30"/>
      <c r="BMR36" s="30"/>
      <c r="BMS36" s="30"/>
      <c r="BMT36" s="30"/>
      <c r="BMU36" s="30"/>
      <c r="BMV36" s="30"/>
      <c r="BMW36" s="30"/>
      <c r="BMX36" s="30"/>
      <c r="BMY36" s="30"/>
      <c r="BMZ36" s="30"/>
      <c r="BNA36" s="30"/>
      <c r="BNB36" s="30"/>
      <c r="BNC36" s="30"/>
      <c r="BND36" s="30"/>
      <c r="BNE36" s="30"/>
      <c r="BNF36" s="30"/>
      <c r="BNG36" s="30"/>
      <c r="BNH36" s="30"/>
      <c r="BNI36" s="30"/>
      <c r="BNJ36" s="30"/>
      <c r="BNK36" s="30"/>
      <c r="BNL36" s="30"/>
      <c r="BNM36" s="30"/>
      <c r="BNN36" s="30"/>
      <c r="BNO36" s="30"/>
      <c r="BNP36" s="30"/>
      <c r="BNQ36" s="30"/>
      <c r="BNR36" s="30"/>
      <c r="BNS36" s="30"/>
      <c r="BNT36" s="30"/>
      <c r="BNU36" s="30"/>
      <c r="BNV36" s="30"/>
      <c r="BNW36" s="30"/>
      <c r="BNX36" s="30"/>
      <c r="BNY36" s="30"/>
      <c r="BNZ36" s="30"/>
      <c r="BOA36" s="30"/>
      <c r="BOB36" s="30"/>
      <c r="BOC36" s="30"/>
      <c r="BOD36" s="30"/>
      <c r="BOE36" s="30"/>
      <c r="BOF36" s="30"/>
      <c r="BOG36" s="30"/>
      <c r="BOH36" s="30"/>
      <c r="BOI36" s="30"/>
      <c r="BOJ36" s="30"/>
      <c r="BOK36" s="30"/>
      <c r="BOL36" s="30"/>
      <c r="BOM36" s="30"/>
      <c r="BON36" s="30"/>
      <c r="BOO36" s="30"/>
      <c r="BOP36" s="30"/>
      <c r="BOQ36" s="30"/>
      <c r="BOR36" s="30"/>
      <c r="BOS36" s="30"/>
      <c r="BOT36" s="30"/>
      <c r="BOU36" s="30"/>
      <c r="BOV36" s="30"/>
      <c r="BOW36" s="30"/>
      <c r="BOX36" s="30"/>
      <c r="BOY36" s="30"/>
      <c r="BOZ36" s="30"/>
      <c r="BPA36" s="30"/>
      <c r="BPB36" s="30"/>
      <c r="BPC36" s="30"/>
      <c r="BPD36" s="30"/>
      <c r="BPE36" s="30"/>
      <c r="BPF36" s="30"/>
      <c r="BPG36" s="30"/>
      <c r="BPH36" s="30"/>
      <c r="BPI36" s="30"/>
      <c r="BPJ36" s="30"/>
      <c r="BPK36" s="30"/>
      <c r="BPL36" s="30"/>
      <c r="BPM36" s="30"/>
      <c r="BPN36" s="30"/>
      <c r="BPO36" s="30"/>
      <c r="BPP36" s="30"/>
      <c r="BPQ36" s="30"/>
      <c r="BPR36" s="30"/>
      <c r="BPS36" s="30"/>
      <c r="BPT36" s="30"/>
      <c r="BPU36" s="30"/>
      <c r="BPV36" s="30"/>
      <c r="BPW36" s="30"/>
      <c r="BPX36" s="30"/>
      <c r="BPY36" s="30"/>
      <c r="BPZ36" s="30"/>
      <c r="BQA36" s="30"/>
      <c r="BQB36" s="30"/>
      <c r="BQC36" s="30"/>
      <c r="BQD36" s="30"/>
      <c r="BQE36" s="30"/>
      <c r="BQF36" s="30"/>
      <c r="BQG36" s="30"/>
      <c r="BQH36" s="30"/>
      <c r="BQI36" s="30"/>
      <c r="BQJ36" s="30"/>
      <c r="BQK36" s="30"/>
      <c r="BQL36" s="30"/>
      <c r="BQM36" s="30"/>
      <c r="BQN36" s="30"/>
      <c r="BQO36" s="30"/>
      <c r="BQP36" s="30"/>
      <c r="BQQ36" s="30"/>
      <c r="BQR36" s="30"/>
      <c r="BQS36" s="30"/>
      <c r="BQT36" s="30"/>
      <c r="BQU36" s="30"/>
      <c r="BQV36" s="30"/>
      <c r="BQW36" s="30"/>
      <c r="BQX36" s="30"/>
      <c r="BQY36" s="30"/>
      <c r="BQZ36" s="30"/>
      <c r="BRA36" s="30"/>
      <c r="BRB36" s="30"/>
      <c r="BRC36" s="30"/>
      <c r="BRD36" s="30"/>
      <c r="BRE36" s="30"/>
      <c r="BRF36" s="30"/>
      <c r="BRG36" s="30"/>
      <c r="BRH36" s="30"/>
      <c r="BRI36" s="30"/>
      <c r="BRJ36" s="30"/>
      <c r="BRK36" s="30"/>
      <c r="BRL36" s="30"/>
      <c r="BRM36" s="30"/>
      <c r="BRN36" s="30"/>
      <c r="BRO36" s="30"/>
      <c r="BRP36" s="30"/>
      <c r="BRQ36" s="30"/>
      <c r="BRR36" s="30"/>
      <c r="BRS36" s="30"/>
      <c r="BRT36" s="30"/>
      <c r="BRU36" s="30"/>
      <c r="BRV36" s="30"/>
      <c r="BRW36" s="30"/>
      <c r="BRX36" s="30"/>
      <c r="BRY36" s="30"/>
      <c r="BRZ36" s="30"/>
      <c r="BSA36" s="30"/>
      <c r="BSB36" s="30"/>
      <c r="BSC36" s="30"/>
      <c r="BSD36" s="30"/>
      <c r="BSE36" s="30"/>
      <c r="BSF36" s="30"/>
      <c r="BSG36" s="30"/>
      <c r="BSH36" s="30"/>
      <c r="BSI36" s="30"/>
      <c r="BSJ36" s="30"/>
      <c r="BSK36" s="30"/>
      <c r="BSL36" s="30"/>
      <c r="BSM36" s="30"/>
      <c r="BSN36" s="30"/>
      <c r="BSO36" s="30"/>
      <c r="BSP36" s="30"/>
      <c r="BSQ36" s="30"/>
      <c r="BSR36" s="30"/>
      <c r="BSS36" s="30"/>
      <c r="BST36" s="30"/>
      <c r="BSU36" s="30"/>
      <c r="BSV36" s="30"/>
      <c r="BSW36" s="30"/>
      <c r="BSX36" s="30"/>
      <c r="BSY36" s="30"/>
      <c r="BSZ36" s="30"/>
      <c r="BTA36" s="30"/>
      <c r="BTB36" s="30"/>
      <c r="BTC36" s="30"/>
      <c r="BTD36" s="30"/>
      <c r="BTE36" s="30"/>
      <c r="BTF36" s="30"/>
      <c r="BTG36" s="30"/>
      <c r="BTH36" s="30"/>
      <c r="BTI36" s="30"/>
      <c r="BTJ36" s="30"/>
      <c r="BTK36" s="30"/>
      <c r="BTL36" s="30"/>
      <c r="BTM36" s="30"/>
      <c r="BTN36" s="30"/>
      <c r="BTO36" s="30"/>
      <c r="BTP36" s="30"/>
      <c r="BTQ36" s="30"/>
      <c r="BTR36" s="30"/>
      <c r="BTS36" s="30"/>
      <c r="BTT36" s="30"/>
      <c r="BTU36" s="30"/>
      <c r="BTV36" s="30"/>
      <c r="BTW36" s="30"/>
      <c r="BTX36" s="30"/>
      <c r="BTY36" s="30"/>
      <c r="BTZ36" s="30"/>
      <c r="BUA36" s="30"/>
      <c r="BUB36" s="30"/>
      <c r="BUC36" s="30"/>
      <c r="BUD36" s="30"/>
      <c r="BUE36" s="30"/>
      <c r="BUF36" s="30"/>
      <c r="BUG36" s="30"/>
      <c r="BUH36" s="30"/>
      <c r="BUI36" s="30"/>
      <c r="BUJ36" s="30"/>
      <c r="BUK36" s="30"/>
      <c r="BUL36" s="30"/>
      <c r="BUM36" s="30"/>
      <c r="BUN36" s="30"/>
      <c r="BUO36" s="30"/>
      <c r="BUP36" s="30"/>
      <c r="BUQ36" s="30"/>
      <c r="BUR36" s="30"/>
      <c r="BUS36" s="30"/>
      <c r="BUT36" s="30"/>
      <c r="BUU36" s="30"/>
      <c r="BUV36" s="30"/>
      <c r="BUW36" s="30"/>
      <c r="BUX36" s="30"/>
      <c r="BUY36" s="30"/>
      <c r="BUZ36" s="30"/>
      <c r="BVA36" s="30"/>
      <c r="BVB36" s="30"/>
      <c r="BVC36" s="30"/>
      <c r="BVD36" s="30"/>
      <c r="BVE36" s="30"/>
      <c r="BVF36" s="30"/>
      <c r="BVG36" s="30"/>
      <c r="BVH36" s="30"/>
      <c r="BVI36" s="30"/>
      <c r="BVJ36" s="30"/>
      <c r="BVK36" s="30"/>
      <c r="BVL36" s="30"/>
      <c r="BVM36" s="30"/>
      <c r="BVN36" s="30"/>
      <c r="BVO36" s="30"/>
      <c r="BVP36" s="30"/>
      <c r="BVQ36" s="30"/>
      <c r="BVR36" s="30"/>
      <c r="BVS36" s="30"/>
      <c r="BVT36" s="30"/>
      <c r="BVU36" s="30"/>
      <c r="BVV36" s="30"/>
      <c r="BVW36" s="30"/>
      <c r="BVX36" s="30"/>
      <c r="BVY36" s="30"/>
      <c r="BVZ36" s="30"/>
      <c r="BWA36" s="30"/>
      <c r="BWB36" s="30"/>
      <c r="BWC36" s="30"/>
      <c r="BWD36" s="30"/>
      <c r="BWE36" s="30"/>
      <c r="BWF36" s="30"/>
      <c r="BWG36" s="30"/>
      <c r="BWH36" s="30"/>
      <c r="BWI36" s="30"/>
      <c r="BWJ36" s="30"/>
      <c r="BWK36" s="30"/>
      <c r="BWL36" s="30"/>
      <c r="BWM36" s="30"/>
      <c r="BWN36" s="30"/>
      <c r="BWO36" s="30"/>
      <c r="BWP36" s="30"/>
      <c r="BWQ36" s="30"/>
      <c r="BWR36" s="30"/>
      <c r="BWS36" s="30"/>
      <c r="BWT36" s="30"/>
      <c r="BWU36" s="30"/>
      <c r="BWV36" s="30"/>
      <c r="BWW36" s="30"/>
      <c r="BWX36" s="30"/>
      <c r="BWY36" s="30"/>
      <c r="BWZ36" s="30"/>
      <c r="BXA36" s="30"/>
      <c r="BXB36" s="30"/>
      <c r="BXC36" s="30"/>
      <c r="BXD36" s="30"/>
      <c r="BXE36" s="30"/>
      <c r="BXF36" s="30"/>
      <c r="BXG36" s="30"/>
      <c r="BXH36" s="30"/>
      <c r="BXI36" s="30"/>
      <c r="BXJ36" s="30"/>
      <c r="BXK36" s="30"/>
      <c r="BXL36" s="30"/>
      <c r="BXM36" s="30"/>
      <c r="BXN36" s="30"/>
      <c r="BXO36" s="30"/>
      <c r="BXP36" s="30"/>
      <c r="BXQ36" s="30"/>
      <c r="BXR36" s="30"/>
      <c r="BXS36" s="30"/>
      <c r="BXT36" s="30"/>
      <c r="BXU36" s="30"/>
      <c r="BXV36" s="30"/>
      <c r="BXW36" s="30"/>
      <c r="BXX36" s="30"/>
      <c r="BXY36" s="30"/>
      <c r="BXZ36" s="30"/>
      <c r="BYA36" s="30"/>
      <c r="BYB36" s="30"/>
      <c r="BYC36" s="30"/>
      <c r="BYD36" s="30"/>
      <c r="BYE36" s="30"/>
      <c r="BYF36" s="30"/>
      <c r="BYG36" s="30"/>
      <c r="BYH36" s="30"/>
      <c r="BYI36" s="30"/>
      <c r="BYJ36" s="30"/>
      <c r="BYK36" s="30"/>
      <c r="BYL36" s="30"/>
      <c r="BYM36" s="30"/>
      <c r="BYN36" s="30"/>
      <c r="BYO36" s="30"/>
      <c r="BYP36" s="30"/>
      <c r="BYQ36" s="30"/>
      <c r="BYR36" s="30"/>
      <c r="BYS36" s="30"/>
      <c r="BYT36" s="30"/>
      <c r="BYU36" s="30"/>
      <c r="BYV36" s="30"/>
      <c r="BYW36" s="30"/>
      <c r="BYX36" s="30"/>
      <c r="BYY36" s="30"/>
      <c r="BYZ36" s="30"/>
      <c r="BZA36" s="30"/>
      <c r="BZB36" s="30"/>
      <c r="BZC36" s="30"/>
      <c r="BZD36" s="30"/>
      <c r="BZE36" s="30"/>
      <c r="BZF36" s="30"/>
      <c r="BZG36" s="30"/>
      <c r="BZH36" s="30"/>
      <c r="BZI36" s="30"/>
      <c r="BZJ36" s="30"/>
      <c r="BZK36" s="30"/>
      <c r="BZL36" s="30"/>
      <c r="BZM36" s="30"/>
      <c r="BZN36" s="30"/>
      <c r="BZO36" s="30"/>
      <c r="BZP36" s="30"/>
      <c r="BZQ36" s="30"/>
      <c r="BZR36" s="30"/>
      <c r="BZS36" s="30"/>
      <c r="BZT36" s="30"/>
      <c r="BZU36" s="30"/>
      <c r="BZV36" s="30"/>
      <c r="BZW36" s="30"/>
      <c r="BZX36" s="30"/>
      <c r="BZY36" s="30"/>
      <c r="BZZ36" s="30"/>
      <c r="CAA36" s="30"/>
      <c r="CAB36" s="30"/>
      <c r="CAC36" s="30"/>
      <c r="CAD36" s="30"/>
      <c r="CAE36" s="30"/>
      <c r="CAF36" s="30"/>
      <c r="CAG36" s="30"/>
      <c r="CAH36" s="30"/>
      <c r="CAI36" s="30"/>
      <c r="CAJ36" s="30"/>
      <c r="CAK36" s="30"/>
      <c r="CAL36" s="30"/>
      <c r="CAM36" s="30"/>
      <c r="CAN36" s="30"/>
      <c r="CAO36" s="30"/>
      <c r="CAP36" s="30"/>
      <c r="CAQ36" s="30"/>
      <c r="CAR36" s="30"/>
      <c r="CAS36" s="30"/>
      <c r="CAT36" s="30"/>
      <c r="CAU36" s="30"/>
      <c r="CAV36" s="30"/>
      <c r="CAW36" s="30"/>
      <c r="CAX36" s="30"/>
      <c r="CAY36" s="30"/>
      <c r="CAZ36" s="30"/>
      <c r="CBA36" s="30"/>
      <c r="CBB36" s="30"/>
      <c r="CBC36" s="30"/>
      <c r="CBD36" s="30"/>
      <c r="CBE36" s="30"/>
      <c r="CBF36" s="30"/>
      <c r="CBG36" s="30"/>
      <c r="CBH36" s="30"/>
      <c r="CBI36" s="30"/>
      <c r="CBJ36" s="30"/>
      <c r="CBK36" s="30"/>
      <c r="CBL36" s="30"/>
      <c r="CBM36" s="30"/>
      <c r="CBN36" s="30"/>
      <c r="CBO36" s="30"/>
      <c r="CBP36" s="30"/>
      <c r="CBQ36" s="30"/>
      <c r="CBR36" s="30"/>
      <c r="CBS36" s="30"/>
      <c r="CBT36" s="30"/>
      <c r="CBU36" s="30"/>
      <c r="CBV36" s="30"/>
      <c r="CBW36" s="30"/>
      <c r="CBX36" s="30"/>
      <c r="CBY36" s="30"/>
      <c r="CBZ36" s="30"/>
      <c r="CCA36" s="30"/>
      <c r="CCB36" s="30"/>
      <c r="CCC36" s="30"/>
      <c r="CCD36" s="30"/>
      <c r="CCE36" s="30"/>
      <c r="CCF36" s="30"/>
      <c r="CCG36" s="30"/>
      <c r="CCH36" s="30"/>
      <c r="CCI36" s="30"/>
      <c r="CCJ36" s="30"/>
      <c r="CCK36" s="30"/>
      <c r="CCL36" s="30"/>
      <c r="CCM36" s="30"/>
      <c r="CCN36" s="30"/>
      <c r="CCO36" s="30"/>
      <c r="CCP36" s="30"/>
      <c r="CCQ36" s="30"/>
      <c r="CCR36" s="30"/>
      <c r="CCS36" s="30"/>
      <c r="CCT36" s="30"/>
      <c r="CCU36" s="30"/>
      <c r="CCV36" s="30"/>
      <c r="CCW36" s="30"/>
      <c r="CCX36" s="30"/>
      <c r="CCY36" s="30"/>
      <c r="CCZ36" s="30"/>
      <c r="CDA36" s="30"/>
      <c r="CDB36" s="30"/>
      <c r="CDC36" s="30"/>
      <c r="CDD36" s="30"/>
      <c r="CDE36" s="30"/>
      <c r="CDF36" s="30"/>
      <c r="CDG36" s="30"/>
      <c r="CDH36" s="30"/>
      <c r="CDI36" s="30"/>
      <c r="CDJ36" s="30"/>
      <c r="CDK36" s="30"/>
      <c r="CDL36" s="30"/>
      <c r="CDM36" s="30"/>
      <c r="CDN36" s="30"/>
      <c r="CDO36" s="30"/>
      <c r="CDP36" s="30"/>
      <c r="CDQ36" s="30"/>
      <c r="CDR36" s="30"/>
      <c r="CDS36" s="30"/>
      <c r="CDT36" s="30"/>
      <c r="CDU36" s="30"/>
      <c r="CDV36" s="30"/>
      <c r="CDW36" s="30"/>
      <c r="CDX36" s="30"/>
      <c r="CDY36" s="30"/>
      <c r="CDZ36" s="30"/>
      <c r="CEA36" s="30"/>
      <c r="CEB36" s="30"/>
      <c r="CEC36" s="30"/>
      <c r="CED36" s="30"/>
      <c r="CEE36" s="30"/>
      <c r="CEF36" s="30"/>
      <c r="CEG36" s="30"/>
      <c r="CEH36" s="30"/>
      <c r="CEI36" s="30"/>
      <c r="CEJ36" s="30"/>
      <c r="CEK36" s="30"/>
      <c r="CEL36" s="30"/>
      <c r="CEM36" s="30"/>
      <c r="CEN36" s="30"/>
      <c r="CEO36" s="30"/>
      <c r="CEP36" s="30"/>
      <c r="CEQ36" s="30"/>
      <c r="CER36" s="30"/>
      <c r="CES36" s="30"/>
      <c r="CET36" s="30"/>
      <c r="CEU36" s="30"/>
      <c r="CEV36" s="30"/>
      <c r="CEW36" s="30"/>
      <c r="CEX36" s="30"/>
      <c r="CEY36" s="30"/>
      <c r="CEZ36" s="30"/>
      <c r="CFA36" s="30"/>
      <c r="CFB36" s="30"/>
      <c r="CFC36" s="30"/>
      <c r="CFD36" s="30"/>
      <c r="CFE36" s="30"/>
      <c r="CFF36" s="30"/>
      <c r="CFG36" s="30"/>
      <c r="CFH36" s="30"/>
      <c r="CFI36" s="30"/>
      <c r="CFJ36" s="30"/>
      <c r="CFK36" s="30"/>
      <c r="CFL36" s="30"/>
      <c r="CFM36" s="30"/>
      <c r="CFN36" s="30"/>
      <c r="CFO36" s="30"/>
      <c r="CFP36" s="30"/>
      <c r="CFQ36" s="30"/>
      <c r="CFR36" s="30"/>
      <c r="CFS36" s="30"/>
      <c r="CFT36" s="30"/>
      <c r="CFU36" s="30"/>
      <c r="CFV36" s="30"/>
      <c r="CFW36" s="30"/>
      <c r="CFX36" s="30"/>
      <c r="CFY36" s="30"/>
      <c r="CFZ36" s="30"/>
      <c r="CGA36" s="30"/>
      <c r="CGB36" s="30"/>
      <c r="CGC36" s="30"/>
      <c r="CGD36" s="30"/>
      <c r="CGE36" s="30"/>
      <c r="CGF36" s="30"/>
      <c r="CGG36" s="30"/>
      <c r="CGH36" s="30"/>
      <c r="CGI36" s="30"/>
      <c r="CGJ36" s="30"/>
      <c r="CGK36" s="30"/>
      <c r="CGL36" s="30"/>
      <c r="CGM36" s="30"/>
      <c r="CGN36" s="30"/>
      <c r="CGO36" s="30"/>
      <c r="CGP36" s="30"/>
      <c r="CGQ36" s="30"/>
      <c r="CGR36" s="30"/>
      <c r="CGS36" s="30"/>
      <c r="CGT36" s="30"/>
      <c r="CGU36" s="30"/>
      <c r="CGV36" s="30"/>
      <c r="CGW36" s="30"/>
      <c r="CGX36" s="30"/>
      <c r="CGY36" s="30"/>
      <c r="CGZ36" s="30"/>
      <c r="CHA36" s="30"/>
      <c r="CHB36" s="30"/>
      <c r="CHC36" s="30"/>
      <c r="CHD36" s="30"/>
      <c r="CHE36" s="30"/>
      <c r="CHF36" s="30"/>
      <c r="CHG36" s="30"/>
      <c r="CHH36" s="30"/>
      <c r="CHI36" s="30"/>
      <c r="CHJ36" s="30"/>
      <c r="CHK36" s="30"/>
      <c r="CHL36" s="30"/>
      <c r="CHM36" s="30"/>
      <c r="CHN36" s="30"/>
      <c r="CHO36" s="30"/>
      <c r="CHP36" s="30"/>
      <c r="CHQ36" s="30"/>
      <c r="CHR36" s="30"/>
      <c r="CHS36" s="30"/>
      <c r="CHT36" s="30"/>
      <c r="CHU36" s="30"/>
      <c r="CHV36" s="30"/>
      <c r="CHW36" s="30"/>
      <c r="CHX36" s="30"/>
      <c r="CHY36" s="30"/>
      <c r="CHZ36" s="30"/>
      <c r="CIA36" s="30"/>
      <c r="CIB36" s="30"/>
      <c r="CIC36" s="30"/>
      <c r="CID36" s="30"/>
      <c r="CIE36" s="30"/>
      <c r="CIF36" s="30"/>
      <c r="CIG36" s="30"/>
      <c r="CIH36" s="30"/>
      <c r="CII36" s="30"/>
      <c r="CIJ36" s="30"/>
      <c r="CIK36" s="30"/>
      <c r="CIL36" s="30"/>
      <c r="CIM36" s="30"/>
      <c r="CIN36" s="30"/>
      <c r="CIO36" s="30"/>
      <c r="CIP36" s="30"/>
      <c r="CIQ36" s="30"/>
      <c r="CIR36" s="30"/>
      <c r="CIS36" s="30"/>
      <c r="CIT36" s="30"/>
      <c r="CIU36" s="30"/>
      <c r="CIV36" s="30"/>
      <c r="CIW36" s="30"/>
      <c r="CIX36" s="30"/>
      <c r="CIY36" s="30"/>
      <c r="CIZ36" s="30"/>
      <c r="CJA36" s="30"/>
      <c r="CJB36" s="30"/>
      <c r="CJC36" s="30"/>
      <c r="CJD36" s="30"/>
      <c r="CJE36" s="30"/>
      <c r="CJF36" s="30"/>
      <c r="CJG36" s="30"/>
      <c r="CJH36" s="30"/>
      <c r="CJI36" s="30"/>
      <c r="CJJ36" s="30"/>
      <c r="CJK36" s="30"/>
      <c r="CJL36" s="30"/>
      <c r="CJM36" s="30"/>
      <c r="CJN36" s="30"/>
      <c r="CJO36" s="30"/>
      <c r="CJP36" s="30"/>
      <c r="CJQ36" s="30"/>
      <c r="CJR36" s="30"/>
      <c r="CJS36" s="30"/>
      <c r="CJT36" s="30"/>
      <c r="CJU36" s="30"/>
      <c r="CJV36" s="30"/>
      <c r="CJW36" s="30"/>
      <c r="CJX36" s="30"/>
      <c r="CJY36" s="30"/>
      <c r="CJZ36" s="30"/>
      <c r="CKA36" s="30"/>
      <c r="CKB36" s="30"/>
      <c r="CKC36" s="30"/>
      <c r="CKD36" s="30"/>
      <c r="CKE36" s="30"/>
      <c r="CKF36" s="30"/>
      <c r="CKG36" s="30"/>
      <c r="CKH36" s="30"/>
      <c r="CKI36" s="30"/>
      <c r="CKJ36" s="30"/>
      <c r="CKK36" s="30"/>
      <c r="CKL36" s="30"/>
      <c r="CKM36" s="30"/>
      <c r="CKN36" s="30"/>
      <c r="CKO36" s="30"/>
      <c r="CKP36" s="30"/>
      <c r="CKQ36" s="30"/>
      <c r="CKR36" s="30"/>
      <c r="CKS36" s="30"/>
      <c r="CKT36" s="30"/>
      <c r="CKU36" s="30"/>
      <c r="CKV36" s="30"/>
      <c r="CKW36" s="30"/>
      <c r="CKX36" s="30"/>
      <c r="CKY36" s="30"/>
      <c r="CKZ36" s="30"/>
      <c r="CLA36" s="30"/>
      <c r="CLB36" s="30"/>
      <c r="CLC36" s="30"/>
      <c r="CLD36" s="30"/>
      <c r="CLE36" s="30"/>
      <c r="CLF36" s="30"/>
      <c r="CLG36" s="30"/>
      <c r="CLH36" s="30"/>
      <c r="CLI36" s="30"/>
      <c r="CLJ36" s="30"/>
      <c r="CLK36" s="30"/>
      <c r="CLL36" s="30"/>
      <c r="CLM36" s="30"/>
      <c r="CLN36" s="30"/>
      <c r="CLO36" s="30"/>
      <c r="CLP36" s="30"/>
      <c r="CLQ36" s="30"/>
      <c r="CLR36" s="30"/>
      <c r="CLS36" s="30"/>
      <c r="CLT36" s="30"/>
      <c r="CLU36" s="30"/>
      <c r="CLV36" s="30"/>
      <c r="CLW36" s="30"/>
      <c r="CLX36" s="30"/>
      <c r="CLY36" s="30"/>
      <c r="CLZ36" s="30"/>
      <c r="CMA36" s="30"/>
      <c r="CMB36" s="30"/>
      <c r="CMC36" s="30"/>
      <c r="CMD36" s="30"/>
      <c r="CME36" s="30"/>
      <c r="CMF36" s="30"/>
      <c r="CMG36" s="30"/>
      <c r="CMH36" s="30"/>
      <c r="CMI36" s="30"/>
      <c r="CMJ36" s="30"/>
      <c r="CMK36" s="30"/>
      <c r="CML36" s="30"/>
      <c r="CMM36" s="30"/>
      <c r="CMN36" s="30"/>
      <c r="CMO36" s="30"/>
      <c r="CMP36" s="30"/>
      <c r="CMQ36" s="30"/>
      <c r="CMR36" s="30"/>
      <c r="CMS36" s="30"/>
      <c r="CMT36" s="30"/>
      <c r="CMU36" s="30"/>
      <c r="CMV36" s="30"/>
      <c r="CMW36" s="30"/>
      <c r="CMX36" s="30"/>
      <c r="CMY36" s="30"/>
      <c r="CMZ36" s="30"/>
      <c r="CNA36" s="30"/>
      <c r="CNB36" s="30"/>
      <c r="CNC36" s="30"/>
      <c r="CND36" s="30"/>
      <c r="CNE36" s="30"/>
      <c r="CNF36" s="30"/>
      <c r="CNG36" s="30"/>
      <c r="CNH36" s="30"/>
      <c r="CNI36" s="30"/>
      <c r="CNJ36" s="30"/>
      <c r="CNK36" s="30"/>
      <c r="CNL36" s="30"/>
      <c r="CNM36" s="30"/>
      <c r="CNN36" s="30"/>
      <c r="CNO36" s="30"/>
      <c r="CNP36" s="30"/>
      <c r="CNQ36" s="30"/>
      <c r="CNR36" s="30"/>
      <c r="CNS36" s="30"/>
      <c r="CNT36" s="30"/>
      <c r="CNU36" s="30"/>
      <c r="CNV36" s="30"/>
      <c r="CNW36" s="30"/>
      <c r="CNX36" s="30"/>
      <c r="CNY36" s="30"/>
      <c r="CNZ36" s="30"/>
      <c r="COA36" s="30"/>
      <c r="COB36" s="30"/>
      <c r="COC36" s="30"/>
      <c r="COD36" s="30"/>
      <c r="COE36" s="30"/>
      <c r="COF36" s="30"/>
      <c r="COG36" s="30"/>
      <c r="COH36" s="30"/>
      <c r="COI36" s="30"/>
      <c r="COJ36" s="30"/>
      <c r="COK36" s="30"/>
      <c r="COL36" s="30"/>
      <c r="COM36" s="30"/>
      <c r="CON36" s="30"/>
      <c r="COO36" s="30"/>
      <c r="COP36" s="30"/>
      <c r="COQ36" s="30"/>
      <c r="COR36" s="30"/>
      <c r="COS36" s="30"/>
      <c r="COT36" s="30"/>
      <c r="COU36" s="30"/>
      <c r="COV36" s="30"/>
      <c r="COW36" s="30"/>
      <c r="COX36" s="30"/>
      <c r="COY36" s="30"/>
      <c r="COZ36" s="30"/>
      <c r="CPA36" s="30"/>
      <c r="CPB36" s="30"/>
      <c r="CPC36" s="30"/>
      <c r="CPD36" s="30"/>
      <c r="CPE36" s="30"/>
      <c r="CPF36" s="30"/>
      <c r="CPG36" s="30"/>
      <c r="CPH36" s="30"/>
      <c r="CPI36" s="30"/>
      <c r="CPJ36" s="30"/>
      <c r="CPK36" s="30"/>
      <c r="CPL36" s="30"/>
      <c r="CPM36" s="30"/>
      <c r="CPN36" s="30"/>
      <c r="CPO36" s="30"/>
      <c r="CPP36" s="30"/>
      <c r="CPQ36" s="30"/>
      <c r="CPR36" s="30"/>
      <c r="CPS36" s="30"/>
      <c r="CPT36" s="30"/>
      <c r="CPU36" s="30"/>
      <c r="CPV36" s="30"/>
      <c r="CPW36" s="30"/>
      <c r="CPX36" s="30"/>
      <c r="CPY36" s="30"/>
      <c r="CPZ36" s="30"/>
      <c r="CQA36" s="30"/>
      <c r="CQB36" s="30"/>
      <c r="CQC36" s="30"/>
      <c r="CQD36" s="30"/>
      <c r="CQE36" s="30"/>
      <c r="CQF36" s="30"/>
      <c r="CQG36" s="30"/>
      <c r="CQH36" s="30"/>
      <c r="CQI36" s="30"/>
      <c r="CQJ36" s="30"/>
      <c r="CQK36" s="30"/>
      <c r="CQL36" s="30"/>
      <c r="CQM36" s="30"/>
      <c r="CQN36" s="30"/>
      <c r="CQO36" s="30"/>
      <c r="CQP36" s="30"/>
      <c r="CQQ36" s="30"/>
      <c r="CQR36" s="30"/>
      <c r="CQS36" s="30"/>
      <c r="CQT36" s="30"/>
      <c r="CQU36" s="30"/>
      <c r="CQV36" s="30"/>
      <c r="CQW36" s="30"/>
      <c r="CQX36" s="30"/>
      <c r="CQY36" s="30"/>
      <c r="CQZ36" s="30"/>
      <c r="CRA36" s="30"/>
      <c r="CRB36" s="30"/>
      <c r="CRC36" s="30"/>
      <c r="CRD36" s="30"/>
      <c r="CRE36" s="30"/>
      <c r="CRF36" s="30"/>
      <c r="CRG36" s="30"/>
      <c r="CRH36" s="30"/>
      <c r="CRI36" s="30"/>
      <c r="CRJ36" s="30"/>
      <c r="CRK36" s="30"/>
      <c r="CRL36" s="30"/>
      <c r="CRM36" s="30"/>
      <c r="CRN36" s="30"/>
      <c r="CRO36" s="30"/>
      <c r="CRP36" s="30"/>
      <c r="CRQ36" s="30"/>
      <c r="CRR36" s="30"/>
      <c r="CRS36" s="30"/>
      <c r="CRT36" s="30"/>
      <c r="CRU36" s="30"/>
      <c r="CRV36" s="30"/>
      <c r="CRW36" s="30"/>
      <c r="CRX36" s="30"/>
      <c r="CRY36" s="30"/>
      <c r="CRZ36" s="30"/>
      <c r="CSA36" s="30"/>
      <c r="CSB36" s="30"/>
      <c r="CSC36" s="30"/>
      <c r="CSD36" s="30"/>
      <c r="CSE36" s="30"/>
      <c r="CSF36" s="30"/>
      <c r="CSG36" s="30"/>
      <c r="CSH36" s="30"/>
      <c r="CSI36" s="30"/>
      <c r="CSJ36" s="30"/>
      <c r="CSK36" s="30"/>
      <c r="CSL36" s="30"/>
      <c r="CSM36" s="30"/>
      <c r="CSN36" s="30"/>
      <c r="CSO36" s="30"/>
      <c r="CSP36" s="30"/>
      <c r="CSQ36" s="30"/>
      <c r="CSR36" s="30"/>
      <c r="CSS36" s="30"/>
      <c r="CST36" s="30"/>
      <c r="CSU36" s="30"/>
      <c r="CSV36" s="30"/>
      <c r="CSW36" s="30"/>
      <c r="CSX36" s="30"/>
      <c r="CSY36" s="30"/>
      <c r="CSZ36" s="30"/>
      <c r="CTA36" s="30"/>
      <c r="CTB36" s="30"/>
      <c r="CTC36" s="30"/>
      <c r="CTD36" s="30"/>
      <c r="CTE36" s="30"/>
      <c r="CTF36" s="30"/>
      <c r="CTG36" s="30"/>
      <c r="CTH36" s="30"/>
      <c r="CTI36" s="30"/>
      <c r="CTJ36" s="30"/>
      <c r="CTK36" s="30"/>
      <c r="CTL36" s="30"/>
      <c r="CTM36" s="30"/>
      <c r="CTN36" s="30"/>
      <c r="CTO36" s="30"/>
      <c r="CTP36" s="30"/>
      <c r="CTQ36" s="30"/>
      <c r="CTR36" s="30"/>
      <c r="CTS36" s="30"/>
      <c r="CTT36" s="30"/>
      <c r="CTU36" s="30"/>
      <c r="CTV36" s="30"/>
      <c r="CTW36" s="30"/>
      <c r="CTX36" s="30"/>
      <c r="CTY36" s="30"/>
      <c r="CTZ36" s="30"/>
      <c r="CUA36" s="30"/>
    </row>
    <row r="37" s="27" customFormat="1" ht="20" customHeight="1" spans="1:2575">
      <c r="A37" s="268">
        <v>46</v>
      </c>
      <c r="B37" s="268" t="s">
        <v>14</v>
      </c>
      <c r="C37" s="268" t="s">
        <v>37</v>
      </c>
      <c r="D37" s="82" t="s">
        <v>262</v>
      </c>
      <c r="E37" s="118" t="s">
        <v>765</v>
      </c>
      <c r="F37" s="31" t="s">
        <v>766</v>
      </c>
      <c r="G37" s="210" t="s">
        <v>767</v>
      </c>
      <c r="H37" s="32">
        <v>11112371</v>
      </c>
      <c r="I37" s="32">
        <v>2012.08</v>
      </c>
      <c r="J37" s="31" t="s">
        <v>42</v>
      </c>
      <c r="K37" s="31" t="s">
        <v>42</v>
      </c>
      <c r="L37" s="31" t="s">
        <v>667</v>
      </c>
      <c r="M37" s="29" t="s">
        <v>674</v>
      </c>
      <c r="N37" s="94">
        <v>45574</v>
      </c>
      <c r="O37" s="94">
        <v>45938</v>
      </c>
      <c r="P37" s="29">
        <v>250</v>
      </c>
      <c r="Q37" s="85"/>
      <c r="R37" s="251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  <c r="SG37" s="30"/>
      <c r="SH37" s="30"/>
      <c r="SI37" s="30"/>
      <c r="SJ37" s="30"/>
      <c r="SK37" s="30"/>
      <c r="SL37" s="30"/>
      <c r="SM37" s="30"/>
      <c r="SN37" s="30"/>
      <c r="SO37" s="30"/>
      <c r="SP37" s="30"/>
      <c r="SQ37" s="30"/>
      <c r="SR37" s="30"/>
      <c r="SS37" s="30"/>
      <c r="ST37" s="30"/>
      <c r="SU37" s="30"/>
      <c r="SV37" s="30"/>
      <c r="SW37" s="30"/>
      <c r="SX37" s="30"/>
      <c r="SY37" s="30"/>
      <c r="SZ37" s="30"/>
      <c r="TA37" s="30"/>
      <c r="TB37" s="30"/>
      <c r="TC37" s="30"/>
      <c r="TD37" s="30"/>
      <c r="TE37" s="30"/>
      <c r="TF37" s="30"/>
      <c r="TG37" s="30"/>
      <c r="TH37" s="30"/>
      <c r="TI37" s="30"/>
      <c r="TJ37" s="30"/>
      <c r="TK37" s="30"/>
      <c r="TL37" s="30"/>
      <c r="TM37" s="30"/>
      <c r="TN37" s="30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30"/>
      <c r="UT37" s="30"/>
      <c r="UU37" s="30"/>
      <c r="UV37" s="30"/>
      <c r="UW37" s="30"/>
      <c r="UX37" s="30"/>
      <c r="UY37" s="30"/>
      <c r="UZ37" s="30"/>
      <c r="VA37" s="30"/>
      <c r="VB37" s="30"/>
      <c r="VC37" s="30"/>
      <c r="VD37" s="30"/>
      <c r="VE37" s="30"/>
      <c r="VF37" s="30"/>
      <c r="VG37" s="30"/>
      <c r="VH37" s="30"/>
      <c r="VI37" s="30"/>
      <c r="VJ37" s="30"/>
      <c r="VK37" s="30"/>
      <c r="VL37" s="30"/>
      <c r="VM37" s="30"/>
      <c r="VN37" s="30"/>
      <c r="VO37" s="30"/>
      <c r="VP37" s="30"/>
      <c r="VQ37" s="30"/>
      <c r="VR37" s="30"/>
      <c r="VS37" s="30"/>
      <c r="VT37" s="30"/>
      <c r="VU37" s="30"/>
      <c r="VV37" s="30"/>
      <c r="VW37" s="30"/>
      <c r="VX37" s="30"/>
      <c r="VY37" s="30"/>
      <c r="VZ37" s="30"/>
      <c r="WA37" s="30"/>
      <c r="WB37" s="30"/>
      <c r="WC37" s="30"/>
      <c r="WD37" s="30"/>
      <c r="WE37" s="30"/>
      <c r="WF37" s="30"/>
      <c r="WG37" s="30"/>
      <c r="WH37" s="30"/>
      <c r="WI37" s="30"/>
      <c r="WJ37" s="30"/>
      <c r="WK37" s="30"/>
      <c r="WL37" s="30"/>
      <c r="WM37" s="30"/>
      <c r="WN37" s="30"/>
      <c r="WO37" s="30"/>
      <c r="WP37" s="30"/>
      <c r="WQ37" s="30"/>
      <c r="WR37" s="30"/>
      <c r="WS37" s="30"/>
      <c r="WT37" s="30"/>
      <c r="WU37" s="30"/>
      <c r="WV37" s="30"/>
      <c r="WW37" s="30"/>
      <c r="WX37" s="30"/>
      <c r="WY37" s="30"/>
      <c r="WZ37" s="30"/>
      <c r="XA37" s="30"/>
      <c r="XB37" s="30"/>
      <c r="XC37" s="30"/>
      <c r="XD37" s="30"/>
      <c r="XE37" s="30"/>
      <c r="XF37" s="30"/>
      <c r="XG37" s="30"/>
      <c r="XH37" s="30"/>
      <c r="XI37" s="30"/>
      <c r="XJ37" s="30"/>
      <c r="XK37" s="30"/>
      <c r="XL37" s="30"/>
      <c r="XM37" s="30"/>
      <c r="XN37" s="30"/>
      <c r="XO37" s="30"/>
      <c r="XP37" s="30"/>
      <c r="XQ37" s="30"/>
      <c r="XR37" s="30"/>
      <c r="XS37" s="30"/>
      <c r="XT37" s="30"/>
      <c r="XU37" s="30"/>
      <c r="XV37" s="30"/>
      <c r="XW37" s="30"/>
      <c r="XX37" s="30"/>
      <c r="XY37" s="30"/>
      <c r="XZ37" s="30"/>
      <c r="YA37" s="30"/>
      <c r="YB37" s="30"/>
      <c r="YC37" s="30"/>
      <c r="YD37" s="30"/>
      <c r="YE37" s="30"/>
      <c r="YF37" s="30"/>
      <c r="YG37" s="30"/>
      <c r="YH37" s="30"/>
      <c r="YI37" s="30"/>
      <c r="YJ37" s="30"/>
      <c r="YK37" s="30"/>
      <c r="YL37" s="30"/>
      <c r="YM37" s="30"/>
      <c r="YN37" s="30"/>
      <c r="YO37" s="30"/>
      <c r="YP37" s="30"/>
      <c r="YQ37" s="30"/>
      <c r="YR37" s="30"/>
      <c r="YS37" s="30"/>
      <c r="YT37" s="30"/>
      <c r="YU37" s="30"/>
      <c r="YV37" s="30"/>
      <c r="YW37" s="30"/>
      <c r="YX37" s="30"/>
      <c r="YY37" s="30"/>
      <c r="YZ37" s="30"/>
      <c r="ZA37" s="30"/>
      <c r="ZB37" s="30"/>
      <c r="ZC37" s="30"/>
      <c r="ZD37" s="30"/>
      <c r="ZE37" s="30"/>
      <c r="ZF37" s="30"/>
      <c r="ZG37" s="30"/>
      <c r="ZH37" s="30"/>
      <c r="ZI37" s="30"/>
      <c r="ZJ37" s="30"/>
      <c r="ZK37" s="30"/>
      <c r="ZL37" s="30"/>
      <c r="ZM37" s="30"/>
      <c r="ZN37" s="30"/>
      <c r="ZO37" s="30"/>
      <c r="ZP37" s="30"/>
      <c r="ZQ37" s="30"/>
      <c r="ZR37" s="30"/>
      <c r="ZS37" s="30"/>
      <c r="ZT37" s="30"/>
      <c r="ZU37" s="30"/>
      <c r="ZV37" s="30"/>
      <c r="ZW37" s="30"/>
      <c r="ZX37" s="30"/>
      <c r="ZY37" s="30"/>
      <c r="ZZ37" s="30"/>
      <c r="AAA37" s="30"/>
      <c r="AAB37" s="30"/>
      <c r="AAC37" s="30"/>
      <c r="AAD37" s="30"/>
      <c r="AAE37" s="30"/>
      <c r="AAF37" s="30"/>
      <c r="AAG37" s="30"/>
      <c r="AAH37" s="30"/>
      <c r="AAI37" s="30"/>
      <c r="AAJ37" s="30"/>
      <c r="AAK37" s="30"/>
      <c r="AAL37" s="30"/>
      <c r="AAM37" s="30"/>
      <c r="AAN37" s="30"/>
      <c r="AAO37" s="30"/>
      <c r="AAP37" s="30"/>
      <c r="AAQ37" s="30"/>
      <c r="AAR37" s="30"/>
      <c r="AAS37" s="30"/>
      <c r="AAT37" s="30"/>
      <c r="AAU37" s="30"/>
      <c r="AAV37" s="30"/>
      <c r="AAW37" s="30"/>
      <c r="AAX37" s="30"/>
      <c r="AAY37" s="30"/>
      <c r="AAZ37" s="30"/>
      <c r="ABA37" s="30"/>
      <c r="ABB37" s="30"/>
      <c r="ABC37" s="30"/>
      <c r="ABD37" s="30"/>
      <c r="ABE37" s="30"/>
      <c r="ABF37" s="30"/>
      <c r="ABG37" s="30"/>
      <c r="ABH37" s="30"/>
      <c r="ABI37" s="30"/>
      <c r="ABJ37" s="30"/>
      <c r="ABK37" s="30"/>
      <c r="ABL37" s="30"/>
      <c r="ABM37" s="30"/>
      <c r="ABN37" s="30"/>
      <c r="ABO37" s="30"/>
      <c r="ABP37" s="30"/>
      <c r="ABQ37" s="30"/>
      <c r="ABR37" s="30"/>
      <c r="ABS37" s="30"/>
      <c r="ABT37" s="30"/>
      <c r="ABU37" s="30"/>
      <c r="ABV37" s="30"/>
      <c r="ABW37" s="30"/>
      <c r="ABX37" s="30"/>
      <c r="ABY37" s="30"/>
      <c r="ABZ37" s="30"/>
      <c r="ACA37" s="30"/>
      <c r="ACB37" s="30"/>
      <c r="ACC37" s="30"/>
      <c r="ACD37" s="30"/>
      <c r="ACE37" s="30"/>
      <c r="ACF37" s="30"/>
      <c r="ACG37" s="30"/>
      <c r="ACH37" s="30"/>
      <c r="ACI37" s="30"/>
      <c r="ACJ37" s="30"/>
      <c r="ACK37" s="30"/>
      <c r="ACL37" s="30"/>
      <c r="ACM37" s="30"/>
      <c r="ACN37" s="30"/>
      <c r="ACO37" s="30"/>
      <c r="ACP37" s="30"/>
      <c r="ACQ37" s="30"/>
      <c r="ACR37" s="30"/>
      <c r="ACS37" s="30"/>
      <c r="ACT37" s="30"/>
      <c r="ACU37" s="30"/>
      <c r="ACV37" s="30"/>
      <c r="ACW37" s="30"/>
      <c r="ACX37" s="30"/>
      <c r="ACY37" s="30"/>
      <c r="ACZ37" s="30"/>
      <c r="ADA37" s="30"/>
      <c r="ADB37" s="30"/>
      <c r="ADC37" s="30"/>
      <c r="ADD37" s="30"/>
      <c r="ADE37" s="30"/>
      <c r="ADF37" s="30"/>
      <c r="ADG37" s="30"/>
      <c r="ADH37" s="30"/>
      <c r="ADI37" s="30"/>
      <c r="ADJ37" s="30"/>
      <c r="ADK37" s="30"/>
      <c r="ADL37" s="30"/>
      <c r="ADM37" s="30"/>
      <c r="ADN37" s="30"/>
      <c r="ADO37" s="30"/>
      <c r="ADP37" s="30"/>
      <c r="ADQ37" s="30"/>
      <c r="ADR37" s="30"/>
      <c r="ADS37" s="30"/>
      <c r="ADT37" s="30"/>
      <c r="ADU37" s="30"/>
      <c r="ADV37" s="30"/>
      <c r="ADW37" s="30"/>
      <c r="ADX37" s="30"/>
      <c r="ADY37" s="30"/>
      <c r="ADZ37" s="30"/>
      <c r="AEA37" s="30"/>
      <c r="AEB37" s="30"/>
      <c r="AEC37" s="30"/>
      <c r="AED37" s="30"/>
      <c r="AEE37" s="30"/>
      <c r="AEF37" s="30"/>
      <c r="AEG37" s="30"/>
      <c r="AEH37" s="30"/>
      <c r="AEI37" s="30"/>
      <c r="AEJ37" s="30"/>
      <c r="AEK37" s="30"/>
      <c r="AEL37" s="30"/>
      <c r="AEM37" s="30"/>
      <c r="AEN37" s="30"/>
      <c r="AEO37" s="30"/>
      <c r="AEP37" s="30"/>
      <c r="AEQ37" s="30"/>
      <c r="AER37" s="30"/>
      <c r="AES37" s="30"/>
      <c r="AET37" s="30"/>
      <c r="AEU37" s="30"/>
      <c r="AEV37" s="30"/>
      <c r="AEW37" s="30"/>
      <c r="AEX37" s="30"/>
      <c r="AEY37" s="30"/>
      <c r="AEZ37" s="30"/>
      <c r="AFA37" s="30"/>
      <c r="AFB37" s="30"/>
      <c r="AFC37" s="30"/>
      <c r="AFD37" s="30"/>
      <c r="AFE37" s="30"/>
      <c r="AFF37" s="30"/>
      <c r="AFG37" s="30"/>
      <c r="AFH37" s="30"/>
      <c r="AFI37" s="30"/>
      <c r="AFJ37" s="30"/>
      <c r="AFK37" s="30"/>
      <c r="AFL37" s="30"/>
      <c r="AFM37" s="30"/>
      <c r="AFN37" s="30"/>
      <c r="AFO37" s="30"/>
      <c r="AFP37" s="30"/>
      <c r="AFQ37" s="30"/>
      <c r="AFR37" s="30"/>
      <c r="AFS37" s="30"/>
      <c r="AFT37" s="30"/>
      <c r="AFU37" s="30"/>
      <c r="AFV37" s="30"/>
      <c r="AFW37" s="30"/>
      <c r="AFX37" s="30"/>
      <c r="AFY37" s="30"/>
      <c r="AFZ37" s="30"/>
      <c r="AGA37" s="30"/>
      <c r="AGB37" s="30"/>
      <c r="AGC37" s="30"/>
      <c r="AGD37" s="30"/>
      <c r="AGE37" s="30"/>
      <c r="AGF37" s="30"/>
      <c r="AGG37" s="30"/>
      <c r="AGH37" s="30"/>
      <c r="AGI37" s="30"/>
      <c r="AGJ37" s="30"/>
      <c r="AGK37" s="30"/>
      <c r="AGL37" s="30"/>
      <c r="AGM37" s="30"/>
      <c r="AGN37" s="30"/>
      <c r="AGO37" s="30"/>
      <c r="AGP37" s="30"/>
      <c r="AGQ37" s="30"/>
      <c r="AGR37" s="30"/>
      <c r="AGS37" s="30"/>
      <c r="AGT37" s="30"/>
      <c r="AGU37" s="30"/>
      <c r="AGV37" s="30"/>
      <c r="AGW37" s="30"/>
      <c r="AGX37" s="30"/>
      <c r="AGY37" s="30"/>
      <c r="AGZ37" s="30"/>
      <c r="AHA37" s="30"/>
      <c r="AHB37" s="30"/>
      <c r="AHC37" s="30"/>
      <c r="AHD37" s="30"/>
      <c r="AHE37" s="30"/>
      <c r="AHF37" s="30"/>
      <c r="AHG37" s="30"/>
      <c r="AHH37" s="30"/>
      <c r="AHI37" s="30"/>
      <c r="AHJ37" s="30"/>
      <c r="AHK37" s="30"/>
      <c r="AHL37" s="30"/>
      <c r="AHM37" s="30"/>
      <c r="AHN37" s="30"/>
      <c r="AHO37" s="30"/>
      <c r="AHP37" s="30"/>
      <c r="AHQ37" s="30"/>
      <c r="AHR37" s="30"/>
      <c r="AHS37" s="30"/>
      <c r="AHT37" s="30"/>
      <c r="AHU37" s="30"/>
      <c r="AHV37" s="30"/>
      <c r="AHW37" s="30"/>
      <c r="AHX37" s="30"/>
      <c r="AHY37" s="30"/>
      <c r="AHZ37" s="30"/>
      <c r="AIA37" s="30"/>
      <c r="AIB37" s="30"/>
      <c r="AIC37" s="30"/>
      <c r="AID37" s="30"/>
      <c r="AIE37" s="30"/>
      <c r="AIF37" s="30"/>
      <c r="AIG37" s="30"/>
      <c r="AIH37" s="30"/>
      <c r="AII37" s="30"/>
      <c r="AIJ37" s="30"/>
      <c r="AIK37" s="30"/>
      <c r="AIL37" s="30"/>
      <c r="AIM37" s="30"/>
      <c r="AIN37" s="30"/>
      <c r="AIO37" s="30"/>
      <c r="AIP37" s="30"/>
      <c r="AIQ37" s="30"/>
      <c r="AIR37" s="30"/>
      <c r="AIS37" s="30"/>
      <c r="AIT37" s="30"/>
      <c r="AIU37" s="30"/>
      <c r="AIV37" s="30"/>
      <c r="AIW37" s="30"/>
      <c r="AIX37" s="30"/>
      <c r="AIY37" s="30"/>
      <c r="AIZ37" s="30"/>
      <c r="AJA37" s="30"/>
      <c r="AJB37" s="30"/>
      <c r="AJC37" s="30"/>
      <c r="AJD37" s="30"/>
      <c r="AJE37" s="30"/>
      <c r="AJF37" s="30"/>
      <c r="AJG37" s="30"/>
      <c r="AJH37" s="30"/>
      <c r="AJI37" s="30"/>
      <c r="AJJ37" s="30"/>
      <c r="AJK37" s="30"/>
      <c r="AJL37" s="30"/>
      <c r="AJM37" s="30"/>
      <c r="AJN37" s="30"/>
      <c r="AJO37" s="30"/>
      <c r="AJP37" s="30"/>
      <c r="AJQ37" s="30"/>
      <c r="AJR37" s="30"/>
      <c r="AJS37" s="30"/>
      <c r="AJT37" s="30"/>
      <c r="AJU37" s="30"/>
      <c r="AJV37" s="30"/>
      <c r="AJW37" s="30"/>
      <c r="AJX37" s="30"/>
      <c r="AJY37" s="30"/>
      <c r="AJZ37" s="30"/>
      <c r="AKA37" s="30"/>
      <c r="AKB37" s="30"/>
      <c r="AKC37" s="30"/>
      <c r="AKD37" s="30"/>
      <c r="AKE37" s="30"/>
      <c r="AKF37" s="30"/>
      <c r="AKG37" s="30"/>
      <c r="AKH37" s="30"/>
      <c r="AKI37" s="30"/>
      <c r="AKJ37" s="30"/>
      <c r="AKK37" s="30"/>
      <c r="AKL37" s="30"/>
      <c r="AKM37" s="30"/>
      <c r="AKN37" s="30"/>
      <c r="AKO37" s="30"/>
      <c r="AKP37" s="30"/>
      <c r="AKQ37" s="30"/>
      <c r="AKR37" s="30"/>
      <c r="AKS37" s="30"/>
      <c r="AKT37" s="30"/>
      <c r="AKU37" s="30"/>
      <c r="AKV37" s="30"/>
      <c r="AKW37" s="30"/>
      <c r="AKX37" s="30"/>
      <c r="AKY37" s="30"/>
      <c r="AKZ37" s="30"/>
      <c r="ALA37" s="30"/>
      <c r="ALB37" s="30"/>
      <c r="ALC37" s="30"/>
      <c r="ALD37" s="30"/>
      <c r="ALE37" s="30"/>
      <c r="ALF37" s="30"/>
      <c r="ALG37" s="30"/>
      <c r="ALH37" s="30"/>
      <c r="ALI37" s="30"/>
      <c r="ALJ37" s="30"/>
      <c r="ALK37" s="30"/>
      <c r="ALL37" s="30"/>
      <c r="ALM37" s="30"/>
      <c r="ALN37" s="30"/>
      <c r="ALO37" s="30"/>
      <c r="ALP37" s="30"/>
      <c r="ALQ37" s="30"/>
      <c r="ALR37" s="30"/>
      <c r="ALS37" s="30"/>
      <c r="ALT37" s="30"/>
      <c r="ALU37" s="30"/>
      <c r="ALV37" s="30"/>
      <c r="ALW37" s="30"/>
      <c r="ALX37" s="30"/>
      <c r="ALY37" s="30"/>
      <c r="ALZ37" s="30"/>
      <c r="AMA37" s="30"/>
      <c r="AMB37" s="30"/>
      <c r="AMC37" s="30"/>
      <c r="AMD37" s="30"/>
      <c r="AME37" s="30"/>
      <c r="AMF37" s="30"/>
      <c r="AMG37" s="30"/>
      <c r="AMH37" s="30"/>
      <c r="AMI37" s="30"/>
      <c r="AMJ37" s="30"/>
      <c r="AMK37" s="30"/>
      <c r="AML37" s="30"/>
      <c r="AMM37" s="30"/>
      <c r="AMN37" s="30"/>
      <c r="AMO37" s="30"/>
      <c r="AMP37" s="30"/>
      <c r="AMQ37" s="30"/>
      <c r="AMR37" s="30"/>
      <c r="AMS37" s="30"/>
      <c r="AMT37" s="30"/>
      <c r="AMU37" s="30"/>
      <c r="AMV37" s="30"/>
      <c r="AMW37" s="30"/>
      <c r="AMX37" s="30"/>
      <c r="AMY37" s="30"/>
      <c r="AMZ37" s="30"/>
      <c r="ANA37" s="30"/>
      <c r="ANB37" s="30"/>
      <c r="ANC37" s="30"/>
      <c r="AND37" s="30"/>
      <c r="ANE37" s="30"/>
      <c r="ANF37" s="30"/>
      <c r="ANG37" s="30"/>
      <c r="ANH37" s="30"/>
      <c r="ANI37" s="30"/>
      <c r="ANJ37" s="30"/>
      <c r="ANK37" s="30"/>
      <c r="ANL37" s="30"/>
      <c r="ANM37" s="30"/>
      <c r="ANN37" s="30"/>
      <c r="ANO37" s="30"/>
      <c r="ANP37" s="30"/>
      <c r="ANQ37" s="30"/>
      <c r="ANR37" s="30"/>
      <c r="ANS37" s="30"/>
      <c r="ANT37" s="30"/>
      <c r="ANU37" s="30"/>
      <c r="ANV37" s="30"/>
      <c r="ANW37" s="30"/>
      <c r="ANX37" s="30"/>
      <c r="ANY37" s="30"/>
      <c r="ANZ37" s="30"/>
      <c r="AOA37" s="30"/>
      <c r="AOB37" s="30"/>
      <c r="AOC37" s="30"/>
      <c r="AOD37" s="30"/>
      <c r="AOE37" s="30"/>
      <c r="AOF37" s="30"/>
      <c r="AOG37" s="30"/>
      <c r="AOH37" s="30"/>
      <c r="AOI37" s="30"/>
      <c r="AOJ37" s="30"/>
      <c r="AOK37" s="30"/>
      <c r="AOL37" s="30"/>
      <c r="AOM37" s="30"/>
      <c r="AON37" s="30"/>
      <c r="AOO37" s="30"/>
      <c r="AOP37" s="30"/>
      <c r="AOQ37" s="30"/>
      <c r="AOR37" s="30"/>
      <c r="AOS37" s="30"/>
      <c r="AOT37" s="30"/>
      <c r="AOU37" s="30"/>
      <c r="AOV37" s="30"/>
      <c r="AOW37" s="30"/>
      <c r="AOX37" s="30"/>
      <c r="AOY37" s="30"/>
      <c r="AOZ37" s="30"/>
      <c r="APA37" s="30"/>
      <c r="APB37" s="30"/>
      <c r="APC37" s="30"/>
      <c r="APD37" s="30"/>
      <c r="APE37" s="30"/>
      <c r="APF37" s="30"/>
      <c r="APG37" s="30"/>
      <c r="APH37" s="30"/>
      <c r="API37" s="30"/>
      <c r="APJ37" s="30"/>
      <c r="APK37" s="30"/>
      <c r="APL37" s="30"/>
      <c r="APM37" s="30"/>
      <c r="APN37" s="30"/>
      <c r="APO37" s="30"/>
      <c r="APP37" s="30"/>
      <c r="APQ37" s="30"/>
      <c r="APR37" s="30"/>
      <c r="APS37" s="30"/>
      <c r="APT37" s="30"/>
      <c r="APU37" s="30"/>
      <c r="APV37" s="30"/>
      <c r="APW37" s="30"/>
      <c r="APX37" s="30"/>
      <c r="APY37" s="30"/>
      <c r="APZ37" s="30"/>
      <c r="AQA37" s="30"/>
      <c r="AQB37" s="30"/>
      <c r="AQC37" s="30"/>
      <c r="AQD37" s="30"/>
      <c r="AQE37" s="30"/>
      <c r="AQF37" s="30"/>
      <c r="AQG37" s="30"/>
      <c r="AQH37" s="30"/>
      <c r="AQI37" s="30"/>
      <c r="AQJ37" s="30"/>
      <c r="AQK37" s="30"/>
      <c r="AQL37" s="30"/>
      <c r="AQM37" s="30"/>
      <c r="AQN37" s="30"/>
      <c r="AQO37" s="30"/>
      <c r="AQP37" s="30"/>
      <c r="AQQ37" s="30"/>
      <c r="AQR37" s="30"/>
      <c r="AQS37" s="30"/>
      <c r="AQT37" s="30"/>
      <c r="AQU37" s="30"/>
      <c r="AQV37" s="30"/>
      <c r="AQW37" s="30"/>
      <c r="AQX37" s="30"/>
      <c r="AQY37" s="30"/>
      <c r="AQZ37" s="30"/>
      <c r="ARA37" s="30"/>
      <c r="ARB37" s="30"/>
      <c r="ARC37" s="30"/>
      <c r="ARD37" s="30"/>
      <c r="ARE37" s="30"/>
      <c r="ARF37" s="30"/>
      <c r="ARG37" s="30"/>
      <c r="ARH37" s="30"/>
      <c r="ARI37" s="30"/>
      <c r="ARJ37" s="30"/>
      <c r="ARK37" s="30"/>
      <c r="ARL37" s="30"/>
      <c r="ARM37" s="30"/>
      <c r="ARN37" s="30"/>
      <c r="ARO37" s="30"/>
      <c r="ARP37" s="30"/>
      <c r="ARQ37" s="30"/>
      <c r="ARR37" s="30"/>
      <c r="ARS37" s="30"/>
      <c r="ART37" s="30"/>
      <c r="ARU37" s="30"/>
      <c r="ARV37" s="30"/>
      <c r="ARW37" s="30"/>
      <c r="ARX37" s="30"/>
      <c r="ARY37" s="30"/>
      <c r="ARZ37" s="30"/>
      <c r="ASA37" s="30"/>
      <c r="ASB37" s="30"/>
      <c r="ASC37" s="30"/>
      <c r="ASD37" s="30"/>
      <c r="ASE37" s="30"/>
      <c r="ASF37" s="30"/>
      <c r="ASG37" s="30"/>
      <c r="ASH37" s="30"/>
      <c r="ASI37" s="30"/>
      <c r="ASJ37" s="30"/>
      <c r="ASK37" s="30"/>
      <c r="ASL37" s="30"/>
      <c r="ASM37" s="30"/>
      <c r="ASN37" s="30"/>
      <c r="ASO37" s="30"/>
      <c r="ASP37" s="30"/>
      <c r="ASQ37" s="30"/>
      <c r="ASR37" s="30"/>
      <c r="ASS37" s="30"/>
      <c r="AST37" s="30"/>
      <c r="ASU37" s="30"/>
      <c r="ASV37" s="30"/>
      <c r="ASW37" s="30"/>
      <c r="ASX37" s="30"/>
      <c r="ASY37" s="30"/>
      <c r="ASZ37" s="30"/>
      <c r="ATA37" s="30"/>
      <c r="ATB37" s="30"/>
      <c r="ATC37" s="30"/>
      <c r="ATD37" s="30"/>
      <c r="ATE37" s="30"/>
      <c r="ATF37" s="30"/>
      <c r="ATG37" s="30"/>
      <c r="ATH37" s="30"/>
      <c r="ATI37" s="30"/>
      <c r="ATJ37" s="30"/>
      <c r="ATK37" s="30"/>
      <c r="ATL37" s="30"/>
      <c r="ATM37" s="30"/>
      <c r="ATN37" s="30"/>
      <c r="ATO37" s="30"/>
      <c r="ATP37" s="30"/>
      <c r="ATQ37" s="30"/>
      <c r="ATR37" s="30"/>
      <c r="ATS37" s="30"/>
      <c r="ATT37" s="30"/>
      <c r="ATU37" s="30"/>
      <c r="ATV37" s="30"/>
      <c r="ATW37" s="30"/>
      <c r="ATX37" s="30"/>
      <c r="ATY37" s="30"/>
      <c r="ATZ37" s="30"/>
      <c r="AUA37" s="30"/>
      <c r="AUB37" s="30"/>
      <c r="AUC37" s="30"/>
      <c r="AUD37" s="30"/>
      <c r="AUE37" s="30"/>
      <c r="AUF37" s="30"/>
      <c r="AUG37" s="30"/>
      <c r="AUH37" s="30"/>
      <c r="AUI37" s="30"/>
      <c r="AUJ37" s="30"/>
      <c r="AUK37" s="30"/>
      <c r="AUL37" s="30"/>
      <c r="AUM37" s="30"/>
      <c r="AUN37" s="30"/>
      <c r="AUO37" s="30"/>
      <c r="AUP37" s="30"/>
      <c r="AUQ37" s="30"/>
      <c r="AUR37" s="30"/>
      <c r="AUS37" s="30"/>
      <c r="AUT37" s="30"/>
      <c r="AUU37" s="30"/>
      <c r="AUV37" s="30"/>
      <c r="AUW37" s="30"/>
      <c r="AUX37" s="30"/>
      <c r="AUY37" s="30"/>
      <c r="AUZ37" s="30"/>
      <c r="AVA37" s="30"/>
      <c r="AVB37" s="30"/>
      <c r="AVC37" s="30"/>
      <c r="AVD37" s="30"/>
      <c r="AVE37" s="30"/>
      <c r="AVF37" s="30"/>
      <c r="AVG37" s="30"/>
      <c r="AVH37" s="30"/>
      <c r="AVI37" s="30"/>
      <c r="AVJ37" s="30"/>
      <c r="AVK37" s="30"/>
      <c r="AVL37" s="30"/>
      <c r="AVM37" s="30"/>
      <c r="AVN37" s="30"/>
      <c r="AVO37" s="30"/>
      <c r="AVP37" s="30"/>
      <c r="AVQ37" s="30"/>
      <c r="AVR37" s="30"/>
      <c r="AVS37" s="30"/>
      <c r="AVT37" s="30"/>
      <c r="AVU37" s="30"/>
      <c r="AVV37" s="30"/>
      <c r="AVW37" s="30"/>
      <c r="AVX37" s="30"/>
      <c r="AVY37" s="30"/>
      <c r="AVZ37" s="30"/>
      <c r="AWA37" s="30"/>
      <c r="AWB37" s="30"/>
      <c r="AWC37" s="30"/>
      <c r="AWD37" s="30"/>
      <c r="AWE37" s="30"/>
      <c r="AWF37" s="30"/>
      <c r="AWG37" s="30"/>
      <c r="AWH37" s="30"/>
      <c r="AWI37" s="30"/>
      <c r="AWJ37" s="30"/>
      <c r="AWK37" s="30"/>
      <c r="AWL37" s="30"/>
      <c r="AWM37" s="30"/>
      <c r="AWN37" s="30"/>
      <c r="AWO37" s="30"/>
      <c r="AWP37" s="30"/>
      <c r="AWQ37" s="30"/>
      <c r="AWR37" s="30"/>
      <c r="AWS37" s="30"/>
      <c r="AWT37" s="30"/>
      <c r="AWU37" s="30"/>
      <c r="AWV37" s="30"/>
      <c r="AWW37" s="30"/>
      <c r="AWX37" s="30"/>
      <c r="AWY37" s="30"/>
      <c r="AWZ37" s="30"/>
      <c r="AXA37" s="30"/>
      <c r="AXB37" s="30"/>
      <c r="AXC37" s="30"/>
      <c r="AXD37" s="30"/>
      <c r="AXE37" s="30"/>
      <c r="AXF37" s="30"/>
      <c r="AXG37" s="30"/>
      <c r="AXH37" s="30"/>
      <c r="AXI37" s="30"/>
      <c r="AXJ37" s="30"/>
      <c r="AXK37" s="30"/>
      <c r="AXL37" s="30"/>
      <c r="AXM37" s="30"/>
      <c r="AXN37" s="30"/>
      <c r="AXO37" s="30"/>
      <c r="AXP37" s="30"/>
      <c r="AXQ37" s="30"/>
      <c r="AXR37" s="30"/>
      <c r="AXS37" s="30"/>
      <c r="AXT37" s="30"/>
      <c r="AXU37" s="30"/>
      <c r="AXV37" s="30"/>
      <c r="AXW37" s="30"/>
      <c r="AXX37" s="30"/>
      <c r="AXY37" s="30"/>
      <c r="AXZ37" s="30"/>
      <c r="AYA37" s="30"/>
      <c r="AYB37" s="30"/>
      <c r="AYC37" s="30"/>
      <c r="AYD37" s="30"/>
      <c r="AYE37" s="30"/>
      <c r="AYF37" s="30"/>
      <c r="AYG37" s="30"/>
      <c r="AYH37" s="30"/>
      <c r="AYI37" s="30"/>
      <c r="AYJ37" s="30"/>
      <c r="AYK37" s="30"/>
      <c r="AYL37" s="30"/>
      <c r="AYM37" s="30"/>
      <c r="AYN37" s="30"/>
      <c r="AYO37" s="30"/>
      <c r="AYP37" s="30"/>
      <c r="AYQ37" s="30"/>
      <c r="AYR37" s="30"/>
      <c r="AYS37" s="30"/>
      <c r="AYT37" s="30"/>
      <c r="AYU37" s="30"/>
      <c r="AYV37" s="30"/>
      <c r="AYW37" s="30"/>
      <c r="AYX37" s="30"/>
      <c r="AYY37" s="30"/>
      <c r="AYZ37" s="30"/>
      <c r="AZA37" s="30"/>
      <c r="AZB37" s="30"/>
      <c r="AZC37" s="30"/>
      <c r="AZD37" s="30"/>
      <c r="AZE37" s="30"/>
      <c r="AZF37" s="30"/>
      <c r="AZG37" s="30"/>
      <c r="AZH37" s="30"/>
      <c r="AZI37" s="30"/>
      <c r="AZJ37" s="30"/>
      <c r="AZK37" s="30"/>
      <c r="AZL37" s="30"/>
      <c r="AZM37" s="30"/>
      <c r="AZN37" s="30"/>
      <c r="AZO37" s="30"/>
      <c r="AZP37" s="30"/>
      <c r="AZQ37" s="30"/>
      <c r="AZR37" s="30"/>
      <c r="AZS37" s="30"/>
      <c r="AZT37" s="30"/>
      <c r="AZU37" s="30"/>
      <c r="AZV37" s="30"/>
      <c r="AZW37" s="30"/>
      <c r="AZX37" s="30"/>
      <c r="AZY37" s="30"/>
      <c r="AZZ37" s="30"/>
      <c r="BAA37" s="30"/>
      <c r="BAB37" s="30"/>
      <c r="BAC37" s="30"/>
      <c r="BAD37" s="30"/>
      <c r="BAE37" s="30"/>
      <c r="BAF37" s="30"/>
      <c r="BAG37" s="30"/>
      <c r="BAH37" s="30"/>
      <c r="BAI37" s="30"/>
      <c r="BAJ37" s="30"/>
      <c r="BAK37" s="30"/>
      <c r="BAL37" s="30"/>
      <c r="BAM37" s="30"/>
      <c r="BAN37" s="30"/>
      <c r="BAO37" s="30"/>
      <c r="BAP37" s="30"/>
      <c r="BAQ37" s="30"/>
      <c r="BAR37" s="30"/>
      <c r="BAS37" s="30"/>
      <c r="BAT37" s="30"/>
      <c r="BAU37" s="30"/>
      <c r="BAV37" s="30"/>
      <c r="BAW37" s="30"/>
      <c r="BAX37" s="30"/>
      <c r="BAY37" s="30"/>
      <c r="BAZ37" s="30"/>
      <c r="BBA37" s="30"/>
      <c r="BBB37" s="30"/>
      <c r="BBC37" s="30"/>
      <c r="BBD37" s="30"/>
      <c r="BBE37" s="30"/>
      <c r="BBF37" s="30"/>
      <c r="BBG37" s="30"/>
      <c r="BBH37" s="30"/>
      <c r="BBI37" s="30"/>
      <c r="BBJ37" s="30"/>
      <c r="BBK37" s="30"/>
      <c r="BBL37" s="30"/>
      <c r="BBM37" s="30"/>
      <c r="BBN37" s="30"/>
      <c r="BBO37" s="30"/>
      <c r="BBP37" s="30"/>
      <c r="BBQ37" s="30"/>
      <c r="BBR37" s="30"/>
      <c r="BBS37" s="30"/>
      <c r="BBT37" s="30"/>
      <c r="BBU37" s="30"/>
      <c r="BBV37" s="30"/>
      <c r="BBW37" s="30"/>
      <c r="BBX37" s="30"/>
      <c r="BBY37" s="30"/>
      <c r="BBZ37" s="30"/>
      <c r="BCA37" s="30"/>
      <c r="BCB37" s="30"/>
      <c r="BCC37" s="30"/>
      <c r="BCD37" s="30"/>
      <c r="BCE37" s="30"/>
      <c r="BCF37" s="30"/>
      <c r="BCG37" s="30"/>
      <c r="BCH37" s="30"/>
      <c r="BCI37" s="30"/>
      <c r="BCJ37" s="30"/>
      <c r="BCK37" s="30"/>
      <c r="BCL37" s="30"/>
      <c r="BCM37" s="30"/>
      <c r="BCN37" s="30"/>
      <c r="BCO37" s="30"/>
      <c r="BCP37" s="30"/>
      <c r="BCQ37" s="30"/>
      <c r="BCR37" s="30"/>
      <c r="BCS37" s="30"/>
      <c r="BCT37" s="30"/>
      <c r="BCU37" s="30"/>
      <c r="BCV37" s="30"/>
      <c r="BCW37" s="30"/>
      <c r="BCX37" s="30"/>
      <c r="BCY37" s="30"/>
      <c r="BCZ37" s="30"/>
      <c r="BDA37" s="30"/>
      <c r="BDB37" s="30"/>
      <c r="BDC37" s="30"/>
      <c r="BDD37" s="30"/>
      <c r="BDE37" s="30"/>
      <c r="BDF37" s="30"/>
      <c r="BDG37" s="30"/>
      <c r="BDH37" s="30"/>
      <c r="BDI37" s="30"/>
      <c r="BDJ37" s="30"/>
      <c r="BDK37" s="30"/>
      <c r="BDL37" s="30"/>
      <c r="BDM37" s="30"/>
      <c r="BDN37" s="30"/>
      <c r="BDO37" s="30"/>
      <c r="BDP37" s="30"/>
      <c r="BDQ37" s="30"/>
      <c r="BDR37" s="30"/>
      <c r="BDS37" s="30"/>
      <c r="BDT37" s="30"/>
      <c r="BDU37" s="30"/>
      <c r="BDV37" s="30"/>
      <c r="BDW37" s="30"/>
      <c r="BDX37" s="30"/>
      <c r="BDY37" s="30"/>
      <c r="BDZ37" s="30"/>
      <c r="BEA37" s="30"/>
      <c r="BEB37" s="30"/>
      <c r="BEC37" s="30"/>
      <c r="BED37" s="30"/>
      <c r="BEE37" s="30"/>
      <c r="BEF37" s="30"/>
      <c r="BEG37" s="30"/>
      <c r="BEH37" s="30"/>
      <c r="BEI37" s="30"/>
      <c r="BEJ37" s="30"/>
      <c r="BEK37" s="30"/>
      <c r="BEL37" s="30"/>
      <c r="BEM37" s="30"/>
      <c r="BEN37" s="30"/>
      <c r="BEO37" s="30"/>
      <c r="BEP37" s="30"/>
      <c r="BEQ37" s="30"/>
      <c r="BER37" s="30"/>
      <c r="BES37" s="30"/>
      <c r="BET37" s="30"/>
      <c r="BEU37" s="30"/>
      <c r="BEV37" s="30"/>
      <c r="BEW37" s="30"/>
      <c r="BEX37" s="30"/>
      <c r="BEY37" s="30"/>
      <c r="BEZ37" s="30"/>
      <c r="BFA37" s="30"/>
      <c r="BFB37" s="30"/>
      <c r="BFC37" s="30"/>
      <c r="BFD37" s="30"/>
      <c r="BFE37" s="30"/>
      <c r="BFF37" s="30"/>
      <c r="BFG37" s="30"/>
      <c r="BFH37" s="30"/>
      <c r="BFI37" s="30"/>
      <c r="BFJ37" s="30"/>
      <c r="BFK37" s="30"/>
      <c r="BFL37" s="30"/>
      <c r="BFM37" s="30"/>
      <c r="BFN37" s="30"/>
      <c r="BFO37" s="30"/>
      <c r="BFP37" s="30"/>
      <c r="BFQ37" s="30"/>
      <c r="BFR37" s="30"/>
      <c r="BFS37" s="30"/>
      <c r="BFT37" s="30"/>
      <c r="BFU37" s="30"/>
      <c r="BFV37" s="30"/>
      <c r="BFW37" s="30"/>
      <c r="BFX37" s="30"/>
      <c r="BFY37" s="30"/>
      <c r="BFZ37" s="30"/>
      <c r="BGA37" s="30"/>
      <c r="BGB37" s="30"/>
      <c r="BGC37" s="30"/>
      <c r="BGD37" s="30"/>
      <c r="BGE37" s="30"/>
      <c r="BGF37" s="30"/>
      <c r="BGG37" s="30"/>
      <c r="BGH37" s="30"/>
      <c r="BGI37" s="30"/>
      <c r="BGJ37" s="30"/>
      <c r="BGK37" s="30"/>
      <c r="BGL37" s="30"/>
      <c r="BGM37" s="30"/>
      <c r="BGN37" s="30"/>
      <c r="BGO37" s="30"/>
      <c r="BGP37" s="30"/>
      <c r="BGQ37" s="30"/>
      <c r="BGR37" s="30"/>
      <c r="BGS37" s="30"/>
      <c r="BGT37" s="30"/>
      <c r="BGU37" s="30"/>
      <c r="BGV37" s="30"/>
      <c r="BGW37" s="30"/>
      <c r="BGX37" s="30"/>
      <c r="BGY37" s="30"/>
      <c r="BGZ37" s="30"/>
      <c r="BHA37" s="30"/>
      <c r="BHB37" s="30"/>
      <c r="BHC37" s="30"/>
      <c r="BHD37" s="30"/>
      <c r="BHE37" s="30"/>
      <c r="BHF37" s="30"/>
      <c r="BHG37" s="30"/>
      <c r="BHH37" s="30"/>
      <c r="BHI37" s="30"/>
      <c r="BHJ37" s="30"/>
      <c r="BHK37" s="30"/>
      <c r="BHL37" s="30"/>
      <c r="BHM37" s="30"/>
      <c r="BHN37" s="30"/>
      <c r="BHO37" s="30"/>
      <c r="BHP37" s="30"/>
      <c r="BHQ37" s="30"/>
      <c r="BHR37" s="30"/>
      <c r="BHS37" s="30"/>
      <c r="BHT37" s="30"/>
      <c r="BHU37" s="30"/>
      <c r="BHV37" s="30"/>
      <c r="BHW37" s="30"/>
      <c r="BHX37" s="30"/>
      <c r="BHY37" s="30"/>
      <c r="BHZ37" s="30"/>
      <c r="BIA37" s="30"/>
      <c r="BIB37" s="30"/>
      <c r="BIC37" s="30"/>
      <c r="BID37" s="30"/>
      <c r="BIE37" s="30"/>
      <c r="BIF37" s="30"/>
      <c r="BIG37" s="30"/>
      <c r="BIH37" s="30"/>
      <c r="BII37" s="30"/>
      <c r="BIJ37" s="30"/>
      <c r="BIK37" s="30"/>
      <c r="BIL37" s="30"/>
      <c r="BIM37" s="30"/>
      <c r="BIN37" s="30"/>
      <c r="BIO37" s="30"/>
      <c r="BIP37" s="30"/>
      <c r="BIQ37" s="30"/>
      <c r="BIR37" s="30"/>
      <c r="BIS37" s="30"/>
      <c r="BIT37" s="30"/>
      <c r="BIU37" s="30"/>
      <c r="BIV37" s="30"/>
      <c r="BIW37" s="30"/>
      <c r="BIX37" s="30"/>
      <c r="BIY37" s="30"/>
      <c r="BIZ37" s="30"/>
      <c r="BJA37" s="30"/>
      <c r="BJB37" s="30"/>
      <c r="BJC37" s="30"/>
      <c r="BJD37" s="30"/>
      <c r="BJE37" s="30"/>
      <c r="BJF37" s="30"/>
      <c r="BJG37" s="30"/>
      <c r="BJH37" s="30"/>
      <c r="BJI37" s="30"/>
      <c r="BJJ37" s="30"/>
      <c r="BJK37" s="30"/>
      <c r="BJL37" s="30"/>
      <c r="BJM37" s="30"/>
      <c r="BJN37" s="30"/>
      <c r="BJO37" s="30"/>
      <c r="BJP37" s="30"/>
      <c r="BJQ37" s="30"/>
      <c r="BJR37" s="30"/>
      <c r="BJS37" s="30"/>
      <c r="BJT37" s="30"/>
      <c r="BJU37" s="30"/>
      <c r="BJV37" s="30"/>
      <c r="BJW37" s="30"/>
      <c r="BJX37" s="30"/>
      <c r="BJY37" s="30"/>
      <c r="BJZ37" s="30"/>
      <c r="BKA37" s="30"/>
      <c r="BKB37" s="30"/>
      <c r="BKC37" s="30"/>
      <c r="BKD37" s="30"/>
      <c r="BKE37" s="30"/>
      <c r="BKF37" s="30"/>
      <c r="BKG37" s="30"/>
      <c r="BKH37" s="30"/>
      <c r="BKI37" s="30"/>
      <c r="BKJ37" s="30"/>
      <c r="BKK37" s="30"/>
      <c r="BKL37" s="30"/>
      <c r="BKM37" s="30"/>
      <c r="BKN37" s="30"/>
      <c r="BKO37" s="30"/>
      <c r="BKP37" s="30"/>
      <c r="BKQ37" s="30"/>
      <c r="BKR37" s="30"/>
      <c r="BKS37" s="30"/>
      <c r="BKT37" s="30"/>
      <c r="BKU37" s="30"/>
      <c r="BKV37" s="30"/>
      <c r="BKW37" s="30"/>
      <c r="BKX37" s="30"/>
      <c r="BKY37" s="30"/>
      <c r="BKZ37" s="30"/>
      <c r="BLA37" s="30"/>
      <c r="BLB37" s="30"/>
      <c r="BLC37" s="30"/>
      <c r="BLD37" s="30"/>
      <c r="BLE37" s="30"/>
      <c r="BLF37" s="30"/>
      <c r="BLG37" s="30"/>
      <c r="BLH37" s="30"/>
      <c r="BLI37" s="30"/>
      <c r="BLJ37" s="30"/>
      <c r="BLK37" s="30"/>
      <c r="BLL37" s="30"/>
      <c r="BLM37" s="30"/>
      <c r="BLN37" s="30"/>
      <c r="BLO37" s="30"/>
      <c r="BLP37" s="30"/>
      <c r="BLQ37" s="30"/>
      <c r="BLR37" s="30"/>
      <c r="BLS37" s="30"/>
      <c r="BLT37" s="30"/>
      <c r="BLU37" s="30"/>
      <c r="BLV37" s="30"/>
      <c r="BLW37" s="30"/>
      <c r="BLX37" s="30"/>
      <c r="BLY37" s="30"/>
      <c r="BLZ37" s="30"/>
      <c r="BMA37" s="30"/>
      <c r="BMB37" s="30"/>
      <c r="BMC37" s="30"/>
      <c r="BMD37" s="30"/>
      <c r="BME37" s="30"/>
      <c r="BMF37" s="30"/>
      <c r="BMG37" s="30"/>
      <c r="BMH37" s="30"/>
      <c r="BMI37" s="30"/>
      <c r="BMJ37" s="30"/>
      <c r="BMK37" s="30"/>
      <c r="BML37" s="30"/>
      <c r="BMM37" s="30"/>
      <c r="BMN37" s="30"/>
      <c r="BMO37" s="30"/>
      <c r="BMP37" s="30"/>
      <c r="BMQ37" s="30"/>
      <c r="BMR37" s="30"/>
      <c r="BMS37" s="30"/>
      <c r="BMT37" s="30"/>
      <c r="BMU37" s="30"/>
      <c r="BMV37" s="30"/>
      <c r="BMW37" s="30"/>
      <c r="BMX37" s="30"/>
      <c r="BMY37" s="30"/>
      <c r="BMZ37" s="30"/>
      <c r="BNA37" s="30"/>
      <c r="BNB37" s="30"/>
      <c r="BNC37" s="30"/>
      <c r="BND37" s="30"/>
      <c r="BNE37" s="30"/>
      <c r="BNF37" s="30"/>
      <c r="BNG37" s="30"/>
      <c r="BNH37" s="30"/>
      <c r="BNI37" s="30"/>
      <c r="BNJ37" s="30"/>
      <c r="BNK37" s="30"/>
      <c r="BNL37" s="30"/>
      <c r="BNM37" s="30"/>
      <c r="BNN37" s="30"/>
      <c r="BNO37" s="30"/>
      <c r="BNP37" s="30"/>
      <c r="BNQ37" s="30"/>
      <c r="BNR37" s="30"/>
      <c r="BNS37" s="30"/>
      <c r="BNT37" s="30"/>
      <c r="BNU37" s="30"/>
      <c r="BNV37" s="30"/>
      <c r="BNW37" s="30"/>
      <c r="BNX37" s="30"/>
      <c r="BNY37" s="30"/>
      <c r="BNZ37" s="30"/>
      <c r="BOA37" s="30"/>
      <c r="BOB37" s="30"/>
      <c r="BOC37" s="30"/>
      <c r="BOD37" s="30"/>
      <c r="BOE37" s="30"/>
      <c r="BOF37" s="30"/>
      <c r="BOG37" s="30"/>
      <c r="BOH37" s="30"/>
      <c r="BOI37" s="30"/>
      <c r="BOJ37" s="30"/>
      <c r="BOK37" s="30"/>
      <c r="BOL37" s="30"/>
      <c r="BOM37" s="30"/>
      <c r="BON37" s="30"/>
      <c r="BOO37" s="30"/>
      <c r="BOP37" s="30"/>
      <c r="BOQ37" s="30"/>
      <c r="BOR37" s="30"/>
      <c r="BOS37" s="30"/>
      <c r="BOT37" s="30"/>
      <c r="BOU37" s="30"/>
      <c r="BOV37" s="30"/>
      <c r="BOW37" s="30"/>
      <c r="BOX37" s="30"/>
      <c r="BOY37" s="30"/>
      <c r="BOZ37" s="30"/>
      <c r="BPA37" s="30"/>
      <c r="BPB37" s="30"/>
      <c r="BPC37" s="30"/>
      <c r="BPD37" s="30"/>
      <c r="BPE37" s="30"/>
      <c r="BPF37" s="30"/>
      <c r="BPG37" s="30"/>
      <c r="BPH37" s="30"/>
      <c r="BPI37" s="30"/>
      <c r="BPJ37" s="30"/>
      <c r="BPK37" s="30"/>
      <c r="BPL37" s="30"/>
      <c r="BPM37" s="30"/>
      <c r="BPN37" s="30"/>
      <c r="BPO37" s="30"/>
      <c r="BPP37" s="30"/>
      <c r="BPQ37" s="30"/>
      <c r="BPR37" s="30"/>
      <c r="BPS37" s="30"/>
      <c r="BPT37" s="30"/>
      <c r="BPU37" s="30"/>
      <c r="BPV37" s="30"/>
      <c r="BPW37" s="30"/>
      <c r="BPX37" s="30"/>
      <c r="BPY37" s="30"/>
      <c r="BPZ37" s="30"/>
      <c r="BQA37" s="30"/>
      <c r="BQB37" s="30"/>
      <c r="BQC37" s="30"/>
      <c r="BQD37" s="30"/>
      <c r="BQE37" s="30"/>
      <c r="BQF37" s="30"/>
      <c r="BQG37" s="30"/>
      <c r="BQH37" s="30"/>
      <c r="BQI37" s="30"/>
      <c r="BQJ37" s="30"/>
      <c r="BQK37" s="30"/>
      <c r="BQL37" s="30"/>
      <c r="BQM37" s="30"/>
      <c r="BQN37" s="30"/>
      <c r="BQO37" s="30"/>
      <c r="BQP37" s="30"/>
      <c r="BQQ37" s="30"/>
      <c r="BQR37" s="30"/>
      <c r="BQS37" s="30"/>
      <c r="BQT37" s="30"/>
      <c r="BQU37" s="30"/>
      <c r="BQV37" s="30"/>
      <c r="BQW37" s="30"/>
      <c r="BQX37" s="30"/>
      <c r="BQY37" s="30"/>
      <c r="BQZ37" s="30"/>
      <c r="BRA37" s="30"/>
      <c r="BRB37" s="30"/>
      <c r="BRC37" s="30"/>
      <c r="BRD37" s="30"/>
      <c r="BRE37" s="30"/>
      <c r="BRF37" s="30"/>
      <c r="BRG37" s="30"/>
      <c r="BRH37" s="30"/>
      <c r="BRI37" s="30"/>
      <c r="BRJ37" s="30"/>
      <c r="BRK37" s="30"/>
      <c r="BRL37" s="30"/>
      <c r="BRM37" s="30"/>
      <c r="BRN37" s="30"/>
      <c r="BRO37" s="30"/>
      <c r="BRP37" s="30"/>
      <c r="BRQ37" s="30"/>
      <c r="BRR37" s="30"/>
      <c r="BRS37" s="30"/>
      <c r="BRT37" s="30"/>
      <c r="BRU37" s="30"/>
      <c r="BRV37" s="30"/>
      <c r="BRW37" s="30"/>
      <c r="BRX37" s="30"/>
      <c r="BRY37" s="30"/>
      <c r="BRZ37" s="30"/>
      <c r="BSA37" s="30"/>
      <c r="BSB37" s="30"/>
      <c r="BSC37" s="30"/>
      <c r="BSD37" s="30"/>
      <c r="BSE37" s="30"/>
      <c r="BSF37" s="30"/>
      <c r="BSG37" s="30"/>
      <c r="BSH37" s="30"/>
      <c r="BSI37" s="30"/>
      <c r="BSJ37" s="30"/>
      <c r="BSK37" s="30"/>
      <c r="BSL37" s="30"/>
      <c r="BSM37" s="30"/>
      <c r="BSN37" s="30"/>
      <c r="BSO37" s="30"/>
      <c r="BSP37" s="30"/>
      <c r="BSQ37" s="30"/>
      <c r="BSR37" s="30"/>
      <c r="BSS37" s="30"/>
      <c r="BST37" s="30"/>
      <c r="BSU37" s="30"/>
      <c r="BSV37" s="30"/>
      <c r="BSW37" s="30"/>
      <c r="BSX37" s="30"/>
      <c r="BSY37" s="30"/>
      <c r="BSZ37" s="30"/>
      <c r="BTA37" s="30"/>
      <c r="BTB37" s="30"/>
      <c r="BTC37" s="30"/>
      <c r="BTD37" s="30"/>
      <c r="BTE37" s="30"/>
      <c r="BTF37" s="30"/>
      <c r="BTG37" s="30"/>
      <c r="BTH37" s="30"/>
      <c r="BTI37" s="30"/>
      <c r="BTJ37" s="30"/>
      <c r="BTK37" s="30"/>
      <c r="BTL37" s="30"/>
      <c r="BTM37" s="30"/>
      <c r="BTN37" s="30"/>
      <c r="BTO37" s="30"/>
      <c r="BTP37" s="30"/>
      <c r="BTQ37" s="30"/>
      <c r="BTR37" s="30"/>
      <c r="BTS37" s="30"/>
      <c r="BTT37" s="30"/>
      <c r="BTU37" s="30"/>
      <c r="BTV37" s="30"/>
      <c r="BTW37" s="30"/>
      <c r="BTX37" s="30"/>
      <c r="BTY37" s="30"/>
      <c r="BTZ37" s="30"/>
      <c r="BUA37" s="30"/>
      <c r="BUB37" s="30"/>
      <c r="BUC37" s="30"/>
      <c r="BUD37" s="30"/>
      <c r="BUE37" s="30"/>
      <c r="BUF37" s="30"/>
      <c r="BUG37" s="30"/>
      <c r="BUH37" s="30"/>
      <c r="BUI37" s="30"/>
      <c r="BUJ37" s="30"/>
      <c r="BUK37" s="30"/>
      <c r="BUL37" s="30"/>
      <c r="BUM37" s="30"/>
      <c r="BUN37" s="30"/>
      <c r="BUO37" s="30"/>
      <c r="BUP37" s="30"/>
      <c r="BUQ37" s="30"/>
      <c r="BUR37" s="30"/>
      <c r="BUS37" s="30"/>
      <c r="BUT37" s="30"/>
      <c r="BUU37" s="30"/>
      <c r="BUV37" s="30"/>
      <c r="BUW37" s="30"/>
      <c r="BUX37" s="30"/>
      <c r="BUY37" s="30"/>
      <c r="BUZ37" s="30"/>
      <c r="BVA37" s="30"/>
      <c r="BVB37" s="30"/>
      <c r="BVC37" s="30"/>
      <c r="BVD37" s="30"/>
      <c r="BVE37" s="30"/>
      <c r="BVF37" s="30"/>
      <c r="BVG37" s="30"/>
      <c r="BVH37" s="30"/>
      <c r="BVI37" s="30"/>
      <c r="BVJ37" s="30"/>
      <c r="BVK37" s="30"/>
      <c r="BVL37" s="30"/>
      <c r="BVM37" s="30"/>
      <c r="BVN37" s="30"/>
      <c r="BVO37" s="30"/>
      <c r="BVP37" s="30"/>
      <c r="BVQ37" s="30"/>
      <c r="BVR37" s="30"/>
      <c r="BVS37" s="30"/>
      <c r="BVT37" s="30"/>
      <c r="BVU37" s="30"/>
      <c r="BVV37" s="30"/>
      <c r="BVW37" s="30"/>
      <c r="BVX37" s="30"/>
      <c r="BVY37" s="30"/>
      <c r="BVZ37" s="30"/>
      <c r="BWA37" s="30"/>
      <c r="BWB37" s="30"/>
      <c r="BWC37" s="30"/>
      <c r="BWD37" s="30"/>
      <c r="BWE37" s="30"/>
      <c r="BWF37" s="30"/>
      <c r="BWG37" s="30"/>
      <c r="BWH37" s="30"/>
      <c r="BWI37" s="30"/>
      <c r="BWJ37" s="30"/>
      <c r="BWK37" s="30"/>
      <c r="BWL37" s="30"/>
      <c r="BWM37" s="30"/>
      <c r="BWN37" s="30"/>
      <c r="BWO37" s="30"/>
      <c r="BWP37" s="30"/>
      <c r="BWQ37" s="30"/>
      <c r="BWR37" s="30"/>
      <c r="BWS37" s="30"/>
      <c r="BWT37" s="30"/>
      <c r="BWU37" s="30"/>
      <c r="BWV37" s="30"/>
      <c r="BWW37" s="30"/>
      <c r="BWX37" s="30"/>
      <c r="BWY37" s="30"/>
      <c r="BWZ37" s="30"/>
      <c r="BXA37" s="30"/>
      <c r="BXB37" s="30"/>
      <c r="BXC37" s="30"/>
      <c r="BXD37" s="30"/>
      <c r="BXE37" s="30"/>
      <c r="BXF37" s="30"/>
      <c r="BXG37" s="30"/>
      <c r="BXH37" s="30"/>
      <c r="BXI37" s="30"/>
      <c r="BXJ37" s="30"/>
      <c r="BXK37" s="30"/>
      <c r="BXL37" s="30"/>
      <c r="BXM37" s="30"/>
      <c r="BXN37" s="30"/>
      <c r="BXO37" s="30"/>
      <c r="BXP37" s="30"/>
      <c r="BXQ37" s="30"/>
      <c r="BXR37" s="30"/>
      <c r="BXS37" s="30"/>
      <c r="BXT37" s="30"/>
      <c r="BXU37" s="30"/>
      <c r="BXV37" s="30"/>
      <c r="BXW37" s="30"/>
      <c r="BXX37" s="30"/>
      <c r="BXY37" s="30"/>
      <c r="BXZ37" s="30"/>
      <c r="BYA37" s="30"/>
      <c r="BYB37" s="30"/>
      <c r="BYC37" s="30"/>
      <c r="BYD37" s="30"/>
      <c r="BYE37" s="30"/>
      <c r="BYF37" s="30"/>
      <c r="BYG37" s="30"/>
      <c r="BYH37" s="30"/>
      <c r="BYI37" s="30"/>
      <c r="BYJ37" s="30"/>
      <c r="BYK37" s="30"/>
      <c r="BYL37" s="30"/>
      <c r="BYM37" s="30"/>
      <c r="BYN37" s="30"/>
      <c r="BYO37" s="30"/>
      <c r="BYP37" s="30"/>
      <c r="BYQ37" s="30"/>
      <c r="BYR37" s="30"/>
      <c r="BYS37" s="30"/>
      <c r="BYT37" s="30"/>
      <c r="BYU37" s="30"/>
      <c r="BYV37" s="30"/>
      <c r="BYW37" s="30"/>
      <c r="BYX37" s="30"/>
      <c r="BYY37" s="30"/>
      <c r="BYZ37" s="30"/>
      <c r="BZA37" s="30"/>
      <c r="BZB37" s="30"/>
      <c r="BZC37" s="30"/>
      <c r="BZD37" s="30"/>
      <c r="BZE37" s="30"/>
      <c r="BZF37" s="30"/>
      <c r="BZG37" s="30"/>
      <c r="BZH37" s="30"/>
      <c r="BZI37" s="30"/>
      <c r="BZJ37" s="30"/>
      <c r="BZK37" s="30"/>
      <c r="BZL37" s="30"/>
      <c r="BZM37" s="30"/>
      <c r="BZN37" s="30"/>
      <c r="BZO37" s="30"/>
      <c r="BZP37" s="30"/>
      <c r="BZQ37" s="30"/>
      <c r="BZR37" s="30"/>
      <c r="BZS37" s="30"/>
      <c r="BZT37" s="30"/>
      <c r="BZU37" s="30"/>
      <c r="BZV37" s="30"/>
      <c r="BZW37" s="30"/>
      <c r="BZX37" s="30"/>
      <c r="BZY37" s="30"/>
      <c r="BZZ37" s="30"/>
      <c r="CAA37" s="30"/>
      <c r="CAB37" s="30"/>
      <c r="CAC37" s="30"/>
      <c r="CAD37" s="30"/>
      <c r="CAE37" s="30"/>
      <c r="CAF37" s="30"/>
      <c r="CAG37" s="30"/>
      <c r="CAH37" s="30"/>
      <c r="CAI37" s="30"/>
      <c r="CAJ37" s="30"/>
      <c r="CAK37" s="30"/>
      <c r="CAL37" s="30"/>
      <c r="CAM37" s="30"/>
      <c r="CAN37" s="30"/>
      <c r="CAO37" s="30"/>
      <c r="CAP37" s="30"/>
      <c r="CAQ37" s="30"/>
      <c r="CAR37" s="30"/>
      <c r="CAS37" s="30"/>
      <c r="CAT37" s="30"/>
      <c r="CAU37" s="30"/>
      <c r="CAV37" s="30"/>
      <c r="CAW37" s="30"/>
      <c r="CAX37" s="30"/>
      <c r="CAY37" s="30"/>
      <c r="CAZ37" s="30"/>
      <c r="CBA37" s="30"/>
      <c r="CBB37" s="30"/>
      <c r="CBC37" s="30"/>
      <c r="CBD37" s="30"/>
      <c r="CBE37" s="30"/>
      <c r="CBF37" s="30"/>
      <c r="CBG37" s="30"/>
      <c r="CBH37" s="30"/>
      <c r="CBI37" s="30"/>
      <c r="CBJ37" s="30"/>
      <c r="CBK37" s="30"/>
      <c r="CBL37" s="30"/>
      <c r="CBM37" s="30"/>
      <c r="CBN37" s="30"/>
      <c r="CBO37" s="30"/>
      <c r="CBP37" s="30"/>
      <c r="CBQ37" s="30"/>
      <c r="CBR37" s="30"/>
      <c r="CBS37" s="30"/>
      <c r="CBT37" s="30"/>
      <c r="CBU37" s="30"/>
      <c r="CBV37" s="30"/>
      <c r="CBW37" s="30"/>
      <c r="CBX37" s="30"/>
      <c r="CBY37" s="30"/>
      <c r="CBZ37" s="30"/>
      <c r="CCA37" s="30"/>
      <c r="CCB37" s="30"/>
      <c r="CCC37" s="30"/>
      <c r="CCD37" s="30"/>
      <c r="CCE37" s="30"/>
      <c r="CCF37" s="30"/>
      <c r="CCG37" s="30"/>
      <c r="CCH37" s="30"/>
      <c r="CCI37" s="30"/>
      <c r="CCJ37" s="30"/>
      <c r="CCK37" s="30"/>
      <c r="CCL37" s="30"/>
      <c r="CCM37" s="30"/>
      <c r="CCN37" s="30"/>
      <c r="CCO37" s="30"/>
      <c r="CCP37" s="30"/>
      <c r="CCQ37" s="30"/>
      <c r="CCR37" s="30"/>
      <c r="CCS37" s="30"/>
      <c r="CCT37" s="30"/>
      <c r="CCU37" s="30"/>
      <c r="CCV37" s="30"/>
      <c r="CCW37" s="30"/>
      <c r="CCX37" s="30"/>
      <c r="CCY37" s="30"/>
      <c r="CCZ37" s="30"/>
      <c r="CDA37" s="30"/>
      <c r="CDB37" s="30"/>
      <c r="CDC37" s="30"/>
      <c r="CDD37" s="30"/>
      <c r="CDE37" s="30"/>
      <c r="CDF37" s="30"/>
      <c r="CDG37" s="30"/>
      <c r="CDH37" s="30"/>
      <c r="CDI37" s="30"/>
      <c r="CDJ37" s="30"/>
      <c r="CDK37" s="30"/>
      <c r="CDL37" s="30"/>
      <c r="CDM37" s="30"/>
      <c r="CDN37" s="30"/>
      <c r="CDO37" s="30"/>
      <c r="CDP37" s="30"/>
      <c r="CDQ37" s="30"/>
      <c r="CDR37" s="30"/>
      <c r="CDS37" s="30"/>
      <c r="CDT37" s="30"/>
      <c r="CDU37" s="30"/>
      <c r="CDV37" s="30"/>
      <c r="CDW37" s="30"/>
      <c r="CDX37" s="30"/>
      <c r="CDY37" s="30"/>
      <c r="CDZ37" s="30"/>
      <c r="CEA37" s="30"/>
      <c r="CEB37" s="30"/>
      <c r="CEC37" s="30"/>
      <c r="CED37" s="30"/>
      <c r="CEE37" s="30"/>
      <c r="CEF37" s="30"/>
      <c r="CEG37" s="30"/>
      <c r="CEH37" s="30"/>
      <c r="CEI37" s="30"/>
      <c r="CEJ37" s="30"/>
      <c r="CEK37" s="30"/>
      <c r="CEL37" s="30"/>
      <c r="CEM37" s="30"/>
      <c r="CEN37" s="30"/>
      <c r="CEO37" s="30"/>
      <c r="CEP37" s="30"/>
      <c r="CEQ37" s="30"/>
      <c r="CER37" s="30"/>
      <c r="CES37" s="30"/>
      <c r="CET37" s="30"/>
      <c r="CEU37" s="30"/>
      <c r="CEV37" s="30"/>
      <c r="CEW37" s="30"/>
      <c r="CEX37" s="30"/>
      <c r="CEY37" s="30"/>
      <c r="CEZ37" s="30"/>
      <c r="CFA37" s="30"/>
      <c r="CFB37" s="30"/>
      <c r="CFC37" s="30"/>
      <c r="CFD37" s="30"/>
      <c r="CFE37" s="30"/>
      <c r="CFF37" s="30"/>
      <c r="CFG37" s="30"/>
      <c r="CFH37" s="30"/>
      <c r="CFI37" s="30"/>
      <c r="CFJ37" s="30"/>
      <c r="CFK37" s="30"/>
      <c r="CFL37" s="30"/>
      <c r="CFM37" s="30"/>
      <c r="CFN37" s="30"/>
      <c r="CFO37" s="30"/>
      <c r="CFP37" s="30"/>
      <c r="CFQ37" s="30"/>
      <c r="CFR37" s="30"/>
      <c r="CFS37" s="30"/>
      <c r="CFT37" s="30"/>
      <c r="CFU37" s="30"/>
      <c r="CFV37" s="30"/>
      <c r="CFW37" s="30"/>
      <c r="CFX37" s="30"/>
      <c r="CFY37" s="30"/>
      <c r="CFZ37" s="30"/>
      <c r="CGA37" s="30"/>
      <c r="CGB37" s="30"/>
      <c r="CGC37" s="30"/>
      <c r="CGD37" s="30"/>
      <c r="CGE37" s="30"/>
      <c r="CGF37" s="30"/>
      <c r="CGG37" s="30"/>
      <c r="CGH37" s="30"/>
      <c r="CGI37" s="30"/>
      <c r="CGJ37" s="30"/>
      <c r="CGK37" s="30"/>
      <c r="CGL37" s="30"/>
      <c r="CGM37" s="30"/>
      <c r="CGN37" s="30"/>
      <c r="CGO37" s="30"/>
      <c r="CGP37" s="30"/>
      <c r="CGQ37" s="30"/>
      <c r="CGR37" s="30"/>
      <c r="CGS37" s="30"/>
      <c r="CGT37" s="30"/>
      <c r="CGU37" s="30"/>
      <c r="CGV37" s="30"/>
      <c r="CGW37" s="30"/>
      <c r="CGX37" s="30"/>
      <c r="CGY37" s="30"/>
      <c r="CGZ37" s="30"/>
      <c r="CHA37" s="30"/>
      <c r="CHB37" s="30"/>
      <c r="CHC37" s="30"/>
      <c r="CHD37" s="30"/>
      <c r="CHE37" s="30"/>
      <c r="CHF37" s="30"/>
      <c r="CHG37" s="30"/>
      <c r="CHH37" s="30"/>
      <c r="CHI37" s="30"/>
      <c r="CHJ37" s="30"/>
      <c r="CHK37" s="30"/>
      <c r="CHL37" s="30"/>
      <c r="CHM37" s="30"/>
      <c r="CHN37" s="30"/>
      <c r="CHO37" s="30"/>
      <c r="CHP37" s="30"/>
      <c r="CHQ37" s="30"/>
      <c r="CHR37" s="30"/>
      <c r="CHS37" s="30"/>
      <c r="CHT37" s="30"/>
      <c r="CHU37" s="30"/>
      <c r="CHV37" s="30"/>
      <c r="CHW37" s="30"/>
      <c r="CHX37" s="30"/>
      <c r="CHY37" s="30"/>
      <c r="CHZ37" s="30"/>
      <c r="CIA37" s="30"/>
      <c r="CIB37" s="30"/>
      <c r="CIC37" s="30"/>
      <c r="CID37" s="30"/>
      <c r="CIE37" s="30"/>
      <c r="CIF37" s="30"/>
      <c r="CIG37" s="30"/>
      <c r="CIH37" s="30"/>
      <c r="CII37" s="30"/>
      <c r="CIJ37" s="30"/>
      <c r="CIK37" s="30"/>
      <c r="CIL37" s="30"/>
      <c r="CIM37" s="30"/>
      <c r="CIN37" s="30"/>
      <c r="CIO37" s="30"/>
      <c r="CIP37" s="30"/>
      <c r="CIQ37" s="30"/>
      <c r="CIR37" s="30"/>
      <c r="CIS37" s="30"/>
      <c r="CIT37" s="30"/>
      <c r="CIU37" s="30"/>
      <c r="CIV37" s="30"/>
      <c r="CIW37" s="30"/>
      <c r="CIX37" s="30"/>
      <c r="CIY37" s="30"/>
      <c r="CIZ37" s="30"/>
      <c r="CJA37" s="30"/>
      <c r="CJB37" s="30"/>
      <c r="CJC37" s="30"/>
      <c r="CJD37" s="30"/>
      <c r="CJE37" s="30"/>
      <c r="CJF37" s="30"/>
      <c r="CJG37" s="30"/>
      <c r="CJH37" s="30"/>
      <c r="CJI37" s="30"/>
      <c r="CJJ37" s="30"/>
      <c r="CJK37" s="30"/>
      <c r="CJL37" s="30"/>
      <c r="CJM37" s="30"/>
      <c r="CJN37" s="30"/>
      <c r="CJO37" s="30"/>
      <c r="CJP37" s="30"/>
      <c r="CJQ37" s="30"/>
      <c r="CJR37" s="30"/>
      <c r="CJS37" s="30"/>
      <c r="CJT37" s="30"/>
      <c r="CJU37" s="30"/>
      <c r="CJV37" s="30"/>
      <c r="CJW37" s="30"/>
      <c r="CJX37" s="30"/>
      <c r="CJY37" s="30"/>
      <c r="CJZ37" s="30"/>
      <c r="CKA37" s="30"/>
      <c r="CKB37" s="30"/>
      <c r="CKC37" s="30"/>
      <c r="CKD37" s="30"/>
      <c r="CKE37" s="30"/>
      <c r="CKF37" s="30"/>
      <c r="CKG37" s="30"/>
      <c r="CKH37" s="30"/>
      <c r="CKI37" s="30"/>
      <c r="CKJ37" s="30"/>
      <c r="CKK37" s="30"/>
      <c r="CKL37" s="30"/>
      <c r="CKM37" s="30"/>
      <c r="CKN37" s="30"/>
      <c r="CKO37" s="30"/>
      <c r="CKP37" s="30"/>
      <c r="CKQ37" s="30"/>
      <c r="CKR37" s="30"/>
      <c r="CKS37" s="30"/>
      <c r="CKT37" s="30"/>
      <c r="CKU37" s="30"/>
      <c r="CKV37" s="30"/>
      <c r="CKW37" s="30"/>
      <c r="CKX37" s="30"/>
      <c r="CKY37" s="30"/>
      <c r="CKZ37" s="30"/>
      <c r="CLA37" s="30"/>
      <c r="CLB37" s="30"/>
      <c r="CLC37" s="30"/>
      <c r="CLD37" s="30"/>
      <c r="CLE37" s="30"/>
      <c r="CLF37" s="30"/>
      <c r="CLG37" s="30"/>
      <c r="CLH37" s="30"/>
      <c r="CLI37" s="30"/>
      <c r="CLJ37" s="30"/>
      <c r="CLK37" s="30"/>
      <c r="CLL37" s="30"/>
      <c r="CLM37" s="30"/>
      <c r="CLN37" s="30"/>
      <c r="CLO37" s="30"/>
      <c r="CLP37" s="30"/>
      <c r="CLQ37" s="30"/>
      <c r="CLR37" s="30"/>
      <c r="CLS37" s="30"/>
      <c r="CLT37" s="30"/>
      <c r="CLU37" s="30"/>
      <c r="CLV37" s="30"/>
      <c r="CLW37" s="30"/>
      <c r="CLX37" s="30"/>
      <c r="CLY37" s="30"/>
      <c r="CLZ37" s="30"/>
      <c r="CMA37" s="30"/>
      <c r="CMB37" s="30"/>
      <c r="CMC37" s="30"/>
      <c r="CMD37" s="30"/>
      <c r="CME37" s="30"/>
      <c r="CMF37" s="30"/>
      <c r="CMG37" s="30"/>
      <c r="CMH37" s="30"/>
      <c r="CMI37" s="30"/>
      <c r="CMJ37" s="30"/>
      <c r="CMK37" s="30"/>
      <c r="CML37" s="30"/>
      <c r="CMM37" s="30"/>
      <c r="CMN37" s="30"/>
      <c r="CMO37" s="30"/>
      <c r="CMP37" s="30"/>
      <c r="CMQ37" s="30"/>
      <c r="CMR37" s="30"/>
      <c r="CMS37" s="30"/>
      <c r="CMT37" s="30"/>
      <c r="CMU37" s="30"/>
      <c r="CMV37" s="30"/>
      <c r="CMW37" s="30"/>
      <c r="CMX37" s="30"/>
      <c r="CMY37" s="30"/>
      <c r="CMZ37" s="30"/>
      <c r="CNA37" s="30"/>
      <c r="CNB37" s="30"/>
      <c r="CNC37" s="30"/>
      <c r="CND37" s="30"/>
      <c r="CNE37" s="30"/>
      <c r="CNF37" s="30"/>
      <c r="CNG37" s="30"/>
      <c r="CNH37" s="30"/>
      <c r="CNI37" s="30"/>
      <c r="CNJ37" s="30"/>
      <c r="CNK37" s="30"/>
      <c r="CNL37" s="30"/>
      <c r="CNM37" s="30"/>
      <c r="CNN37" s="30"/>
      <c r="CNO37" s="30"/>
      <c r="CNP37" s="30"/>
      <c r="CNQ37" s="30"/>
      <c r="CNR37" s="30"/>
      <c r="CNS37" s="30"/>
      <c r="CNT37" s="30"/>
      <c r="CNU37" s="30"/>
      <c r="CNV37" s="30"/>
      <c r="CNW37" s="30"/>
      <c r="CNX37" s="30"/>
      <c r="CNY37" s="30"/>
      <c r="CNZ37" s="30"/>
      <c r="COA37" s="30"/>
      <c r="COB37" s="30"/>
      <c r="COC37" s="30"/>
      <c r="COD37" s="30"/>
      <c r="COE37" s="30"/>
      <c r="COF37" s="30"/>
      <c r="COG37" s="30"/>
      <c r="COH37" s="30"/>
      <c r="COI37" s="30"/>
      <c r="COJ37" s="30"/>
      <c r="COK37" s="30"/>
      <c r="COL37" s="30"/>
      <c r="COM37" s="30"/>
      <c r="CON37" s="30"/>
      <c r="COO37" s="30"/>
      <c r="COP37" s="30"/>
      <c r="COQ37" s="30"/>
      <c r="COR37" s="30"/>
      <c r="COS37" s="30"/>
      <c r="COT37" s="30"/>
      <c r="COU37" s="30"/>
      <c r="COV37" s="30"/>
      <c r="COW37" s="30"/>
      <c r="COX37" s="30"/>
      <c r="COY37" s="30"/>
      <c r="COZ37" s="30"/>
      <c r="CPA37" s="30"/>
      <c r="CPB37" s="30"/>
      <c r="CPC37" s="30"/>
      <c r="CPD37" s="30"/>
      <c r="CPE37" s="30"/>
      <c r="CPF37" s="30"/>
      <c r="CPG37" s="30"/>
      <c r="CPH37" s="30"/>
      <c r="CPI37" s="30"/>
      <c r="CPJ37" s="30"/>
      <c r="CPK37" s="30"/>
      <c r="CPL37" s="30"/>
      <c r="CPM37" s="30"/>
      <c r="CPN37" s="30"/>
      <c r="CPO37" s="30"/>
      <c r="CPP37" s="30"/>
      <c r="CPQ37" s="30"/>
      <c r="CPR37" s="30"/>
      <c r="CPS37" s="30"/>
      <c r="CPT37" s="30"/>
      <c r="CPU37" s="30"/>
      <c r="CPV37" s="30"/>
      <c r="CPW37" s="30"/>
      <c r="CPX37" s="30"/>
      <c r="CPY37" s="30"/>
      <c r="CPZ37" s="30"/>
      <c r="CQA37" s="30"/>
      <c r="CQB37" s="30"/>
      <c r="CQC37" s="30"/>
      <c r="CQD37" s="30"/>
      <c r="CQE37" s="30"/>
      <c r="CQF37" s="30"/>
      <c r="CQG37" s="30"/>
      <c r="CQH37" s="30"/>
      <c r="CQI37" s="30"/>
      <c r="CQJ37" s="30"/>
      <c r="CQK37" s="30"/>
      <c r="CQL37" s="30"/>
      <c r="CQM37" s="30"/>
      <c r="CQN37" s="30"/>
      <c r="CQO37" s="30"/>
      <c r="CQP37" s="30"/>
      <c r="CQQ37" s="30"/>
      <c r="CQR37" s="30"/>
      <c r="CQS37" s="30"/>
      <c r="CQT37" s="30"/>
      <c r="CQU37" s="30"/>
      <c r="CQV37" s="30"/>
      <c r="CQW37" s="30"/>
      <c r="CQX37" s="30"/>
      <c r="CQY37" s="30"/>
      <c r="CQZ37" s="30"/>
      <c r="CRA37" s="30"/>
      <c r="CRB37" s="30"/>
      <c r="CRC37" s="30"/>
      <c r="CRD37" s="30"/>
      <c r="CRE37" s="30"/>
      <c r="CRF37" s="30"/>
      <c r="CRG37" s="30"/>
      <c r="CRH37" s="30"/>
      <c r="CRI37" s="30"/>
      <c r="CRJ37" s="30"/>
      <c r="CRK37" s="30"/>
      <c r="CRL37" s="30"/>
      <c r="CRM37" s="30"/>
      <c r="CRN37" s="30"/>
      <c r="CRO37" s="30"/>
      <c r="CRP37" s="30"/>
      <c r="CRQ37" s="30"/>
      <c r="CRR37" s="30"/>
      <c r="CRS37" s="30"/>
      <c r="CRT37" s="30"/>
      <c r="CRU37" s="30"/>
      <c r="CRV37" s="30"/>
      <c r="CRW37" s="30"/>
      <c r="CRX37" s="30"/>
      <c r="CRY37" s="30"/>
      <c r="CRZ37" s="30"/>
      <c r="CSA37" s="30"/>
      <c r="CSB37" s="30"/>
      <c r="CSC37" s="30"/>
      <c r="CSD37" s="30"/>
      <c r="CSE37" s="30"/>
      <c r="CSF37" s="30"/>
      <c r="CSG37" s="30"/>
      <c r="CSH37" s="30"/>
      <c r="CSI37" s="30"/>
      <c r="CSJ37" s="30"/>
      <c r="CSK37" s="30"/>
      <c r="CSL37" s="30"/>
      <c r="CSM37" s="30"/>
      <c r="CSN37" s="30"/>
      <c r="CSO37" s="30"/>
      <c r="CSP37" s="30"/>
      <c r="CSQ37" s="30"/>
      <c r="CSR37" s="30"/>
      <c r="CSS37" s="30"/>
      <c r="CST37" s="30"/>
      <c r="CSU37" s="30"/>
      <c r="CSV37" s="30"/>
      <c r="CSW37" s="30"/>
      <c r="CSX37" s="30"/>
      <c r="CSY37" s="30"/>
      <c r="CSZ37" s="30"/>
      <c r="CTA37" s="30"/>
      <c r="CTB37" s="30"/>
      <c r="CTC37" s="30"/>
      <c r="CTD37" s="30"/>
      <c r="CTE37" s="30"/>
      <c r="CTF37" s="30"/>
      <c r="CTG37" s="30"/>
      <c r="CTH37" s="30"/>
      <c r="CTI37" s="30"/>
      <c r="CTJ37" s="30"/>
      <c r="CTK37" s="30"/>
      <c r="CTL37" s="30"/>
      <c r="CTM37" s="30"/>
      <c r="CTN37" s="30"/>
      <c r="CTO37" s="30"/>
      <c r="CTP37" s="30"/>
      <c r="CTQ37" s="30"/>
      <c r="CTR37" s="30"/>
      <c r="CTS37" s="30"/>
      <c r="CTT37" s="30"/>
      <c r="CTU37" s="30"/>
      <c r="CTV37" s="30"/>
      <c r="CTW37" s="30"/>
      <c r="CTX37" s="30"/>
      <c r="CTY37" s="30"/>
      <c r="CTZ37" s="30"/>
      <c r="CUA37" s="30"/>
    </row>
    <row r="38" s="27" customFormat="1" ht="20" customHeight="1" spans="1:2575">
      <c r="A38" s="268">
        <v>47</v>
      </c>
      <c r="B38" s="268" t="s">
        <v>14</v>
      </c>
      <c r="C38" s="268" t="s">
        <v>54</v>
      </c>
      <c r="D38" s="161" t="s">
        <v>262</v>
      </c>
      <c r="E38" s="378" t="s">
        <v>139</v>
      </c>
      <c r="F38" s="276"/>
      <c r="G38" s="379" t="s">
        <v>768</v>
      </c>
      <c r="H38" s="275" t="s">
        <v>769</v>
      </c>
      <c r="I38" s="275"/>
      <c r="J38" s="31"/>
      <c r="K38" s="31"/>
      <c r="L38" s="31" t="s">
        <v>667</v>
      </c>
      <c r="M38" s="29" t="s">
        <v>44</v>
      </c>
      <c r="N38" s="94">
        <v>45763</v>
      </c>
      <c r="O38" s="177">
        <v>45945</v>
      </c>
      <c r="P38" s="287">
        <v>100</v>
      </c>
      <c r="Q38" s="294"/>
      <c r="R38" s="295" t="s">
        <v>145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  <c r="NS38" s="30"/>
      <c r="NT38" s="30"/>
      <c r="NU38" s="30"/>
      <c r="NV38" s="30"/>
      <c r="NW38" s="30"/>
      <c r="NX38" s="30"/>
      <c r="NY38" s="30"/>
      <c r="NZ38" s="30"/>
      <c r="OA38" s="30"/>
      <c r="OB38" s="30"/>
      <c r="OC38" s="30"/>
      <c r="OD38" s="30"/>
      <c r="OE38" s="30"/>
      <c r="OF38" s="30"/>
      <c r="OG38" s="30"/>
      <c r="OH38" s="30"/>
      <c r="OI38" s="30"/>
      <c r="OJ38" s="30"/>
      <c r="OK38" s="30"/>
      <c r="OL38" s="30"/>
      <c r="OM38" s="30"/>
      <c r="ON38" s="30"/>
      <c r="OO38" s="30"/>
      <c r="OP38" s="30"/>
      <c r="OQ38" s="30"/>
      <c r="OR38" s="30"/>
      <c r="OS38" s="30"/>
      <c r="OT38" s="30"/>
      <c r="OU38" s="30"/>
      <c r="OV38" s="30"/>
      <c r="OW38" s="30"/>
      <c r="OX38" s="30"/>
      <c r="OY38" s="30"/>
      <c r="OZ38" s="30"/>
      <c r="PA38" s="30"/>
      <c r="PB38" s="30"/>
      <c r="PC38" s="30"/>
      <c r="PD38" s="30"/>
      <c r="PE38" s="30"/>
      <c r="PF38" s="30"/>
      <c r="PG38" s="30"/>
      <c r="PH38" s="30"/>
      <c r="PI38" s="30"/>
      <c r="PJ38" s="30"/>
      <c r="PK38" s="30"/>
      <c r="PL38" s="30"/>
      <c r="PM38" s="30"/>
      <c r="PN38" s="30"/>
      <c r="PO38" s="30"/>
      <c r="PP38" s="30"/>
      <c r="PQ38" s="30"/>
      <c r="PR38" s="30"/>
      <c r="PS38" s="30"/>
      <c r="PT38" s="30"/>
      <c r="PU38" s="30"/>
      <c r="PV38" s="30"/>
      <c r="PW38" s="30"/>
      <c r="PX38" s="30"/>
      <c r="PY38" s="30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30"/>
      <c r="RH38" s="30"/>
      <c r="RI38" s="30"/>
      <c r="RJ38" s="30"/>
      <c r="RK38" s="30"/>
      <c r="RL38" s="30"/>
      <c r="RM38" s="30"/>
      <c r="RN38" s="30"/>
      <c r="RO38" s="30"/>
      <c r="RP38" s="30"/>
      <c r="RQ38" s="30"/>
      <c r="RR38" s="30"/>
      <c r="RS38" s="30"/>
      <c r="RT38" s="30"/>
      <c r="RU38" s="30"/>
      <c r="RV38" s="30"/>
      <c r="RW38" s="30"/>
      <c r="RX38" s="30"/>
      <c r="RY38" s="30"/>
      <c r="RZ38" s="30"/>
      <c r="SA38" s="30"/>
      <c r="SB38" s="30"/>
      <c r="SC38" s="30"/>
      <c r="SD38" s="30"/>
      <c r="SE38" s="30"/>
      <c r="SF38" s="30"/>
      <c r="SG38" s="30"/>
      <c r="SH38" s="30"/>
      <c r="SI38" s="30"/>
      <c r="SJ38" s="30"/>
      <c r="SK38" s="30"/>
      <c r="SL38" s="30"/>
      <c r="SM38" s="30"/>
      <c r="SN38" s="30"/>
      <c r="SO38" s="30"/>
      <c r="SP38" s="30"/>
      <c r="SQ38" s="30"/>
      <c r="SR38" s="30"/>
      <c r="SS38" s="30"/>
      <c r="ST38" s="30"/>
      <c r="SU38" s="30"/>
      <c r="SV38" s="30"/>
      <c r="SW38" s="30"/>
      <c r="SX38" s="30"/>
      <c r="SY38" s="30"/>
      <c r="SZ38" s="30"/>
      <c r="TA38" s="30"/>
      <c r="TB38" s="30"/>
      <c r="TC38" s="30"/>
      <c r="TD38" s="30"/>
      <c r="TE38" s="30"/>
      <c r="TF38" s="30"/>
      <c r="TG38" s="30"/>
      <c r="TH38" s="30"/>
      <c r="TI38" s="30"/>
      <c r="TJ38" s="30"/>
      <c r="TK38" s="30"/>
      <c r="TL38" s="30"/>
      <c r="TM38" s="30"/>
      <c r="TN38" s="30"/>
      <c r="TO38" s="30"/>
      <c r="TP38" s="30"/>
      <c r="TQ38" s="30"/>
      <c r="TR38" s="30"/>
      <c r="TS38" s="30"/>
      <c r="TT38" s="30"/>
      <c r="TU38" s="30"/>
      <c r="TV38" s="30"/>
      <c r="TW38" s="30"/>
      <c r="TX38" s="30"/>
      <c r="TY38" s="30"/>
      <c r="TZ38" s="30"/>
      <c r="UA38" s="30"/>
      <c r="UB38" s="30"/>
      <c r="UC38" s="30"/>
      <c r="UD38" s="30"/>
      <c r="UE38" s="30"/>
      <c r="UF38" s="30"/>
      <c r="UG38" s="30"/>
      <c r="UH38" s="30"/>
      <c r="UI38" s="30"/>
      <c r="UJ38" s="30"/>
      <c r="UK38" s="30"/>
      <c r="UL38" s="30"/>
      <c r="UM38" s="30"/>
      <c r="UN38" s="30"/>
      <c r="UO38" s="30"/>
      <c r="UP38" s="30"/>
      <c r="UQ38" s="30"/>
      <c r="UR38" s="30"/>
      <c r="US38" s="30"/>
      <c r="UT38" s="30"/>
      <c r="UU38" s="30"/>
      <c r="UV38" s="30"/>
      <c r="UW38" s="30"/>
      <c r="UX38" s="30"/>
      <c r="UY38" s="30"/>
      <c r="UZ38" s="30"/>
      <c r="VA38" s="30"/>
      <c r="VB38" s="30"/>
      <c r="VC38" s="30"/>
      <c r="VD38" s="30"/>
      <c r="VE38" s="30"/>
      <c r="VF38" s="30"/>
      <c r="VG38" s="30"/>
      <c r="VH38" s="30"/>
      <c r="VI38" s="30"/>
      <c r="VJ38" s="30"/>
      <c r="VK38" s="30"/>
      <c r="VL38" s="30"/>
      <c r="VM38" s="30"/>
      <c r="VN38" s="30"/>
      <c r="VO38" s="30"/>
      <c r="VP38" s="30"/>
      <c r="VQ38" s="30"/>
      <c r="VR38" s="30"/>
      <c r="VS38" s="30"/>
      <c r="VT38" s="30"/>
      <c r="VU38" s="30"/>
      <c r="VV38" s="30"/>
      <c r="VW38" s="30"/>
      <c r="VX38" s="30"/>
      <c r="VY38" s="30"/>
      <c r="VZ38" s="30"/>
      <c r="WA38" s="30"/>
      <c r="WB38" s="30"/>
      <c r="WC38" s="30"/>
      <c r="WD38" s="30"/>
      <c r="WE38" s="30"/>
      <c r="WF38" s="30"/>
      <c r="WG38" s="30"/>
      <c r="WH38" s="30"/>
      <c r="WI38" s="30"/>
      <c r="WJ38" s="30"/>
      <c r="WK38" s="30"/>
      <c r="WL38" s="30"/>
      <c r="WM38" s="30"/>
      <c r="WN38" s="30"/>
      <c r="WO38" s="30"/>
      <c r="WP38" s="30"/>
      <c r="WQ38" s="30"/>
      <c r="WR38" s="30"/>
      <c r="WS38" s="30"/>
      <c r="WT38" s="30"/>
      <c r="WU38" s="30"/>
      <c r="WV38" s="30"/>
      <c r="WW38" s="30"/>
      <c r="WX38" s="30"/>
      <c r="WY38" s="30"/>
      <c r="WZ38" s="30"/>
      <c r="XA38" s="30"/>
      <c r="XB38" s="30"/>
      <c r="XC38" s="30"/>
      <c r="XD38" s="30"/>
      <c r="XE38" s="30"/>
      <c r="XF38" s="30"/>
      <c r="XG38" s="30"/>
      <c r="XH38" s="30"/>
      <c r="XI38" s="30"/>
      <c r="XJ38" s="30"/>
      <c r="XK38" s="30"/>
      <c r="XL38" s="30"/>
      <c r="XM38" s="30"/>
      <c r="XN38" s="30"/>
      <c r="XO38" s="30"/>
      <c r="XP38" s="30"/>
      <c r="XQ38" s="30"/>
      <c r="XR38" s="30"/>
      <c r="XS38" s="30"/>
      <c r="XT38" s="30"/>
      <c r="XU38" s="30"/>
      <c r="XV38" s="30"/>
      <c r="XW38" s="30"/>
      <c r="XX38" s="30"/>
      <c r="XY38" s="30"/>
      <c r="XZ38" s="30"/>
      <c r="YA38" s="30"/>
      <c r="YB38" s="30"/>
      <c r="YC38" s="30"/>
      <c r="YD38" s="30"/>
      <c r="YE38" s="30"/>
      <c r="YF38" s="30"/>
      <c r="YG38" s="30"/>
      <c r="YH38" s="30"/>
      <c r="YI38" s="30"/>
      <c r="YJ38" s="30"/>
      <c r="YK38" s="30"/>
      <c r="YL38" s="30"/>
      <c r="YM38" s="30"/>
      <c r="YN38" s="30"/>
      <c r="YO38" s="30"/>
      <c r="YP38" s="30"/>
      <c r="YQ38" s="30"/>
      <c r="YR38" s="30"/>
      <c r="YS38" s="30"/>
      <c r="YT38" s="30"/>
      <c r="YU38" s="30"/>
      <c r="YV38" s="30"/>
      <c r="YW38" s="30"/>
      <c r="YX38" s="30"/>
      <c r="YY38" s="30"/>
      <c r="YZ38" s="30"/>
      <c r="ZA38" s="30"/>
      <c r="ZB38" s="30"/>
      <c r="ZC38" s="30"/>
      <c r="ZD38" s="30"/>
      <c r="ZE38" s="30"/>
      <c r="ZF38" s="30"/>
      <c r="ZG38" s="30"/>
      <c r="ZH38" s="30"/>
      <c r="ZI38" s="30"/>
      <c r="ZJ38" s="30"/>
      <c r="ZK38" s="30"/>
      <c r="ZL38" s="30"/>
      <c r="ZM38" s="30"/>
      <c r="ZN38" s="30"/>
      <c r="ZO38" s="30"/>
      <c r="ZP38" s="30"/>
      <c r="ZQ38" s="30"/>
      <c r="ZR38" s="30"/>
      <c r="ZS38" s="30"/>
      <c r="ZT38" s="30"/>
      <c r="ZU38" s="30"/>
      <c r="ZV38" s="30"/>
      <c r="ZW38" s="30"/>
      <c r="ZX38" s="30"/>
      <c r="ZY38" s="30"/>
      <c r="ZZ38" s="30"/>
      <c r="AAA38" s="30"/>
      <c r="AAB38" s="30"/>
      <c r="AAC38" s="30"/>
      <c r="AAD38" s="30"/>
      <c r="AAE38" s="30"/>
      <c r="AAF38" s="30"/>
      <c r="AAG38" s="30"/>
      <c r="AAH38" s="30"/>
      <c r="AAI38" s="30"/>
      <c r="AAJ38" s="30"/>
      <c r="AAK38" s="30"/>
      <c r="AAL38" s="30"/>
      <c r="AAM38" s="30"/>
      <c r="AAN38" s="30"/>
      <c r="AAO38" s="30"/>
      <c r="AAP38" s="30"/>
      <c r="AAQ38" s="30"/>
      <c r="AAR38" s="30"/>
      <c r="AAS38" s="30"/>
      <c r="AAT38" s="30"/>
      <c r="AAU38" s="30"/>
      <c r="AAV38" s="30"/>
      <c r="AAW38" s="30"/>
      <c r="AAX38" s="30"/>
      <c r="AAY38" s="30"/>
      <c r="AAZ38" s="30"/>
      <c r="ABA38" s="30"/>
      <c r="ABB38" s="30"/>
      <c r="ABC38" s="30"/>
      <c r="ABD38" s="30"/>
      <c r="ABE38" s="30"/>
      <c r="ABF38" s="30"/>
      <c r="ABG38" s="30"/>
      <c r="ABH38" s="30"/>
      <c r="ABI38" s="30"/>
      <c r="ABJ38" s="30"/>
      <c r="ABK38" s="30"/>
      <c r="ABL38" s="30"/>
      <c r="ABM38" s="30"/>
      <c r="ABN38" s="30"/>
      <c r="ABO38" s="30"/>
      <c r="ABP38" s="30"/>
      <c r="ABQ38" s="30"/>
      <c r="ABR38" s="30"/>
      <c r="ABS38" s="30"/>
      <c r="ABT38" s="30"/>
      <c r="ABU38" s="30"/>
      <c r="ABV38" s="30"/>
      <c r="ABW38" s="30"/>
      <c r="ABX38" s="30"/>
      <c r="ABY38" s="30"/>
      <c r="ABZ38" s="30"/>
      <c r="ACA38" s="30"/>
      <c r="ACB38" s="30"/>
      <c r="ACC38" s="30"/>
      <c r="ACD38" s="30"/>
      <c r="ACE38" s="30"/>
      <c r="ACF38" s="30"/>
      <c r="ACG38" s="30"/>
      <c r="ACH38" s="30"/>
      <c r="ACI38" s="30"/>
      <c r="ACJ38" s="30"/>
      <c r="ACK38" s="30"/>
      <c r="ACL38" s="30"/>
      <c r="ACM38" s="30"/>
      <c r="ACN38" s="30"/>
      <c r="ACO38" s="30"/>
      <c r="ACP38" s="30"/>
      <c r="ACQ38" s="30"/>
      <c r="ACR38" s="30"/>
      <c r="ACS38" s="30"/>
      <c r="ACT38" s="30"/>
      <c r="ACU38" s="30"/>
      <c r="ACV38" s="30"/>
      <c r="ACW38" s="30"/>
      <c r="ACX38" s="30"/>
      <c r="ACY38" s="30"/>
      <c r="ACZ38" s="30"/>
      <c r="ADA38" s="30"/>
      <c r="ADB38" s="30"/>
      <c r="ADC38" s="30"/>
      <c r="ADD38" s="30"/>
      <c r="ADE38" s="30"/>
      <c r="ADF38" s="30"/>
      <c r="ADG38" s="30"/>
      <c r="ADH38" s="30"/>
      <c r="ADI38" s="30"/>
      <c r="ADJ38" s="30"/>
      <c r="ADK38" s="30"/>
      <c r="ADL38" s="30"/>
      <c r="ADM38" s="30"/>
      <c r="ADN38" s="30"/>
      <c r="ADO38" s="30"/>
      <c r="ADP38" s="30"/>
      <c r="ADQ38" s="30"/>
      <c r="ADR38" s="30"/>
      <c r="ADS38" s="30"/>
      <c r="ADT38" s="30"/>
      <c r="ADU38" s="30"/>
      <c r="ADV38" s="30"/>
      <c r="ADW38" s="30"/>
      <c r="ADX38" s="30"/>
      <c r="ADY38" s="30"/>
      <c r="ADZ38" s="30"/>
      <c r="AEA38" s="30"/>
      <c r="AEB38" s="30"/>
      <c r="AEC38" s="30"/>
      <c r="AED38" s="30"/>
      <c r="AEE38" s="30"/>
      <c r="AEF38" s="30"/>
      <c r="AEG38" s="30"/>
      <c r="AEH38" s="30"/>
      <c r="AEI38" s="30"/>
      <c r="AEJ38" s="30"/>
      <c r="AEK38" s="30"/>
      <c r="AEL38" s="30"/>
      <c r="AEM38" s="30"/>
      <c r="AEN38" s="30"/>
      <c r="AEO38" s="30"/>
      <c r="AEP38" s="30"/>
      <c r="AEQ38" s="30"/>
      <c r="AER38" s="30"/>
      <c r="AES38" s="30"/>
      <c r="AET38" s="30"/>
      <c r="AEU38" s="30"/>
      <c r="AEV38" s="30"/>
      <c r="AEW38" s="30"/>
      <c r="AEX38" s="30"/>
      <c r="AEY38" s="30"/>
      <c r="AEZ38" s="30"/>
      <c r="AFA38" s="30"/>
      <c r="AFB38" s="30"/>
      <c r="AFC38" s="30"/>
      <c r="AFD38" s="30"/>
      <c r="AFE38" s="30"/>
      <c r="AFF38" s="30"/>
      <c r="AFG38" s="30"/>
      <c r="AFH38" s="30"/>
      <c r="AFI38" s="30"/>
      <c r="AFJ38" s="30"/>
      <c r="AFK38" s="30"/>
      <c r="AFL38" s="30"/>
      <c r="AFM38" s="30"/>
      <c r="AFN38" s="30"/>
      <c r="AFO38" s="30"/>
      <c r="AFP38" s="30"/>
      <c r="AFQ38" s="30"/>
      <c r="AFR38" s="30"/>
      <c r="AFS38" s="30"/>
      <c r="AFT38" s="30"/>
      <c r="AFU38" s="30"/>
      <c r="AFV38" s="30"/>
      <c r="AFW38" s="30"/>
      <c r="AFX38" s="30"/>
      <c r="AFY38" s="30"/>
      <c r="AFZ38" s="30"/>
      <c r="AGA38" s="30"/>
      <c r="AGB38" s="30"/>
      <c r="AGC38" s="30"/>
      <c r="AGD38" s="30"/>
      <c r="AGE38" s="30"/>
      <c r="AGF38" s="30"/>
      <c r="AGG38" s="30"/>
      <c r="AGH38" s="30"/>
      <c r="AGI38" s="30"/>
      <c r="AGJ38" s="30"/>
      <c r="AGK38" s="30"/>
      <c r="AGL38" s="30"/>
      <c r="AGM38" s="30"/>
      <c r="AGN38" s="30"/>
      <c r="AGO38" s="30"/>
      <c r="AGP38" s="30"/>
      <c r="AGQ38" s="30"/>
      <c r="AGR38" s="30"/>
      <c r="AGS38" s="30"/>
      <c r="AGT38" s="30"/>
      <c r="AGU38" s="30"/>
      <c r="AGV38" s="30"/>
      <c r="AGW38" s="30"/>
      <c r="AGX38" s="30"/>
      <c r="AGY38" s="30"/>
      <c r="AGZ38" s="30"/>
      <c r="AHA38" s="30"/>
      <c r="AHB38" s="30"/>
      <c r="AHC38" s="30"/>
      <c r="AHD38" s="30"/>
      <c r="AHE38" s="30"/>
      <c r="AHF38" s="30"/>
      <c r="AHG38" s="30"/>
      <c r="AHH38" s="30"/>
      <c r="AHI38" s="30"/>
      <c r="AHJ38" s="30"/>
      <c r="AHK38" s="30"/>
      <c r="AHL38" s="30"/>
      <c r="AHM38" s="30"/>
      <c r="AHN38" s="30"/>
      <c r="AHO38" s="30"/>
      <c r="AHP38" s="30"/>
      <c r="AHQ38" s="30"/>
      <c r="AHR38" s="30"/>
      <c r="AHS38" s="30"/>
      <c r="AHT38" s="30"/>
      <c r="AHU38" s="30"/>
      <c r="AHV38" s="30"/>
      <c r="AHW38" s="30"/>
      <c r="AHX38" s="30"/>
      <c r="AHY38" s="30"/>
      <c r="AHZ38" s="30"/>
      <c r="AIA38" s="30"/>
      <c r="AIB38" s="30"/>
      <c r="AIC38" s="30"/>
      <c r="AID38" s="30"/>
      <c r="AIE38" s="30"/>
      <c r="AIF38" s="30"/>
      <c r="AIG38" s="30"/>
      <c r="AIH38" s="30"/>
      <c r="AII38" s="30"/>
      <c r="AIJ38" s="30"/>
      <c r="AIK38" s="30"/>
      <c r="AIL38" s="30"/>
      <c r="AIM38" s="30"/>
      <c r="AIN38" s="30"/>
      <c r="AIO38" s="30"/>
      <c r="AIP38" s="30"/>
      <c r="AIQ38" s="30"/>
      <c r="AIR38" s="30"/>
      <c r="AIS38" s="30"/>
      <c r="AIT38" s="30"/>
      <c r="AIU38" s="30"/>
      <c r="AIV38" s="30"/>
      <c r="AIW38" s="30"/>
      <c r="AIX38" s="30"/>
      <c r="AIY38" s="30"/>
      <c r="AIZ38" s="30"/>
      <c r="AJA38" s="30"/>
      <c r="AJB38" s="30"/>
      <c r="AJC38" s="30"/>
      <c r="AJD38" s="30"/>
      <c r="AJE38" s="30"/>
      <c r="AJF38" s="30"/>
      <c r="AJG38" s="30"/>
      <c r="AJH38" s="30"/>
      <c r="AJI38" s="30"/>
      <c r="AJJ38" s="30"/>
      <c r="AJK38" s="30"/>
      <c r="AJL38" s="30"/>
      <c r="AJM38" s="30"/>
      <c r="AJN38" s="30"/>
      <c r="AJO38" s="30"/>
      <c r="AJP38" s="30"/>
      <c r="AJQ38" s="30"/>
      <c r="AJR38" s="30"/>
      <c r="AJS38" s="30"/>
      <c r="AJT38" s="30"/>
      <c r="AJU38" s="30"/>
      <c r="AJV38" s="30"/>
      <c r="AJW38" s="30"/>
      <c r="AJX38" s="30"/>
      <c r="AJY38" s="30"/>
      <c r="AJZ38" s="30"/>
      <c r="AKA38" s="30"/>
      <c r="AKB38" s="30"/>
      <c r="AKC38" s="30"/>
      <c r="AKD38" s="30"/>
      <c r="AKE38" s="30"/>
      <c r="AKF38" s="30"/>
      <c r="AKG38" s="30"/>
      <c r="AKH38" s="30"/>
      <c r="AKI38" s="30"/>
      <c r="AKJ38" s="30"/>
      <c r="AKK38" s="30"/>
      <c r="AKL38" s="30"/>
      <c r="AKM38" s="30"/>
      <c r="AKN38" s="30"/>
      <c r="AKO38" s="30"/>
      <c r="AKP38" s="30"/>
      <c r="AKQ38" s="30"/>
      <c r="AKR38" s="30"/>
      <c r="AKS38" s="30"/>
      <c r="AKT38" s="30"/>
      <c r="AKU38" s="30"/>
      <c r="AKV38" s="30"/>
      <c r="AKW38" s="30"/>
      <c r="AKX38" s="30"/>
      <c r="AKY38" s="30"/>
      <c r="AKZ38" s="30"/>
      <c r="ALA38" s="30"/>
      <c r="ALB38" s="30"/>
      <c r="ALC38" s="30"/>
      <c r="ALD38" s="30"/>
      <c r="ALE38" s="30"/>
      <c r="ALF38" s="30"/>
      <c r="ALG38" s="30"/>
      <c r="ALH38" s="30"/>
      <c r="ALI38" s="30"/>
      <c r="ALJ38" s="30"/>
      <c r="ALK38" s="30"/>
      <c r="ALL38" s="30"/>
      <c r="ALM38" s="30"/>
      <c r="ALN38" s="30"/>
      <c r="ALO38" s="30"/>
      <c r="ALP38" s="30"/>
      <c r="ALQ38" s="30"/>
      <c r="ALR38" s="30"/>
      <c r="ALS38" s="30"/>
      <c r="ALT38" s="30"/>
      <c r="ALU38" s="30"/>
      <c r="ALV38" s="30"/>
      <c r="ALW38" s="30"/>
      <c r="ALX38" s="30"/>
      <c r="ALY38" s="30"/>
      <c r="ALZ38" s="30"/>
      <c r="AMA38" s="30"/>
      <c r="AMB38" s="30"/>
      <c r="AMC38" s="30"/>
      <c r="AMD38" s="30"/>
      <c r="AME38" s="30"/>
      <c r="AMF38" s="30"/>
      <c r="AMG38" s="30"/>
      <c r="AMH38" s="30"/>
      <c r="AMI38" s="30"/>
      <c r="AMJ38" s="30"/>
      <c r="AMK38" s="30"/>
      <c r="AML38" s="30"/>
      <c r="AMM38" s="30"/>
      <c r="AMN38" s="30"/>
      <c r="AMO38" s="30"/>
      <c r="AMP38" s="30"/>
      <c r="AMQ38" s="30"/>
      <c r="AMR38" s="30"/>
      <c r="AMS38" s="30"/>
      <c r="AMT38" s="30"/>
      <c r="AMU38" s="30"/>
      <c r="AMV38" s="30"/>
      <c r="AMW38" s="30"/>
      <c r="AMX38" s="30"/>
      <c r="AMY38" s="30"/>
      <c r="AMZ38" s="30"/>
      <c r="ANA38" s="30"/>
      <c r="ANB38" s="30"/>
      <c r="ANC38" s="30"/>
      <c r="AND38" s="30"/>
      <c r="ANE38" s="30"/>
      <c r="ANF38" s="30"/>
      <c r="ANG38" s="30"/>
      <c r="ANH38" s="30"/>
      <c r="ANI38" s="30"/>
      <c r="ANJ38" s="30"/>
      <c r="ANK38" s="30"/>
      <c r="ANL38" s="30"/>
      <c r="ANM38" s="30"/>
      <c r="ANN38" s="30"/>
      <c r="ANO38" s="30"/>
      <c r="ANP38" s="30"/>
      <c r="ANQ38" s="30"/>
      <c r="ANR38" s="30"/>
      <c r="ANS38" s="30"/>
      <c r="ANT38" s="30"/>
      <c r="ANU38" s="30"/>
      <c r="ANV38" s="30"/>
      <c r="ANW38" s="30"/>
      <c r="ANX38" s="30"/>
      <c r="ANY38" s="30"/>
      <c r="ANZ38" s="30"/>
      <c r="AOA38" s="30"/>
      <c r="AOB38" s="30"/>
      <c r="AOC38" s="30"/>
      <c r="AOD38" s="30"/>
      <c r="AOE38" s="30"/>
      <c r="AOF38" s="30"/>
      <c r="AOG38" s="30"/>
      <c r="AOH38" s="30"/>
      <c r="AOI38" s="30"/>
      <c r="AOJ38" s="30"/>
      <c r="AOK38" s="30"/>
      <c r="AOL38" s="30"/>
      <c r="AOM38" s="30"/>
      <c r="AON38" s="30"/>
      <c r="AOO38" s="30"/>
      <c r="AOP38" s="30"/>
      <c r="AOQ38" s="30"/>
      <c r="AOR38" s="30"/>
      <c r="AOS38" s="30"/>
      <c r="AOT38" s="30"/>
      <c r="AOU38" s="30"/>
      <c r="AOV38" s="30"/>
      <c r="AOW38" s="30"/>
      <c r="AOX38" s="30"/>
      <c r="AOY38" s="30"/>
      <c r="AOZ38" s="30"/>
      <c r="APA38" s="30"/>
      <c r="APB38" s="30"/>
      <c r="APC38" s="30"/>
      <c r="APD38" s="30"/>
      <c r="APE38" s="30"/>
      <c r="APF38" s="30"/>
      <c r="APG38" s="30"/>
      <c r="APH38" s="30"/>
      <c r="API38" s="30"/>
      <c r="APJ38" s="30"/>
      <c r="APK38" s="30"/>
      <c r="APL38" s="30"/>
      <c r="APM38" s="30"/>
      <c r="APN38" s="30"/>
      <c r="APO38" s="30"/>
      <c r="APP38" s="30"/>
      <c r="APQ38" s="30"/>
      <c r="APR38" s="30"/>
      <c r="APS38" s="30"/>
      <c r="APT38" s="30"/>
      <c r="APU38" s="30"/>
      <c r="APV38" s="30"/>
      <c r="APW38" s="30"/>
      <c r="APX38" s="30"/>
      <c r="APY38" s="30"/>
      <c r="APZ38" s="30"/>
      <c r="AQA38" s="30"/>
      <c r="AQB38" s="30"/>
      <c r="AQC38" s="30"/>
      <c r="AQD38" s="30"/>
      <c r="AQE38" s="30"/>
      <c r="AQF38" s="30"/>
      <c r="AQG38" s="30"/>
      <c r="AQH38" s="30"/>
      <c r="AQI38" s="30"/>
      <c r="AQJ38" s="30"/>
      <c r="AQK38" s="30"/>
      <c r="AQL38" s="30"/>
      <c r="AQM38" s="30"/>
      <c r="AQN38" s="30"/>
      <c r="AQO38" s="30"/>
      <c r="AQP38" s="30"/>
      <c r="AQQ38" s="30"/>
      <c r="AQR38" s="30"/>
      <c r="AQS38" s="30"/>
      <c r="AQT38" s="30"/>
      <c r="AQU38" s="30"/>
      <c r="AQV38" s="30"/>
      <c r="AQW38" s="30"/>
      <c r="AQX38" s="30"/>
      <c r="AQY38" s="30"/>
      <c r="AQZ38" s="30"/>
      <c r="ARA38" s="30"/>
      <c r="ARB38" s="30"/>
      <c r="ARC38" s="30"/>
      <c r="ARD38" s="30"/>
      <c r="ARE38" s="30"/>
      <c r="ARF38" s="30"/>
      <c r="ARG38" s="30"/>
      <c r="ARH38" s="30"/>
      <c r="ARI38" s="30"/>
      <c r="ARJ38" s="30"/>
      <c r="ARK38" s="30"/>
      <c r="ARL38" s="30"/>
      <c r="ARM38" s="30"/>
      <c r="ARN38" s="30"/>
      <c r="ARO38" s="30"/>
      <c r="ARP38" s="30"/>
      <c r="ARQ38" s="30"/>
      <c r="ARR38" s="30"/>
      <c r="ARS38" s="30"/>
      <c r="ART38" s="30"/>
      <c r="ARU38" s="30"/>
      <c r="ARV38" s="30"/>
      <c r="ARW38" s="30"/>
      <c r="ARX38" s="30"/>
      <c r="ARY38" s="30"/>
      <c r="ARZ38" s="30"/>
      <c r="ASA38" s="30"/>
      <c r="ASB38" s="30"/>
      <c r="ASC38" s="30"/>
      <c r="ASD38" s="30"/>
      <c r="ASE38" s="30"/>
      <c r="ASF38" s="30"/>
      <c r="ASG38" s="30"/>
      <c r="ASH38" s="30"/>
      <c r="ASI38" s="30"/>
      <c r="ASJ38" s="30"/>
      <c r="ASK38" s="30"/>
      <c r="ASL38" s="30"/>
      <c r="ASM38" s="30"/>
      <c r="ASN38" s="30"/>
      <c r="ASO38" s="30"/>
      <c r="ASP38" s="30"/>
      <c r="ASQ38" s="30"/>
      <c r="ASR38" s="30"/>
      <c r="ASS38" s="30"/>
      <c r="AST38" s="30"/>
      <c r="ASU38" s="30"/>
      <c r="ASV38" s="30"/>
      <c r="ASW38" s="30"/>
      <c r="ASX38" s="30"/>
      <c r="ASY38" s="30"/>
      <c r="ASZ38" s="30"/>
      <c r="ATA38" s="30"/>
      <c r="ATB38" s="30"/>
      <c r="ATC38" s="30"/>
      <c r="ATD38" s="30"/>
      <c r="ATE38" s="30"/>
      <c r="ATF38" s="30"/>
      <c r="ATG38" s="30"/>
      <c r="ATH38" s="30"/>
      <c r="ATI38" s="30"/>
      <c r="ATJ38" s="30"/>
      <c r="ATK38" s="30"/>
      <c r="ATL38" s="30"/>
      <c r="ATM38" s="30"/>
      <c r="ATN38" s="30"/>
      <c r="ATO38" s="30"/>
      <c r="ATP38" s="30"/>
      <c r="ATQ38" s="30"/>
      <c r="ATR38" s="30"/>
      <c r="ATS38" s="30"/>
      <c r="ATT38" s="30"/>
      <c r="ATU38" s="30"/>
      <c r="ATV38" s="30"/>
      <c r="ATW38" s="30"/>
      <c r="ATX38" s="30"/>
      <c r="ATY38" s="30"/>
      <c r="ATZ38" s="30"/>
      <c r="AUA38" s="30"/>
      <c r="AUB38" s="30"/>
      <c r="AUC38" s="30"/>
      <c r="AUD38" s="30"/>
      <c r="AUE38" s="30"/>
      <c r="AUF38" s="30"/>
      <c r="AUG38" s="30"/>
      <c r="AUH38" s="30"/>
      <c r="AUI38" s="30"/>
      <c r="AUJ38" s="30"/>
      <c r="AUK38" s="30"/>
      <c r="AUL38" s="30"/>
      <c r="AUM38" s="30"/>
      <c r="AUN38" s="30"/>
      <c r="AUO38" s="30"/>
      <c r="AUP38" s="30"/>
      <c r="AUQ38" s="30"/>
      <c r="AUR38" s="30"/>
      <c r="AUS38" s="30"/>
      <c r="AUT38" s="30"/>
      <c r="AUU38" s="30"/>
      <c r="AUV38" s="30"/>
      <c r="AUW38" s="30"/>
      <c r="AUX38" s="30"/>
      <c r="AUY38" s="30"/>
      <c r="AUZ38" s="30"/>
      <c r="AVA38" s="30"/>
      <c r="AVB38" s="30"/>
      <c r="AVC38" s="30"/>
      <c r="AVD38" s="30"/>
      <c r="AVE38" s="30"/>
      <c r="AVF38" s="30"/>
      <c r="AVG38" s="30"/>
      <c r="AVH38" s="30"/>
      <c r="AVI38" s="30"/>
      <c r="AVJ38" s="30"/>
      <c r="AVK38" s="30"/>
      <c r="AVL38" s="30"/>
      <c r="AVM38" s="30"/>
      <c r="AVN38" s="30"/>
      <c r="AVO38" s="30"/>
      <c r="AVP38" s="30"/>
      <c r="AVQ38" s="30"/>
      <c r="AVR38" s="30"/>
      <c r="AVS38" s="30"/>
      <c r="AVT38" s="30"/>
      <c r="AVU38" s="30"/>
      <c r="AVV38" s="30"/>
      <c r="AVW38" s="30"/>
      <c r="AVX38" s="30"/>
      <c r="AVY38" s="30"/>
      <c r="AVZ38" s="30"/>
      <c r="AWA38" s="30"/>
      <c r="AWB38" s="30"/>
      <c r="AWC38" s="30"/>
      <c r="AWD38" s="30"/>
      <c r="AWE38" s="30"/>
      <c r="AWF38" s="30"/>
      <c r="AWG38" s="30"/>
      <c r="AWH38" s="30"/>
      <c r="AWI38" s="30"/>
      <c r="AWJ38" s="30"/>
      <c r="AWK38" s="30"/>
      <c r="AWL38" s="30"/>
      <c r="AWM38" s="30"/>
      <c r="AWN38" s="30"/>
      <c r="AWO38" s="30"/>
      <c r="AWP38" s="30"/>
      <c r="AWQ38" s="30"/>
      <c r="AWR38" s="30"/>
      <c r="AWS38" s="30"/>
      <c r="AWT38" s="30"/>
      <c r="AWU38" s="30"/>
      <c r="AWV38" s="30"/>
      <c r="AWW38" s="30"/>
      <c r="AWX38" s="30"/>
      <c r="AWY38" s="30"/>
      <c r="AWZ38" s="30"/>
      <c r="AXA38" s="30"/>
      <c r="AXB38" s="30"/>
      <c r="AXC38" s="30"/>
      <c r="AXD38" s="30"/>
      <c r="AXE38" s="30"/>
      <c r="AXF38" s="30"/>
      <c r="AXG38" s="30"/>
      <c r="AXH38" s="30"/>
      <c r="AXI38" s="30"/>
      <c r="AXJ38" s="30"/>
      <c r="AXK38" s="30"/>
      <c r="AXL38" s="30"/>
      <c r="AXM38" s="30"/>
      <c r="AXN38" s="30"/>
      <c r="AXO38" s="30"/>
      <c r="AXP38" s="30"/>
      <c r="AXQ38" s="30"/>
      <c r="AXR38" s="30"/>
      <c r="AXS38" s="30"/>
      <c r="AXT38" s="30"/>
      <c r="AXU38" s="30"/>
      <c r="AXV38" s="30"/>
      <c r="AXW38" s="30"/>
      <c r="AXX38" s="30"/>
      <c r="AXY38" s="30"/>
      <c r="AXZ38" s="30"/>
      <c r="AYA38" s="30"/>
      <c r="AYB38" s="30"/>
      <c r="AYC38" s="30"/>
      <c r="AYD38" s="30"/>
      <c r="AYE38" s="30"/>
      <c r="AYF38" s="30"/>
      <c r="AYG38" s="30"/>
      <c r="AYH38" s="30"/>
      <c r="AYI38" s="30"/>
      <c r="AYJ38" s="30"/>
      <c r="AYK38" s="30"/>
      <c r="AYL38" s="30"/>
      <c r="AYM38" s="30"/>
      <c r="AYN38" s="30"/>
      <c r="AYO38" s="30"/>
      <c r="AYP38" s="30"/>
      <c r="AYQ38" s="30"/>
      <c r="AYR38" s="30"/>
      <c r="AYS38" s="30"/>
      <c r="AYT38" s="30"/>
      <c r="AYU38" s="30"/>
      <c r="AYV38" s="30"/>
      <c r="AYW38" s="30"/>
      <c r="AYX38" s="30"/>
      <c r="AYY38" s="30"/>
      <c r="AYZ38" s="30"/>
      <c r="AZA38" s="30"/>
      <c r="AZB38" s="30"/>
      <c r="AZC38" s="30"/>
      <c r="AZD38" s="30"/>
      <c r="AZE38" s="30"/>
      <c r="AZF38" s="30"/>
      <c r="AZG38" s="30"/>
      <c r="AZH38" s="30"/>
      <c r="AZI38" s="30"/>
      <c r="AZJ38" s="30"/>
      <c r="AZK38" s="30"/>
      <c r="AZL38" s="30"/>
      <c r="AZM38" s="30"/>
      <c r="AZN38" s="30"/>
      <c r="AZO38" s="30"/>
      <c r="AZP38" s="30"/>
      <c r="AZQ38" s="30"/>
      <c r="AZR38" s="30"/>
      <c r="AZS38" s="30"/>
      <c r="AZT38" s="30"/>
      <c r="AZU38" s="30"/>
      <c r="AZV38" s="30"/>
      <c r="AZW38" s="30"/>
      <c r="AZX38" s="30"/>
      <c r="AZY38" s="30"/>
      <c r="AZZ38" s="30"/>
      <c r="BAA38" s="30"/>
      <c r="BAB38" s="30"/>
      <c r="BAC38" s="30"/>
      <c r="BAD38" s="30"/>
      <c r="BAE38" s="30"/>
      <c r="BAF38" s="30"/>
      <c r="BAG38" s="30"/>
      <c r="BAH38" s="30"/>
      <c r="BAI38" s="30"/>
      <c r="BAJ38" s="30"/>
      <c r="BAK38" s="30"/>
      <c r="BAL38" s="30"/>
      <c r="BAM38" s="30"/>
      <c r="BAN38" s="30"/>
      <c r="BAO38" s="30"/>
      <c r="BAP38" s="30"/>
      <c r="BAQ38" s="30"/>
      <c r="BAR38" s="30"/>
      <c r="BAS38" s="30"/>
      <c r="BAT38" s="30"/>
      <c r="BAU38" s="30"/>
      <c r="BAV38" s="30"/>
      <c r="BAW38" s="30"/>
      <c r="BAX38" s="30"/>
      <c r="BAY38" s="30"/>
      <c r="BAZ38" s="30"/>
      <c r="BBA38" s="30"/>
      <c r="BBB38" s="30"/>
      <c r="BBC38" s="30"/>
      <c r="BBD38" s="30"/>
      <c r="BBE38" s="30"/>
      <c r="BBF38" s="30"/>
      <c r="BBG38" s="30"/>
      <c r="BBH38" s="30"/>
      <c r="BBI38" s="30"/>
      <c r="BBJ38" s="30"/>
      <c r="BBK38" s="30"/>
      <c r="BBL38" s="30"/>
      <c r="BBM38" s="30"/>
      <c r="BBN38" s="30"/>
      <c r="BBO38" s="30"/>
      <c r="BBP38" s="30"/>
      <c r="BBQ38" s="30"/>
      <c r="BBR38" s="30"/>
      <c r="BBS38" s="30"/>
      <c r="BBT38" s="30"/>
      <c r="BBU38" s="30"/>
      <c r="BBV38" s="30"/>
      <c r="BBW38" s="30"/>
      <c r="BBX38" s="30"/>
      <c r="BBY38" s="30"/>
      <c r="BBZ38" s="30"/>
      <c r="BCA38" s="30"/>
      <c r="BCB38" s="30"/>
      <c r="BCC38" s="30"/>
      <c r="BCD38" s="30"/>
      <c r="BCE38" s="30"/>
      <c r="BCF38" s="30"/>
      <c r="BCG38" s="30"/>
      <c r="BCH38" s="30"/>
      <c r="BCI38" s="30"/>
      <c r="BCJ38" s="30"/>
      <c r="BCK38" s="30"/>
      <c r="BCL38" s="30"/>
      <c r="BCM38" s="30"/>
      <c r="BCN38" s="30"/>
      <c r="BCO38" s="30"/>
      <c r="BCP38" s="30"/>
      <c r="BCQ38" s="30"/>
      <c r="BCR38" s="30"/>
      <c r="BCS38" s="30"/>
      <c r="BCT38" s="30"/>
      <c r="BCU38" s="30"/>
      <c r="BCV38" s="30"/>
      <c r="BCW38" s="30"/>
      <c r="BCX38" s="30"/>
      <c r="BCY38" s="30"/>
      <c r="BCZ38" s="30"/>
      <c r="BDA38" s="30"/>
      <c r="BDB38" s="30"/>
      <c r="BDC38" s="30"/>
      <c r="BDD38" s="30"/>
      <c r="BDE38" s="30"/>
      <c r="BDF38" s="30"/>
      <c r="BDG38" s="30"/>
      <c r="BDH38" s="30"/>
      <c r="BDI38" s="30"/>
      <c r="BDJ38" s="30"/>
      <c r="BDK38" s="30"/>
      <c r="BDL38" s="30"/>
      <c r="BDM38" s="30"/>
      <c r="BDN38" s="30"/>
      <c r="BDO38" s="30"/>
      <c r="BDP38" s="30"/>
      <c r="BDQ38" s="30"/>
      <c r="BDR38" s="30"/>
      <c r="BDS38" s="30"/>
      <c r="BDT38" s="30"/>
      <c r="BDU38" s="30"/>
      <c r="BDV38" s="30"/>
      <c r="BDW38" s="30"/>
      <c r="BDX38" s="30"/>
      <c r="BDY38" s="30"/>
      <c r="BDZ38" s="30"/>
      <c r="BEA38" s="30"/>
      <c r="BEB38" s="30"/>
      <c r="BEC38" s="30"/>
      <c r="BED38" s="30"/>
      <c r="BEE38" s="30"/>
      <c r="BEF38" s="30"/>
      <c r="BEG38" s="30"/>
      <c r="BEH38" s="30"/>
      <c r="BEI38" s="30"/>
      <c r="BEJ38" s="30"/>
      <c r="BEK38" s="30"/>
      <c r="BEL38" s="30"/>
      <c r="BEM38" s="30"/>
      <c r="BEN38" s="30"/>
      <c r="BEO38" s="30"/>
      <c r="BEP38" s="30"/>
      <c r="BEQ38" s="30"/>
      <c r="BER38" s="30"/>
      <c r="BES38" s="30"/>
      <c r="BET38" s="30"/>
      <c r="BEU38" s="30"/>
      <c r="BEV38" s="30"/>
      <c r="BEW38" s="30"/>
      <c r="BEX38" s="30"/>
      <c r="BEY38" s="30"/>
      <c r="BEZ38" s="30"/>
      <c r="BFA38" s="30"/>
      <c r="BFB38" s="30"/>
      <c r="BFC38" s="30"/>
      <c r="BFD38" s="30"/>
      <c r="BFE38" s="30"/>
      <c r="BFF38" s="30"/>
      <c r="BFG38" s="30"/>
      <c r="BFH38" s="30"/>
      <c r="BFI38" s="30"/>
      <c r="BFJ38" s="30"/>
      <c r="BFK38" s="30"/>
      <c r="BFL38" s="30"/>
      <c r="BFM38" s="30"/>
      <c r="BFN38" s="30"/>
      <c r="BFO38" s="30"/>
      <c r="BFP38" s="30"/>
      <c r="BFQ38" s="30"/>
      <c r="BFR38" s="30"/>
      <c r="BFS38" s="30"/>
      <c r="BFT38" s="30"/>
      <c r="BFU38" s="30"/>
      <c r="BFV38" s="30"/>
      <c r="BFW38" s="30"/>
      <c r="BFX38" s="30"/>
      <c r="BFY38" s="30"/>
      <c r="BFZ38" s="30"/>
      <c r="BGA38" s="30"/>
      <c r="BGB38" s="30"/>
      <c r="BGC38" s="30"/>
      <c r="BGD38" s="30"/>
      <c r="BGE38" s="30"/>
      <c r="BGF38" s="30"/>
      <c r="BGG38" s="30"/>
      <c r="BGH38" s="30"/>
      <c r="BGI38" s="30"/>
      <c r="BGJ38" s="30"/>
      <c r="BGK38" s="30"/>
      <c r="BGL38" s="30"/>
      <c r="BGM38" s="30"/>
      <c r="BGN38" s="30"/>
      <c r="BGO38" s="30"/>
      <c r="BGP38" s="30"/>
      <c r="BGQ38" s="30"/>
      <c r="BGR38" s="30"/>
      <c r="BGS38" s="30"/>
      <c r="BGT38" s="30"/>
      <c r="BGU38" s="30"/>
      <c r="BGV38" s="30"/>
      <c r="BGW38" s="30"/>
      <c r="BGX38" s="30"/>
      <c r="BGY38" s="30"/>
      <c r="BGZ38" s="30"/>
      <c r="BHA38" s="30"/>
      <c r="BHB38" s="30"/>
      <c r="BHC38" s="30"/>
      <c r="BHD38" s="30"/>
      <c r="BHE38" s="30"/>
      <c r="BHF38" s="30"/>
      <c r="BHG38" s="30"/>
      <c r="BHH38" s="30"/>
      <c r="BHI38" s="30"/>
      <c r="BHJ38" s="30"/>
      <c r="BHK38" s="30"/>
      <c r="BHL38" s="30"/>
      <c r="BHM38" s="30"/>
      <c r="BHN38" s="30"/>
      <c r="BHO38" s="30"/>
      <c r="BHP38" s="30"/>
      <c r="BHQ38" s="30"/>
      <c r="BHR38" s="30"/>
      <c r="BHS38" s="30"/>
      <c r="BHT38" s="30"/>
      <c r="BHU38" s="30"/>
      <c r="BHV38" s="30"/>
      <c r="BHW38" s="30"/>
      <c r="BHX38" s="30"/>
      <c r="BHY38" s="30"/>
      <c r="BHZ38" s="30"/>
      <c r="BIA38" s="30"/>
      <c r="BIB38" s="30"/>
      <c r="BIC38" s="30"/>
      <c r="BID38" s="30"/>
      <c r="BIE38" s="30"/>
      <c r="BIF38" s="30"/>
      <c r="BIG38" s="30"/>
      <c r="BIH38" s="30"/>
      <c r="BII38" s="30"/>
      <c r="BIJ38" s="30"/>
      <c r="BIK38" s="30"/>
      <c r="BIL38" s="30"/>
      <c r="BIM38" s="30"/>
      <c r="BIN38" s="30"/>
      <c r="BIO38" s="30"/>
      <c r="BIP38" s="30"/>
      <c r="BIQ38" s="30"/>
      <c r="BIR38" s="30"/>
      <c r="BIS38" s="30"/>
      <c r="BIT38" s="30"/>
      <c r="BIU38" s="30"/>
      <c r="BIV38" s="30"/>
      <c r="BIW38" s="30"/>
      <c r="BIX38" s="30"/>
      <c r="BIY38" s="30"/>
      <c r="BIZ38" s="30"/>
      <c r="BJA38" s="30"/>
      <c r="BJB38" s="30"/>
      <c r="BJC38" s="30"/>
      <c r="BJD38" s="30"/>
      <c r="BJE38" s="30"/>
      <c r="BJF38" s="30"/>
      <c r="BJG38" s="30"/>
      <c r="BJH38" s="30"/>
      <c r="BJI38" s="30"/>
      <c r="BJJ38" s="30"/>
      <c r="BJK38" s="30"/>
      <c r="BJL38" s="30"/>
      <c r="BJM38" s="30"/>
      <c r="BJN38" s="30"/>
      <c r="BJO38" s="30"/>
      <c r="BJP38" s="30"/>
      <c r="BJQ38" s="30"/>
      <c r="BJR38" s="30"/>
      <c r="BJS38" s="30"/>
      <c r="BJT38" s="30"/>
      <c r="BJU38" s="30"/>
      <c r="BJV38" s="30"/>
      <c r="BJW38" s="30"/>
      <c r="BJX38" s="30"/>
      <c r="BJY38" s="30"/>
      <c r="BJZ38" s="30"/>
      <c r="BKA38" s="30"/>
      <c r="BKB38" s="30"/>
      <c r="BKC38" s="30"/>
      <c r="BKD38" s="30"/>
      <c r="BKE38" s="30"/>
      <c r="BKF38" s="30"/>
      <c r="BKG38" s="30"/>
      <c r="BKH38" s="30"/>
      <c r="BKI38" s="30"/>
      <c r="BKJ38" s="30"/>
      <c r="BKK38" s="30"/>
      <c r="BKL38" s="30"/>
      <c r="BKM38" s="30"/>
      <c r="BKN38" s="30"/>
      <c r="BKO38" s="30"/>
      <c r="BKP38" s="30"/>
      <c r="BKQ38" s="30"/>
      <c r="BKR38" s="30"/>
      <c r="BKS38" s="30"/>
      <c r="BKT38" s="30"/>
      <c r="BKU38" s="30"/>
      <c r="BKV38" s="30"/>
      <c r="BKW38" s="30"/>
      <c r="BKX38" s="30"/>
      <c r="BKY38" s="30"/>
      <c r="BKZ38" s="30"/>
      <c r="BLA38" s="30"/>
      <c r="BLB38" s="30"/>
      <c r="BLC38" s="30"/>
      <c r="BLD38" s="30"/>
      <c r="BLE38" s="30"/>
      <c r="BLF38" s="30"/>
      <c r="BLG38" s="30"/>
      <c r="BLH38" s="30"/>
      <c r="BLI38" s="30"/>
      <c r="BLJ38" s="30"/>
      <c r="BLK38" s="30"/>
      <c r="BLL38" s="30"/>
      <c r="BLM38" s="30"/>
      <c r="BLN38" s="30"/>
      <c r="BLO38" s="30"/>
      <c r="BLP38" s="30"/>
      <c r="BLQ38" s="30"/>
      <c r="BLR38" s="30"/>
      <c r="BLS38" s="30"/>
      <c r="BLT38" s="30"/>
      <c r="BLU38" s="30"/>
      <c r="BLV38" s="30"/>
      <c r="BLW38" s="30"/>
      <c r="BLX38" s="30"/>
      <c r="BLY38" s="30"/>
      <c r="BLZ38" s="30"/>
      <c r="BMA38" s="30"/>
      <c r="BMB38" s="30"/>
      <c r="BMC38" s="30"/>
      <c r="BMD38" s="30"/>
      <c r="BME38" s="30"/>
      <c r="BMF38" s="30"/>
      <c r="BMG38" s="30"/>
      <c r="BMH38" s="30"/>
      <c r="BMI38" s="30"/>
      <c r="BMJ38" s="30"/>
      <c r="BMK38" s="30"/>
      <c r="BML38" s="30"/>
      <c r="BMM38" s="30"/>
      <c r="BMN38" s="30"/>
      <c r="BMO38" s="30"/>
      <c r="BMP38" s="30"/>
      <c r="BMQ38" s="30"/>
      <c r="BMR38" s="30"/>
      <c r="BMS38" s="30"/>
      <c r="BMT38" s="30"/>
      <c r="BMU38" s="30"/>
      <c r="BMV38" s="30"/>
      <c r="BMW38" s="30"/>
      <c r="BMX38" s="30"/>
      <c r="BMY38" s="30"/>
      <c r="BMZ38" s="30"/>
      <c r="BNA38" s="30"/>
      <c r="BNB38" s="30"/>
      <c r="BNC38" s="30"/>
      <c r="BND38" s="30"/>
      <c r="BNE38" s="30"/>
      <c r="BNF38" s="30"/>
      <c r="BNG38" s="30"/>
      <c r="BNH38" s="30"/>
      <c r="BNI38" s="30"/>
      <c r="BNJ38" s="30"/>
      <c r="BNK38" s="30"/>
      <c r="BNL38" s="30"/>
      <c r="BNM38" s="30"/>
      <c r="BNN38" s="30"/>
      <c r="BNO38" s="30"/>
      <c r="BNP38" s="30"/>
      <c r="BNQ38" s="30"/>
      <c r="BNR38" s="30"/>
      <c r="BNS38" s="30"/>
      <c r="BNT38" s="30"/>
      <c r="BNU38" s="30"/>
      <c r="BNV38" s="30"/>
      <c r="BNW38" s="30"/>
      <c r="BNX38" s="30"/>
      <c r="BNY38" s="30"/>
      <c r="BNZ38" s="30"/>
      <c r="BOA38" s="30"/>
      <c r="BOB38" s="30"/>
      <c r="BOC38" s="30"/>
      <c r="BOD38" s="30"/>
      <c r="BOE38" s="30"/>
      <c r="BOF38" s="30"/>
      <c r="BOG38" s="30"/>
      <c r="BOH38" s="30"/>
      <c r="BOI38" s="30"/>
      <c r="BOJ38" s="30"/>
      <c r="BOK38" s="30"/>
      <c r="BOL38" s="30"/>
      <c r="BOM38" s="30"/>
      <c r="BON38" s="30"/>
      <c r="BOO38" s="30"/>
      <c r="BOP38" s="30"/>
      <c r="BOQ38" s="30"/>
      <c r="BOR38" s="30"/>
      <c r="BOS38" s="30"/>
      <c r="BOT38" s="30"/>
      <c r="BOU38" s="30"/>
      <c r="BOV38" s="30"/>
      <c r="BOW38" s="30"/>
      <c r="BOX38" s="30"/>
      <c r="BOY38" s="30"/>
      <c r="BOZ38" s="30"/>
      <c r="BPA38" s="30"/>
      <c r="BPB38" s="30"/>
      <c r="BPC38" s="30"/>
      <c r="BPD38" s="30"/>
      <c r="BPE38" s="30"/>
      <c r="BPF38" s="30"/>
      <c r="BPG38" s="30"/>
      <c r="BPH38" s="30"/>
      <c r="BPI38" s="30"/>
      <c r="BPJ38" s="30"/>
      <c r="BPK38" s="30"/>
      <c r="BPL38" s="30"/>
      <c r="BPM38" s="30"/>
      <c r="BPN38" s="30"/>
      <c r="BPO38" s="30"/>
      <c r="BPP38" s="30"/>
      <c r="BPQ38" s="30"/>
      <c r="BPR38" s="30"/>
      <c r="BPS38" s="30"/>
      <c r="BPT38" s="30"/>
      <c r="BPU38" s="30"/>
      <c r="BPV38" s="30"/>
      <c r="BPW38" s="30"/>
      <c r="BPX38" s="30"/>
      <c r="BPY38" s="30"/>
      <c r="BPZ38" s="30"/>
      <c r="BQA38" s="30"/>
      <c r="BQB38" s="30"/>
      <c r="BQC38" s="30"/>
      <c r="BQD38" s="30"/>
      <c r="BQE38" s="30"/>
      <c r="BQF38" s="30"/>
      <c r="BQG38" s="30"/>
      <c r="BQH38" s="30"/>
      <c r="BQI38" s="30"/>
      <c r="BQJ38" s="30"/>
      <c r="BQK38" s="30"/>
      <c r="BQL38" s="30"/>
      <c r="BQM38" s="30"/>
      <c r="BQN38" s="30"/>
      <c r="BQO38" s="30"/>
      <c r="BQP38" s="30"/>
      <c r="BQQ38" s="30"/>
      <c r="BQR38" s="30"/>
      <c r="BQS38" s="30"/>
      <c r="BQT38" s="30"/>
      <c r="BQU38" s="30"/>
      <c r="BQV38" s="30"/>
      <c r="BQW38" s="30"/>
      <c r="BQX38" s="30"/>
      <c r="BQY38" s="30"/>
      <c r="BQZ38" s="30"/>
      <c r="BRA38" s="30"/>
      <c r="BRB38" s="30"/>
      <c r="BRC38" s="30"/>
      <c r="BRD38" s="30"/>
      <c r="BRE38" s="30"/>
      <c r="BRF38" s="30"/>
      <c r="BRG38" s="30"/>
      <c r="BRH38" s="30"/>
      <c r="BRI38" s="30"/>
      <c r="BRJ38" s="30"/>
      <c r="BRK38" s="30"/>
      <c r="BRL38" s="30"/>
      <c r="BRM38" s="30"/>
      <c r="BRN38" s="30"/>
      <c r="BRO38" s="30"/>
      <c r="BRP38" s="30"/>
      <c r="BRQ38" s="30"/>
      <c r="BRR38" s="30"/>
      <c r="BRS38" s="30"/>
      <c r="BRT38" s="30"/>
      <c r="BRU38" s="30"/>
      <c r="BRV38" s="30"/>
      <c r="BRW38" s="30"/>
      <c r="BRX38" s="30"/>
      <c r="BRY38" s="30"/>
      <c r="BRZ38" s="30"/>
      <c r="BSA38" s="30"/>
      <c r="BSB38" s="30"/>
      <c r="BSC38" s="30"/>
      <c r="BSD38" s="30"/>
      <c r="BSE38" s="30"/>
      <c r="BSF38" s="30"/>
      <c r="BSG38" s="30"/>
      <c r="BSH38" s="30"/>
      <c r="BSI38" s="30"/>
      <c r="BSJ38" s="30"/>
      <c r="BSK38" s="30"/>
      <c r="BSL38" s="30"/>
      <c r="BSM38" s="30"/>
      <c r="BSN38" s="30"/>
      <c r="BSO38" s="30"/>
      <c r="BSP38" s="30"/>
      <c r="BSQ38" s="30"/>
      <c r="BSR38" s="30"/>
      <c r="BSS38" s="30"/>
      <c r="BST38" s="30"/>
      <c r="BSU38" s="30"/>
      <c r="BSV38" s="30"/>
      <c r="BSW38" s="30"/>
      <c r="BSX38" s="30"/>
      <c r="BSY38" s="30"/>
      <c r="BSZ38" s="30"/>
      <c r="BTA38" s="30"/>
      <c r="BTB38" s="30"/>
      <c r="BTC38" s="30"/>
      <c r="BTD38" s="30"/>
      <c r="BTE38" s="30"/>
      <c r="BTF38" s="30"/>
      <c r="BTG38" s="30"/>
      <c r="BTH38" s="30"/>
      <c r="BTI38" s="30"/>
      <c r="BTJ38" s="30"/>
      <c r="BTK38" s="30"/>
      <c r="BTL38" s="30"/>
      <c r="BTM38" s="30"/>
      <c r="BTN38" s="30"/>
      <c r="BTO38" s="30"/>
      <c r="BTP38" s="30"/>
      <c r="BTQ38" s="30"/>
      <c r="BTR38" s="30"/>
      <c r="BTS38" s="30"/>
      <c r="BTT38" s="30"/>
      <c r="BTU38" s="30"/>
      <c r="BTV38" s="30"/>
      <c r="BTW38" s="30"/>
      <c r="BTX38" s="30"/>
      <c r="BTY38" s="30"/>
      <c r="BTZ38" s="30"/>
      <c r="BUA38" s="30"/>
      <c r="BUB38" s="30"/>
      <c r="BUC38" s="30"/>
      <c r="BUD38" s="30"/>
      <c r="BUE38" s="30"/>
      <c r="BUF38" s="30"/>
      <c r="BUG38" s="30"/>
      <c r="BUH38" s="30"/>
      <c r="BUI38" s="30"/>
      <c r="BUJ38" s="30"/>
      <c r="BUK38" s="30"/>
      <c r="BUL38" s="30"/>
      <c r="BUM38" s="30"/>
      <c r="BUN38" s="30"/>
      <c r="BUO38" s="30"/>
      <c r="BUP38" s="30"/>
      <c r="BUQ38" s="30"/>
      <c r="BUR38" s="30"/>
      <c r="BUS38" s="30"/>
      <c r="BUT38" s="30"/>
      <c r="BUU38" s="30"/>
      <c r="BUV38" s="30"/>
      <c r="BUW38" s="30"/>
      <c r="BUX38" s="30"/>
      <c r="BUY38" s="30"/>
      <c r="BUZ38" s="30"/>
      <c r="BVA38" s="30"/>
      <c r="BVB38" s="30"/>
      <c r="BVC38" s="30"/>
      <c r="BVD38" s="30"/>
      <c r="BVE38" s="30"/>
      <c r="BVF38" s="30"/>
      <c r="BVG38" s="30"/>
      <c r="BVH38" s="30"/>
      <c r="BVI38" s="30"/>
      <c r="BVJ38" s="30"/>
      <c r="BVK38" s="30"/>
      <c r="BVL38" s="30"/>
      <c r="BVM38" s="30"/>
      <c r="BVN38" s="30"/>
      <c r="BVO38" s="30"/>
      <c r="BVP38" s="30"/>
      <c r="BVQ38" s="30"/>
      <c r="BVR38" s="30"/>
      <c r="BVS38" s="30"/>
      <c r="BVT38" s="30"/>
      <c r="BVU38" s="30"/>
      <c r="BVV38" s="30"/>
      <c r="BVW38" s="30"/>
      <c r="BVX38" s="30"/>
      <c r="BVY38" s="30"/>
      <c r="BVZ38" s="30"/>
      <c r="BWA38" s="30"/>
      <c r="BWB38" s="30"/>
      <c r="BWC38" s="30"/>
      <c r="BWD38" s="30"/>
      <c r="BWE38" s="30"/>
      <c r="BWF38" s="30"/>
      <c r="BWG38" s="30"/>
      <c r="BWH38" s="30"/>
      <c r="BWI38" s="30"/>
      <c r="BWJ38" s="30"/>
      <c r="BWK38" s="30"/>
      <c r="BWL38" s="30"/>
      <c r="BWM38" s="30"/>
      <c r="BWN38" s="30"/>
      <c r="BWO38" s="30"/>
      <c r="BWP38" s="30"/>
      <c r="BWQ38" s="30"/>
      <c r="BWR38" s="30"/>
      <c r="BWS38" s="30"/>
      <c r="BWT38" s="30"/>
      <c r="BWU38" s="30"/>
      <c r="BWV38" s="30"/>
      <c r="BWW38" s="30"/>
      <c r="BWX38" s="30"/>
      <c r="BWY38" s="30"/>
      <c r="BWZ38" s="30"/>
      <c r="BXA38" s="30"/>
      <c r="BXB38" s="30"/>
      <c r="BXC38" s="30"/>
      <c r="BXD38" s="30"/>
      <c r="BXE38" s="30"/>
      <c r="BXF38" s="30"/>
      <c r="BXG38" s="30"/>
      <c r="BXH38" s="30"/>
      <c r="BXI38" s="30"/>
      <c r="BXJ38" s="30"/>
      <c r="BXK38" s="30"/>
      <c r="BXL38" s="30"/>
      <c r="BXM38" s="30"/>
      <c r="BXN38" s="30"/>
      <c r="BXO38" s="30"/>
      <c r="BXP38" s="30"/>
      <c r="BXQ38" s="30"/>
      <c r="BXR38" s="30"/>
      <c r="BXS38" s="30"/>
      <c r="BXT38" s="30"/>
      <c r="BXU38" s="30"/>
      <c r="BXV38" s="30"/>
      <c r="BXW38" s="30"/>
      <c r="BXX38" s="30"/>
      <c r="BXY38" s="30"/>
      <c r="BXZ38" s="30"/>
      <c r="BYA38" s="30"/>
      <c r="BYB38" s="30"/>
      <c r="BYC38" s="30"/>
      <c r="BYD38" s="30"/>
      <c r="BYE38" s="30"/>
      <c r="BYF38" s="30"/>
      <c r="BYG38" s="30"/>
      <c r="BYH38" s="30"/>
      <c r="BYI38" s="30"/>
      <c r="BYJ38" s="30"/>
      <c r="BYK38" s="30"/>
      <c r="BYL38" s="30"/>
      <c r="BYM38" s="30"/>
      <c r="BYN38" s="30"/>
      <c r="BYO38" s="30"/>
      <c r="BYP38" s="30"/>
      <c r="BYQ38" s="30"/>
      <c r="BYR38" s="30"/>
      <c r="BYS38" s="30"/>
      <c r="BYT38" s="30"/>
      <c r="BYU38" s="30"/>
      <c r="BYV38" s="30"/>
      <c r="BYW38" s="30"/>
      <c r="BYX38" s="30"/>
      <c r="BYY38" s="30"/>
      <c r="BYZ38" s="30"/>
      <c r="BZA38" s="30"/>
      <c r="BZB38" s="30"/>
      <c r="BZC38" s="30"/>
      <c r="BZD38" s="30"/>
      <c r="BZE38" s="30"/>
      <c r="BZF38" s="30"/>
      <c r="BZG38" s="30"/>
      <c r="BZH38" s="30"/>
      <c r="BZI38" s="30"/>
      <c r="BZJ38" s="30"/>
      <c r="BZK38" s="30"/>
      <c r="BZL38" s="30"/>
      <c r="BZM38" s="30"/>
      <c r="BZN38" s="30"/>
      <c r="BZO38" s="30"/>
      <c r="BZP38" s="30"/>
      <c r="BZQ38" s="30"/>
      <c r="BZR38" s="30"/>
      <c r="BZS38" s="30"/>
      <c r="BZT38" s="30"/>
      <c r="BZU38" s="30"/>
      <c r="BZV38" s="30"/>
      <c r="BZW38" s="30"/>
      <c r="BZX38" s="30"/>
      <c r="BZY38" s="30"/>
      <c r="BZZ38" s="30"/>
      <c r="CAA38" s="30"/>
      <c r="CAB38" s="30"/>
      <c r="CAC38" s="30"/>
      <c r="CAD38" s="30"/>
      <c r="CAE38" s="30"/>
      <c r="CAF38" s="30"/>
      <c r="CAG38" s="30"/>
      <c r="CAH38" s="30"/>
      <c r="CAI38" s="30"/>
      <c r="CAJ38" s="30"/>
      <c r="CAK38" s="30"/>
      <c r="CAL38" s="30"/>
      <c r="CAM38" s="30"/>
      <c r="CAN38" s="30"/>
      <c r="CAO38" s="30"/>
      <c r="CAP38" s="30"/>
      <c r="CAQ38" s="30"/>
      <c r="CAR38" s="30"/>
      <c r="CAS38" s="30"/>
      <c r="CAT38" s="30"/>
      <c r="CAU38" s="30"/>
      <c r="CAV38" s="30"/>
      <c r="CAW38" s="30"/>
      <c r="CAX38" s="30"/>
      <c r="CAY38" s="30"/>
      <c r="CAZ38" s="30"/>
      <c r="CBA38" s="30"/>
      <c r="CBB38" s="30"/>
      <c r="CBC38" s="30"/>
      <c r="CBD38" s="30"/>
      <c r="CBE38" s="30"/>
      <c r="CBF38" s="30"/>
      <c r="CBG38" s="30"/>
      <c r="CBH38" s="30"/>
      <c r="CBI38" s="30"/>
      <c r="CBJ38" s="30"/>
      <c r="CBK38" s="30"/>
      <c r="CBL38" s="30"/>
      <c r="CBM38" s="30"/>
      <c r="CBN38" s="30"/>
      <c r="CBO38" s="30"/>
      <c r="CBP38" s="30"/>
      <c r="CBQ38" s="30"/>
      <c r="CBR38" s="30"/>
      <c r="CBS38" s="30"/>
      <c r="CBT38" s="30"/>
      <c r="CBU38" s="30"/>
      <c r="CBV38" s="30"/>
      <c r="CBW38" s="30"/>
      <c r="CBX38" s="30"/>
      <c r="CBY38" s="30"/>
      <c r="CBZ38" s="30"/>
      <c r="CCA38" s="30"/>
      <c r="CCB38" s="30"/>
      <c r="CCC38" s="30"/>
      <c r="CCD38" s="30"/>
      <c r="CCE38" s="30"/>
      <c r="CCF38" s="30"/>
      <c r="CCG38" s="30"/>
      <c r="CCH38" s="30"/>
      <c r="CCI38" s="30"/>
      <c r="CCJ38" s="30"/>
      <c r="CCK38" s="30"/>
      <c r="CCL38" s="30"/>
      <c r="CCM38" s="30"/>
      <c r="CCN38" s="30"/>
      <c r="CCO38" s="30"/>
      <c r="CCP38" s="30"/>
      <c r="CCQ38" s="30"/>
      <c r="CCR38" s="30"/>
      <c r="CCS38" s="30"/>
      <c r="CCT38" s="30"/>
      <c r="CCU38" s="30"/>
      <c r="CCV38" s="30"/>
      <c r="CCW38" s="30"/>
      <c r="CCX38" s="30"/>
      <c r="CCY38" s="30"/>
      <c r="CCZ38" s="30"/>
      <c r="CDA38" s="30"/>
      <c r="CDB38" s="30"/>
      <c r="CDC38" s="30"/>
      <c r="CDD38" s="30"/>
      <c r="CDE38" s="30"/>
      <c r="CDF38" s="30"/>
      <c r="CDG38" s="30"/>
      <c r="CDH38" s="30"/>
      <c r="CDI38" s="30"/>
      <c r="CDJ38" s="30"/>
      <c r="CDK38" s="30"/>
      <c r="CDL38" s="30"/>
      <c r="CDM38" s="30"/>
      <c r="CDN38" s="30"/>
      <c r="CDO38" s="30"/>
      <c r="CDP38" s="30"/>
      <c r="CDQ38" s="30"/>
      <c r="CDR38" s="30"/>
      <c r="CDS38" s="30"/>
      <c r="CDT38" s="30"/>
      <c r="CDU38" s="30"/>
      <c r="CDV38" s="30"/>
      <c r="CDW38" s="30"/>
      <c r="CDX38" s="30"/>
      <c r="CDY38" s="30"/>
      <c r="CDZ38" s="30"/>
      <c r="CEA38" s="30"/>
      <c r="CEB38" s="30"/>
      <c r="CEC38" s="30"/>
      <c r="CED38" s="30"/>
      <c r="CEE38" s="30"/>
      <c r="CEF38" s="30"/>
      <c r="CEG38" s="30"/>
      <c r="CEH38" s="30"/>
      <c r="CEI38" s="30"/>
      <c r="CEJ38" s="30"/>
      <c r="CEK38" s="30"/>
      <c r="CEL38" s="30"/>
      <c r="CEM38" s="30"/>
      <c r="CEN38" s="30"/>
      <c r="CEO38" s="30"/>
      <c r="CEP38" s="30"/>
      <c r="CEQ38" s="30"/>
      <c r="CER38" s="30"/>
      <c r="CES38" s="30"/>
      <c r="CET38" s="30"/>
      <c r="CEU38" s="30"/>
      <c r="CEV38" s="30"/>
      <c r="CEW38" s="30"/>
      <c r="CEX38" s="30"/>
      <c r="CEY38" s="30"/>
      <c r="CEZ38" s="30"/>
      <c r="CFA38" s="30"/>
      <c r="CFB38" s="30"/>
      <c r="CFC38" s="30"/>
      <c r="CFD38" s="30"/>
      <c r="CFE38" s="30"/>
      <c r="CFF38" s="30"/>
      <c r="CFG38" s="30"/>
      <c r="CFH38" s="30"/>
      <c r="CFI38" s="30"/>
      <c r="CFJ38" s="30"/>
      <c r="CFK38" s="30"/>
      <c r="CFL38" s="30"/>
      <c r="CFM38" s="30"/>
      <c r="CFN38" s="30"/>
      <c r="CFO38" s="30"/>
      <c r="CFP38" s="30"/>
      <c r="CFQ38" s="30"/>
      <c r="CFR38" s="30"/>
      <c r="CFS38" s="30"/>
      <c r="CFT38" s="30"/>
      <c r="CFU38" s="30"/>
      <c r="CFV38" s="30"/>
      <c r="CFW38" s="30"/>
      <c r="CFX38" s="30"/>
      <c r="CFY38" s="30"/>
      <c r="CFZ38" s="30"/>
      <c r="CGA38" s="30"/>
      <c r="CGB38" s="30"/>
      <c r="CGC38" s="30"/>
      <c r="CGD38" s="30"/>
      <c r="CGE38" s="30"/>
      <c r="CGF38" s="30"/>
      <c r="CGG38" s="30"/>
      <c r="CGH38" s="30"/>
      <c r="CGI38" s="30"/>
      <c r="CGJ38" s="30"/>
      <c r="CGK38" s="30"/>
      <c r="CGL38" s="30"/>
      <c r="CGM38" s="30"/>
      <c r="CGN38" s="30"/>
      <c r="CGO38" s="30"/>
      <c r="CGP38" s="30"/>
      <c r="CGQ38" s="30"/>
      <c r="CGR38" s="30"/>
      <c r="CGS38" s="30"/>
      <c r="CGT38" s="30"/>
      <c r="CGU38" s="30"/>
      <c r="CGV38" s="30"/>
      <c r="CGW38" s="30"/>
      <c r="CGX38" s="30"/>
      <c r="CGY38" s="30"/>
      <c r="CGZ38" s="30"/>
      <c r="CHA38" s="30"/>
      <c r="CHB38" s="30"/>
      <c r="CHC38" s="30"/>
      <c r="CHD38" s="30"/>
      <c r="CHE38" s="30"/>
      <c r="CHF38" s="30"/>
      <c r="CHG38" s="30"/>
      <c r="CHH38" s="30"/>
      <c r="CHI38" s="30"/>
      <c r="CHJ38" s="30"/>
      <c r="CHK38" s="30"/>
      <c r="CHL38" s="30"/>
      <c r="CHM38" s="30"/>
      <c r="CHN38" s="30"/>
      <c r="CHO38" s="30"/>
      <c r="CHP38" s="30"/>
      <c r="CHQ38" s="30"/>
      <c r="CHR38" s="30"/>
      <c r="CHS38" s="30"/>
      <c r="CHT38" s="30"/>
      <c r="CHU38" s="30"/>
      <c r="CHV38" s="30"/>
      <c r="CHW38" s="30"/>
      <c r="CHX38" s="30"/>
      <c r="CHY38" s="30"/>
      <c r="CHZ38" s="30"/>
      <c r="CIA38" s="30"/>
      <c r="CIB38" s="30"/>
      <c r="CIC38" s="30"/>
      <c r="CID38" s="30"/>
      <c r="CIE38" s="30"/>
      <c r="CIF38" s="30"/>
      <c r="CIG38" s="30"/>
      <c r="CIH38" s="30"/>
      <c r="CII38" s="30"/>
      <c r="CIJ38" s="30"/>
      <c r="CIK38" s="30"/>
      <c r="CIL38" s="30"/>
      <c r="CIM38" s="30"/>
      <c r="CIN38" s="30"/>
      <c r="CIO38" s="30"/>
      <c r="CIP38" s="30"/>
      <c r="CIQ38" s="30"/>
      <c r="CIR38" s="30"/>
      <c r="CIS38" s="30"/>
      <c r="CIT38" s="30"/>
      <c r="CIU38" s="30"/>
      <c r="CIV38" s="30"/>
      <c r="CIW38" s="30"/>
      <c r="CIX38" s="30"/>
      <c r="CIY38" s="30"/>
      <c r="CIZ38" s="30"/>
      <c r="CJA38" s="30"/>
      <c r="CJB38" s="30"/>
      <c r="CJC38" s="30"/>
      <c r="CJD38" s="30"/>
      <c r="CJE38" s="30"/>
      <c r="CJF38" s="30"/>
      <c r="CJG38" s="30"/>
      <c r="CJH38" s="30"/>
      <c r="CJI38" s="30"/>
      <c r="CJJ38" s="30"/>
      <c r="CJK38" s="30"/>
      <c r="CJL38" s="30"/>
      <c r="CJM38" s="30"/>
      <c r="CJN38" s="30"/>
      <c r="CJO38" s="30"/>
      <c r="CJP38" s="30"/>
      <c r="CJQ38" s="30"/>
      <c r="CJR38" s="30"/>
      <c r="CJS38" s="30"/>
      <c r="CJT38" s="30"/>
      <c r="CJU38" s="30"/>
      <c r="CJV38" s="30"/>
      <c r="CJW38" s="30"/>
      <c r="CJX38" s="30"/>
      <c r="CJY38" s="30"/>
      <c r="CJZ38" s="30"/>
      <c r="CKA38" s="30"/>
      <c r="CKB38" s="30"/>
      <c r="CKC38" s="30"/>
      <c r="CKD38" s="30"/>
      <c r="CKE38" s="30"/>
      <c r="CKF38" s="30"/>
      <c r="CKG38" s="30"/>
      <c r="CKH38" s="30"/>
      <c r="CKI38" s="30"/>
      <c r="CKJ38" s="30"/>
      <c r="CKK38" s="30"/>
      <c r="CKL38" s="30"/>
      <c r="CKM38" s="30"/>
      <c r="CKN38" s="30"/>
      <c r="CKO38" s="30"/>
      <c r="CKP38" s="30"/>
      <c r="CKQ38" s="30"/>
      <c r="CKR38" s="30"/>
      <c r="CKS38" s="30"/>
      <c r="CKT38" s="30"/>
      <c r="CKU38" s="30"/>
      <c r="CKV38" s="30"/>
      <c r="CKW38" s="30"/>
      <c r="CKX38" s="30"/>
      <c r="CKY38" s="30"/>
      <c r="CKZ38" s="30"/>
      <c r="CLA38" s="30"/>
      <c r="CLB38" s="30"/>
      <c r="CLC38" s="30"/>
      <c r="CLD38" s="30"/>
      <c r="CLE38" s="30"/>
      <c r="CLF38" s="30"/>
      <c r="CLG38" s="30"/>
      <c r="CLH38" s="30"/>
      <c r="CLI38" s="30"/>
      <c r="CLJ38" s="30"/>
      <c r="CLK38" s="30"/>
      <c r="CLL38" s="30"/>
      <c r="CLM38" s="30"/>
      <c r="CLN38" s="30"/>
      <c r="CLO38" s="30"/>
      <c r="CLP38" s="30"/>
      <c r="CLQ38" s="30"/>
      <c r="CLR38" s="30"/>
      <c r="CLS38" s="30"/>
      <c r="CLT38" s="30"/>
      <c r="CLU38" s="30"/>
      <c r="CLV38" s="30"/>
      <c r="CLW38" s="30"/>
      <c r="CLX38" s="30"/>
      <c r="CLY38" s="30"/>
      <c r="CLZ38" s="30"/>
      <c r="CMA38" s="30"/>
      <c r="CMB38" s="30"/>
      <c r="CMC38" s="30"/>
      <c r="CMD38" s="30"/>
      <c r="CME38" s="30"/>
      <c r="CMF38" s="30"/>
      <c r="CMG38" s="30"/>
      <c r="CMH38" s="30"/>
      <c r="CMI38" s="30"/>
      <c r="CMJ38" s="30"/>
      <c r="CMK38" s="30"/>
      <c r="CML38" s="30"/>
      <c r="CMM38" s="30"/>
      <c r="CMN38" s="30"/>
      <c r="CMO38" s="30"/>
      <c r="CMP38" s="30"/>
      <c r="CMQ38" s="30"/>
      <c r="CMR38" s="30"/>
      <c r="CMS38" s="30"/>
      <c r="CMT38" s="30"/>
      <c r="CMU38" s="30"/>
      <c r="CMV38" s="30"/>
      <c r="CMW38" s="30"/>
      <c r="CMX38" s="30"/>
      <c r="CMY38" s="30"/>
      <c r="CMZ38" s="30"/>
      <c r="CNA38" s="30"/>
      <c r="CNB38" s="30"/>
      <c r="CNC38" s="30"/>
      <c r="CND38" s="30"/>
      <c r="CNE38" s="30"/>
      <c r="CNF38" s="30"/>
      <c r="CNG38" s="30"/>
      <c r="CNH38" s="30"/>
      <c r="CNI38" s="30"/>
      <c r="CNJ38" s="30"/>
      <c r="CNK38" s="30"/>
      <c r="CNL38" s="30"/>
      <c r="CNM38" s="30"/>
      <c r="CNN38" s="30"/>
      <c r="CNO38" s="30"/>
      <c r="CNP38" s="30"/>
      <c r="CNQ38" s="30"/>
      <c r="CNR38" s="30"/>
      <c r="CNS38" s="30"/>
      <c r="CNT38" s="30"/>
      <c r="CNU38" s="30"/>
      <c r="CNV38" s="30"/>
      <c r="CNW38" s="30"/>
      <c r="CNX38" s="30"/>
      <c r="CNY38" s="30"/>
      <c r="CNZ38" s="30"/>
      <c r="COA38" s="30"/>
      <c r="COB38" s="30"/>
      <c r="COC38" s="30"/>
      <c r="COD38" s="30"/>
      <c r="COE38" s="30"/>
      <c r="COF38" s="30"/>
      <c r="COG38" s="30"/>
      <c r="COH38" s="30"/>
      <c r="COI38" s="30"/>
      <c r="COJ38" s="30"/>
      <c r="COK38" s="30"/>
      <c r="COL38" s="30"/>
      <c r="COM38" s="30"/>
      <c r="CON38" s="30"/>
      <c r="COO38" s="30"/>
      <c r="COP38" s="30"/>
      <c r="COQ38" s="30"/>
      <c r="COR38" s="30"/>
      <c r="COS38" s="30"/>
      <c r="COT38" s="30"/>
      <c r="COU38" s="30"/>
      <c r="COV38" s="30"/>
      <c r="COW38" s="30"/>
      <c r="COX38" s="30"/>
      <c r="COY38" s="30"/>
      <c r="COZ38" s="30"/>
      <c r="CPA38" s="30"/>
      <c r="CPB38" s="30"/>
      <c r="CPC38" s="30"/>
      <c r="CPD38" s="30"/>
      <c r="CPE38" s="30"/>
      <c r="CPF38" s="30"/>
      <c r="CPG38" s="30"/>
      <c r="CPH38" s="30"/>
      <c r="CPI38" s="30"/>
      <c r="CPJ38" s="30"/>
      <c r="CPK38" s="30"/>
      <c r="CPL38" s="30"/>
      <c r="CPM38" s="30"/>
      <c r="CPN38" s="30"/>
      <c r="CPO38" s="30"/>
      <c r="CPP38" s="30"/>
      <c r="CPQ38" s="30"/>
      <c r="CPR38" s="30"/>
      <c r="CPS38" s="30"/>
      <c r="CPT38" s="30"/>
      <c r="CPU38" s="30"/>
      <c r="CPV38" s="30"/>
      <c r="CPW38" s="30"/>
      <c r="CPX38" s="30"/>
      <c r="CPY38" s="30"/>
      <c r="CPZ38" s="30"/>
      <c r="CQA38" s="30"/>
      <c r="CQB38" s="30"/>
      <c r="CQC38" s="30"/>
      <c r="CQD38" s="30"/>
      <c r="CQE38" s="30"/>
      <c r="CQF38" s="30"/>
      <c r="CQG38" s="30"/>
      <c r="CQH38" s="30"/>
      <c r="CQI38" s="30"/>
      <c r="CQJ38" s="30"/>
      <c r="CQK38" s="30"/>
      <c r="CQL38" s="30"/>
      <c r="CQM38" s="30"/>
      <c r="CQN38" s="30"/>
      <c r="CQO38" s="30"/>
      <c r="CQP38" s="30"/>
      <c r="CQQ38" s="30"/>
      <c r="CQR38" s="30"/>
      <c r="CQS38" s="30"/>
      <c r="CQT38" s="30"/>
      <c r="CQU38" s="30"/>
      <c r="CQV38" s="30"/>
      <c r="CQW38" s="30"/>
      <c r="CQX38" s="30"/>
      <c r="CQY38" s="30"/>
      <c r="CQZ38" s="30"/>
      <c r="CRA38" s="30"/>
      <c r="CRB38" s="30"/>
      <c r="CRC38" s="30"/>
      <c r="CRD38" s="30"/>
      <c r="CRE38" s="30"/>
      <c r="CRF38" s="30"/>
      <c r="CRG38" s="30"/>
      <c r="CRH38" s="30"/>
      <c r="CRI38" s="30"/>
      <c r="CRJ38" s="30"/>
      <c r="CRK38" s="30"/>
      <c r="CRL38" s="30"/>
      <c r="CRM38" s="30"/>
      <c r="CRN38" s="30"/>
      <c r="CRO38" s="30"/>
      <c r="CRP38" s="30"/>
      <c r="CRQ38" s="30"/>
      <c r="CRR38" s="30"/>
      <c r="CRS38" s="30"/>
      <c r="CRT38" s="30"/>
      <c r="CRU38" s="30"/>
      <c r="CRV38" s="30"/>
      <c r="CRW38" s="30"/>
      <c r="CRX38" s="30"/>
      <c r="CRY38" s="30"/>
      <c r="CRZ38" s="30"/>
      <c r="CSA38" s="30"/>
      <c r="CSB38" s="30"/>
      <c r="CSC38" s="30"/>
      <c r="CSD38" s="30"/>
      <c r="CSE38" s="30"/>
      <c r="CSF38" s="30"/>
      <c r="CSG38" s="30"/>
      <c r="CSH38" s="30"/>
      <c r="CSI38" s="30"/>
      <c r="CSJ38" s="30"/>
      <c r="CSK38" s="30"/>
      <c r="CSL38" s="30"/>
      <c r="CSM38" s="30"/>
      <c r="CSN38" s="30"/>
      <c r="CSO38" s="30"/>
      <c r="CSP38" s="30"/>
      <c r="CSQ38" s="30"/>
      <c r="CSR38" s="30"/>
      <c r="CSS38" s="30"/>
      <c r="CST38" s="30"/>
      <c r="CSU38" s="30"/>
      <c r="CSV38" s="30"/>
      <c r="CSW38" s="30"/>
      <c r="CSX38" s="30"/>
      <c r="CSY38" s="30"/>
      <c r="CSZ38" s="30"/>
      <c r="CTA38" s="30"/>
      <c r="CTB38" s="30"/>
      <c r="CTC38" s="30"/>
      <c r="CTD38" s="30"/>
      <c r="CTE38" s="30"/>
      <c r="CTF38" s="30"/>
      <c r="CTG38" s="30"/>
      <c r="CTH38" s="30"/>
      <c r="CTI38" s="30"/>
      <c r="CTJ38" s="30"/>
      <c r="CTK38" s="30"/>
      <c r="CTL38" s="30"/>
      <c r="CTM38" s="30"/>
      <c r="CTN38" s="30"/>
      <c r="CTO38" s="30"/>
      <c r="CTP38" s="30"/>
      <c r="CTQ38" s="30"/>
      <c r="CTR38" s="30"/>
      <c r="CTS38" s="30"/>
      <c r="CTT38" s="30"/>
      <c r="CTU38" s="30"/>
      <c r="CTV38" s="30"/>
      <c r="CTW38" s="30"/>
      <c r="CTX38" s="30"/>
      <c r="CTY38" s="30"/>
      <c r="CTZ38" s="30"/>
      <c r="CUA38" s="30"/>
    </row>
    <row r="39" s="27" customFormat="1" ht="20" customHeight="1" spans="1:2575">
      <c r="A39" s="268">
        <v>48</v>
      </c>
      <c r="B39" s="268" t="s">
        <v>14</v>
      </c>
      <c r="C39" s="268" t="s">
        <v>54</v>
      </c>
      <c r="D39" s="161" t="s">
        <v>262</v>
      </c>
      <c r="E39" s="378" t="s">
        <v>139</v>
      </c>
      <c r="F39" s="276"/>
      <c r="G39" s="379" t="s">
        <v>768</v>
      </c>
      <c r="H39" s="275" t="s">
        <v>770</v>
      </c>
      <c r="I39" s="275"/>
      <c r="J39" s="31"/>
      <c r="K39" s="31"/>
      <c r="L39" s="31" t="s">
        <v>667</v>
      </c>
      <c r="M39" s="29" t="s">
        <v>44</v>
      </c>
      <c r="N39" s="94">
        <v>45763</v>
      </c>
      <c r="O39" s="177">
        <v>45945</v>
      </c>
      <c r="P39" s="287">
        <v>100</v>
      </c>
      <c r="Q39" s="294"/>
      <c r="R39" s="295" t="s">
        <v>145</v>
      </c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  <c r="MW39" s="30"/>
      <c r="MX39" s="30"/>
      <c r="MY39" s="30"/>
      <c r="MZ39" s="30"/>
      <c r="NA39" s="30"/>
      <c r="NB39" s="30"/>
      <c r="NC39" s="30"/>
      <c r="ND39" s="30"/>
      <c r="NE39" s="30"/>
      <c r="NF39" s="30"/>
      <c r="NG39" s="30"/>
      <c r="NH39" s="30"/>
      <c r="NI39" s="30"/>
      <c r="NJ39" s="30"/>
      <c r="NK39" s="30"/>
      <c r="NL39" s="30"/>
      <c r="NM39" s="30"/>
      <c r="NN39" s="30"/>
      <c r="NO39" s="30"/>
      <c r="NP39" s="30"/>
      <c r="NQ39" s="30"/>
      <c r="NR39" s="30"/>
      <c r="NS39" s="30"/>
      <c r="NT39" s="30"/>
      <c r="NU39" s="30"/>
      <c r="NV39" s="30"/>
      <c r="NW39" s="30"/>
      <c r="NX39" s="30"/>
      <c r="NY39" s="30"/>
      <c r="NZ39" s="30"/>
      <c r="OA39" s="30"/>
      <c r="OB39" s="30"/>
      <c r="OC39" s="30"/>
      <c r="OD39" s="30"/>
      <c r="OE39" s="30"/>
      <c r="OF39" s="30"/>
      <c r="OG39" s="30"/>
      <c r="OH39" s="30"/>
      <c r="OI39" s="30"/>
      <c r="OJ39" s="30"/>
      <c r="OK39" s="30"/>
      <c r="OL39" s="30"/>
      <c r="OM39" s="30"/>
      <c r="ON39" s="30"/>
      <c r="OO39" s="30"/>
      <c r="OP39" s="30"/>
      <c r="OQ39" s="30"/>
      <c r="OR39" s="30"/>
      <c r="OS39" s="30"/>
      <c r="OT39" s="30"/>
      <c r="OU39" s="30"/>
      <c r="OV39" s="30"/>
      <c r="OW39" s="30"/>
      <c r="OX39" s="30"/>
      <c r="OY39" s="30"/>
      <c r="OZ39" s="30"/>
      <c r="PA39" s="30"/>
      <c r="PB39" s="30"/>
      <c r="PC39" s="30"/>
      <c r="PD39" s="30"/>
      <c r="PE39" s="30"/>
      <c r="PF39" s="30"/>
      <c r="PG39" s="30"/>
      <c r="PH39" s="30"/>
      <c r="PI39" s="30"/>
      <c r="PJ39" s="30"/>
      <c r="PK39" s="30"/>
      <c r="PL39" s="30"/>
      <c r="PM39" s="30"/>
      <c r="PN39" s="30"/>
      <c r="PO39" s="30"/>
      <c r="PP39" s="30"/>
      <c r="PQ39" s="30"/>
      <c r="PR39" s="30"/>
      <c r="PS39" s="30"/>
      <c r="PT39" s="30"/>
      <c r="PU39" s="30"/>
      <c r="PV39" s="30"/>
      <c r="PW39" s="30"/>
      <c r="PX39" s="30"/>
      <c r="PY39" s="30"/>
      <c r="PZ39" s="30"/>
      <c r="QA39" s="30"/>
      <c r="QB39" s="30"/>
      <c r="QC39" s="30"/>
      <c r="QD39" s="30"/>
      <c r="QE39" s="30"/>
      <c r="QF39" s="30"/>
      <c r="QG39" s="30"/>
      <c r="QH39" s="30"/>
      <c r="QI39" s="30"/>
      <c r="QJ39" s="30"/>
      <c r="QK39" s="30"/>
      <c r="QL39" s="30"/>
      <c r="QM39" s="30"/>
      <c r="QN39" s="30"/>
      <c r="QO39" s="30"/>
      <c r="QP39" s="30"/>
      <c r="QQ39" s="30"/>
      <c r="QR39" s="30"/>
      <c r="QS39" s="30"/>
      <c r="QT39" s="30"/>
      <c r="QU39" s="30"/>
      <c r="QV39" s="30"/>
      <c r="QW39" s="30"/>
      <c r="QX39" s="30"/>
      <c r="QY39" s="30"/>
      <c r="QZ39" s="30"/>
      <c r="RA39" s="30"/>
      <c r="RB39" s="30"/>
      <c r="RC39" s="30"/>
      <c r="RD39" s="30"/>
      <c r="RE39" s="30"/>
      <c r="RF39" s="30"/>
      <c r="RG39" s="30"/>
      <c r="RH39" s="30"/>
      <c r="RI39" s="30"/>
      <c r="RJ39" s="30"/>
      <c r="RK39" s="30"/>
      <c r="RL39" s="30"/>
      <c r="RM39" s="30"/>
      <c r="RN39" s="30"/>
      <c r="RO39" s="30"/>
      <c r="RP39" s="30"/>
      <c r="RQ39" s="30"/>
      <c r="RR39" s="30"/>
      <c r="RS39" s="30"/>
      <c r="RT39" s="30"/>
      <c r="RU39" s="30"/>
      <c r="RV39" s="30"/>
      <c r="RW39" s="30"/>
      <c r="RX39" s="30"/>
      <c r="RY39" s="30"/>
      <c r="RZ39" s="30"/>
      <c r="SA39" s="30"/>
      <c r="SB39" s="30"/>
      <c r="SC39" s="30"/>
      <c r="SD39" s="30"/>
      <c r="SE39" s="30"/>
      <c r="SF39" s="30"/>
      <c r="SG39" s="30"/>
      <c r="SH39" s="30"/>
      <c r="SI39" s="30"/>
      <c r="SJ39" s="30"/>
      <c r="SK39" s="30"/>
      <c r="SL39" s="30"/>
      <c r="SM39" s="30"/>
      <c r="SN39" s="30"/>
      <c r="SO39" s="30"/>
      <c r="SP39" s="30"/>
      <c r="SQ39" s="30"/>
      <c r="SR39" s="30"/>
      <c r="SS39" s="30"/>
      <c r="ST39" s="30"/>
      <c r="SU39" s="30"/>
      <c r="SV39" s="30"/>
      <c r="SW39" s="30"/>
      <c r="SX39" s="30"/>
      <c r="SY39" s="30"/>
      <c r="SZ39" s="30"/>
      <c r="TA39" s="30"/>
      <c r="TB39" s="30"/>
      <c r="TC39" s="30"/>
      <c r="TD39" s="30"/>
      <c r="TE39" s="30"/>
      <c r="TF39" s="30"/>
      <c r="TG39" s="30"/>
      <c r="TH39" s="30"/>
      <c r="TI39" s="30"/>
      <c r="TJ39" s="30"/>
      <c r="TK39" s="30"/>
      <c r="TL39" s="30"/>
      <c r="TM39" s="30"/>
      <c r="TN39" s="30"/>
      <c r="TO39" s="30"/>
      <c r="TP39" s="30"/>
      <c r="TQ39" s="30"/>
      <c r="TR39" s="30"/>
      <c r="TS39" s="30"/>
      <c r="TT39" s="30"/>
      <c r="TU39" s="30"/>
      <c r="TV39" s="30"/>
      <c r="TW39" s="30"/>
      <c r="TX39" s="30"/>
      <c r="TY39" s="30"/>
      <c r="TZ39" s="30"/>
      <c r="UA39" s="30"/>
      <c r="UB39" s="30"/>
      <c r="UC39" s="30"/>
      <c r="UD39" s="30"/>
      <c r="UE39" s="30"/>
      <c r="UF39" s="30"/>
      <c r="UG39" s="30"/>
      <c r="UH39" s="30"/>
      <c r="UI39" s="30"/>
      <c r="UJ39" s="30"/>
      <c r="UK39" s="30"/>
      <c r="UL39" s="30"/>
      <c r="UM39" s="30"/>
      <c r="UN39" s="30"/>
      <c r="UO39" s="30"/>
      <c r="UP39" s="30"/>
      <c r="UQ39" s="30"/>
      <c r="UR39" s="30"/>
      <c r="US39" s="30"/>
      <c r="UT39" s="30"/>
      <c r="UU39" s="30"/>
      <c r="UV39" s="30"/>
      <c r="UW39" s="30"/>
      <c r="UX39" s="30"/>
      <c r="UY39" s="30"/>
      <c r="UZ39" s="30"/>
      <c r="VA39" s="30"/>
      <c r="VB39" s="30"/>
      <c r="VC39" s="30"/>
      <c r="VD39" s="30"/>
      <c r="VE39" s="30"/>
      <c r="VF39" s="30"/>
      <c r="VG39" s="30"/>
      <c r="VH39" s="30"/>
      <c r="VI39" s="30"/>
      <c r="VJ39" s="30"/>
      <c r="VK39" s="30"/>
      <c r="VL39" s="30"/>
      <c r="VM39" s="30"/>
      <c r="VN39" s="30"/>
      <c r="VO39" s="30"/>
      <c r="VP39" s="30"/>
      <c r="VQ39" s="30"/>
      <c r="VR39" s="30"/>
      <c r="VS39" s="30"/>
      <c r="VT39" s="30"/>
      <c r="VU39" s="30"/>
      <c r="VV39" s="30"/>
      <c r="VW39" s="30"/>
      <c r="VX39" s="30"/>
      <c r="VY39" s="30"/>
      <c r="VZ39" s="30"/>
      <c r="WA39" s="30"/>
      <c r="WB39" s="30"/>
      <c r="WC39" s="30"/>
      <c r="WD39" s="30"/>
      <c r="WE39" s="30"/>
      <c r="WF39" s="30"/>
      <c r="WG39" s="30"/>
      <c r="WH39" s="30"/>
      <c r="WI39" s="30"/>
      <c r="WJ39" s="30"/>
      <c r="WK39" s="30"/>
      <c r="WL39" s="30"/>
      <c r="WM39" s="30"/>
      <c r="WN39" s="30"/>
      <c r="WO39" s="30"/>
      <c r="WP39" s="30"/>
      <c r="WQ39" s="30"/>
      <c r="WR39" s="30"/>
      <c r="WS39" s="30"/>
      <c r="WT39" s="30"/>
      <c r="WU39" s="30"/>
      <c r="WV39" s="30"/>
      <c r="WW39" s="30"/>
      <c r="WX39" s="30"/>
      <c r="WY39" s="30"/>
      <c r="WZ39" s="30"/>
      <c r="XA39" s="30"/>
      <c r="XB39" s="30"/>
      <c r="XC39" s="30"/>
      <c r="XD39" s="30"/>
      <c r="XE39" s="30"/>
      <c r="XF39" s="30"/>
      <c r="XG39" s="30"/>
      <c r="XH39" s="30"/>
      <c r="XI39" s="30"/>
      <c r="XJ39" s="30"/>
      <c r="XK39" s="30"/>
      <c r="XL39" s="30"/>
      <c r="XM39" s="30"/>
      <c r="XN39" s="30"/>
      <c r="XO39" s="30"/>
      <c r="XP39" s="30"/>
      <c r="XQ39" s="30"/>
      <c r="XR39" s="30"/>
      <c r="XS39" s="30"/>
      <c r="XT39" s="30"/>
      <c r="XU39" s="30"/>
      <c r="XV39" s="30"/>
      <c r="XW39" s="30"/>
      <c r="XX39" s="30"/>
      <c r="XY39" s="30"/>
      <c r="XZ39" s="30"/>
      <c r="YA39" s="30"/>
      <c r="YB39" s="30"/>
      <c r="YC39" s="30"/>
      <c r="YD39" s="30"/>
      <c r="YE39" s="30"/>
      <c r="YF39" s="30"/>
      <c r="YG39" s="30"/>
      <c r="YH39" s="30"/>
      <c r="YI39" s="30"/>
      <c r="YJ39" s="30"/>
      <c r="YK39" s="30"/>
      <c r="YL39" s="30"/>
      <c r="YM39" s="30"/>
      <c r="YN39" s="30"/>
      <c r="YO39" s="30"/>
      <c r="YP39" s="30"/>
      <c r="YQ39" s="30"/>
      <c r="YR39" s="30"/>
      <c r="YS39" s="30"/>
      <c r="YT39" s="30"/>
      <c r="YU39" s="30"/>
      <c r="YV39" s="30"/>
      <c r="YW39" s="30"/>
      <c r="YX39" s="30"/>
      <c r="YY39" s="30"/>
      <c r="YZ39" s="30"/>
      <c r="ZA39" s="30"/>
      <c r="ZB39" s="30"/>
      <c r="ZC39" s="30"/>
      <c r="ZD39" s="30"/>
      <c r="ZE39" s="30"/>
      <c r="ZF39" s="30"/>
      <c r="ZG39" s="30"/>
      <c r="ZH39" s="30"/>
      <c r="ZI39" s="30"/>
      <c r="ZJ39" s="30"/>
      <c r="ZK39" s="30"/>
      <c r="ZL39" s="30"/>
      <c r="ZM39" s="30"/>
      <c r="ZN39" s="30"/>
      <c r="ZO39" s="30"/>
      <c r="ZP39" s="30"/>
      <c r="ZQ39" s="30"/>
      <c r="ZR39" s="30"/>
      <c r="ZS39" s="30"/>
      <c r="ZT39" s="30"/>
      <c r="ZU39" s="30"/>
      <c r="ZV39" s="30"/>
      <c r="ZW39" s="30"/>
      <c r="ZX39" s="30"/>
      <c r="ZY39" s="30"/>
      <c r="ZZ39" s="30"/>
      <c r="AAA39" s="30"/>
      <c r="AAB39" s="30"/>
      <c r="AAC39" s="30"/>
      <c r="AAD39" s="30"/>
      <c r="AAE39" s="30"/>
      <c r="AAF39" s="30"/>
      <c r="AAG39" s="30"/>
      <c r="AAH39" s="30"/>
      <c r="AAI39" s="30"/>
      <c r="AAJ39" s="30"/>
      <c r="AAK39" s="30"/>
      <c r="AAL39" s="30"/>
      <c r="AAM39" s="30"/>
      <c r="AAN39" s="30"/>
      <c r="AAO39" s="30"/>
      <c r="AAP39" s="30"/>
      <c r="AAQ39" s="30"/>
      <c r="AAR39" s="30"/>
      <c r="AAS39" s="30"/>
      <c r="AAT39" s="30"/>
      <c r="AAU39" s="30"/>
      <c r="AAV39" s="30"/>
      <c r="AAW39" s="30"/>
      <c r="AAX39" s="30"/>
      <c r="AAY39" s="30"/>
      <c r="AAZ39" s="30"/>
      <c r="ABA39" s="30"/>
      <c r="ABB39" s="30"/>
      <c r="ABC39" s="30"/>
      <c r="ABD39" s="30"/>
      <c r="ABE39" s="30"/>
      <c r="ABF39" s="30"/>
      <c r="ABG39" s="30"/>
      <c r="ABH39" s="30"/>
      <c r="ABI39" s="30"/>
      <c r="ABJ39" s="30"/>
      <c r="ABK39" s="30"/>
      <c r="ABL39" s="30"/>
      <c r="ABM39" s="30"/>
      <c r="ABN39" s="30"/>
      <c r="ABO39" s="30"/>
      <c r="ABP39" s="30"/>
      <c r="ABQ39" s="30"/>
      <c r="ABR39" s="30"/>
      <c r="ABS39" s="30"/>
      <c r="ABT39" s="30"/>
      <c r="ABU39" s="30"/>
      <c r="ABV39" s="30"/>
      <c r="ABW39" s="30"/>
      <c r="ABX39" s="30"/>
      <c r="ABY39" s="30"/>
      <c r="ABZ39" s="30"/>
      <c r="ACA39" s="30"/>
      <c r="ACB39" s="30"/>
      <c r="ACC39" s="30"/>
      <c r="ACD39" s="30"/>
      <c r="ACE39" s="30"/>
      <c r="ACF39" s="30"/>
      <c r="ACG39" s="30"/>
      <c r="ACH39" s="30"/>
      <c r="ACI39" s="30"/>
      <c r="ACJ39" s="30"/>
      <c r="ACK39" s="30"/>
      <c r="ACL39" s="30"/>
      <c r="ACM39" s="30"/>
      <c r="ACN39" s="30"/>
      <c r="ACO39" s="30"/>
      <c r="ACP39" s="30"/>
      <c r="ACQ39" s="30"/>
      <c r="ACR39" s="30"/>
      <c r="ACS39" s="30"/>
      <c r="ACT39" s="30"/>
      <c r="ACU39" s="30"/>
      <c r="ACV39" s="30"/>
      <c r="ACW39" s="30"/>
      <c r="ACX39" s="30"/>
      <c r="ACY39" s="30"/>
      <c r="ACZ39" s="30"/>
      <c r="ADA39" s="30"/>
      <c r="ADB39" s="30"/>
      <c r="ADC39" s="30"/>
      <c r="ADD39" s="30"/>
      <c r="ADE39" s="30"/>
      <c r="ADF39" s="30"/>
      <c r="ADG39" s="30"/>
      <c r="ADH39" s="30"/>
      <c r="ADI39" s="30"/>
      <c r="ADJ39" s="30"/>
      <c r="ADK39" s="30"/>
      <c r="ADL39" s="30"/>
      <c r="ADM39" s="30"/>
      <c r="ADN39" s="30"/>
      <c r="ADO39" s="30"/>
      <c r="ADP39" s="30"/>
      <c r="ADQ39" s="30"/>
      <c r="ADR39" s="30"/>
      <c r="ADS39" s="30"/>
      <c r="ADT39" s="30"/>
      <c r="ADU39" s="30"/>
      <c r="ADV39" s="30"/>
      <c r="ADW39" s="30"/>
      <c r="ADX39" s="30"/>
      <c r="ADY39" s="30"/>
      <c r="ADZ39" s="30"/>
      <c r="AEA39" s="30"/>
      <c r="AEB39" s="30"/>
      <c r="AEC39" s="30"/>
      <c r="AED39" s="30"/>
      <c r="AEE39" s="30"/>
      <c r="AEF39" s="30"/>
      <c r="AEG39" s="30"/>
      <c r="AEH39" s="30"/>
      <c r="AEI39" s="30"/>
      <c r="AEJ39" s="30"/>
      <c r="AEK39" s="30"/>
      <c r="AEL39" s="30"/>
      <c r="AEM39" s="30"/>
      <c r="AEN39" s="30"/>
      <c r="AEO39" s="30"/>
      <c r="AEP39" s="30"/>
      <c r="AEQ39" s="30"/>
      <c r="AER39" s="30"/>
      <c r="AES39" s="30"/>
      <c r="AET39" s="30"/>
      <c r="AEU39" s="30"/>
      <c r="AEV39" s="30"/>
      <c r="AEW39" s="30"/>
      <c r="AEX39" s="30"/>
      <c r="AEY39" s="30"/>
      <c r="AEZ39" s="30"/>
      <c r="AFA39" s="30"/>
      <c r="AFB39" s="30"/>
      <c r="AFC39" s="30"/>
      <c r="AFD39" s="30"/>
      <c r="AFE39" s="30"/>
      <c r="AFF39" s="30"/>
      <c r="AFG39" s="30"/>
      <c r="AFH39" s="30"/>
      <c r="AFI39" s="30"/>
      <c r="AFJ39" s="30"/>
      <c r="AFK39" s="30"/>
      <c r="AFL39" s="30"/>
      <c r="AFM39" s="30"/>
      <c r="AFN39" s="30"/>
      <c r="AFO39" s="30"/>
      <c r="AFP39" s="30"/>
      <c r="AFQ39" s="30"/>
      <c r="AFR39" s="30"/>
      <c r="AFS39" s="30"/>
      <c r="AFT39" s="30"/>
      <c r="AFU39" s="30"/>
      <c r="AFV39" s="30"/>
      <c r="AFW39" s="30"/>
      <c r="AFX39" s="30"/>
      <c r="AFY39" s="30"/>
      <c r="AFZ39" s="30"/>
      <c r="AGA39" s="30"/>
      <c r="AGB39" s="30"/>
      <c r="AGC39" s="30"/>
      <c r="AGD39" s="30"/>
      <c r="AGE39" s="30"/>
      <c r="AGF39" s="30"/>
      <c r="AGG39" s="30"/>
      <c r="AGH39" s="30"/>
      <c r="AGI39" s="30"/>
      <c r="AGJ39" s="30"/>
      <c r="AGK39" s="30"/>
      <c r="AGL39" s="30"/>
      <c r="AGM39" s="30"/>
      <c r="AGN39" s="30"/>
      <c r="AGO39" s="30"/>
      <c r="AGP39" s="30"/>
      <c r="AGQ39" s="30"/>
      <c r="AGR39" s="30"/>
      <c r="AGS39" s="30"/>
      <c r="AGT39" s="30"/>
      <c r="AGU39" s="30"/>
      <c r="AGV39" s="30"/>
      <c r="AGW39" s="30"/>
      <c r="AGX39" s="30"/>
      <c r="AGY39" s="30"/>
      <c r="AGZ39" s="30"/>
      <c r="AHA39" s="30"/>
      <c r="AHB39" s="30"/>
      <c r="AHC39" s="30"/>
      <c r="AHD39" s="30"/>
      <c r="AHE39" s="30"/>
      <c r="AHF39" s="30"/>
      <c r="AHG39" s="30"/>
      <c r="AHH39" s="30"/>
      <c r="AHI39" s="30"/>
      <c r="AHJ39" s="30"/>
      <c r="AHK39" s="30"/>
      <c r="AHL39" s="30"/>
      <c r="AHM39" s="30"/>
      <c r="AHN39" s="30"/>
      <c r="AHO39" s="30"/>
      <c r="AHP39" s="30"/>
      <c r="AHQ39" s="30"/>
      <c r="AHR39" s="30"/>
      <c r="AHS39" s="30"/>
      <c r="AHT39" s="30"/>
      <c r="AHU39" s="30"/>
      <c r="AHV39" s="30"/>
      <c r="AHW39" s="30"/>
      <c r="AHX39" s="30"/>
      <c r="AHY39" s="30"/>
      <c r="AHZ39" s="30"/>
      <c r="AIA39" s="30"/>
      <c r="AIB39" s="30"/>
      <c r="AIC39" s="30"/>
      <c r="AID39" s="30"/>
      <c r="AIE39" s="30"/>
      <c r="AIF39" s="30"/>
      <c r="AIG39" s="30"/>
      <c r="AIH39" s="30"/>
      <c r="AII39" s="30"/>
      <c r="AIJ39" s="30"/>
      <c r="AIK39" s="30"/>
      <c r="AIL39" s="30"/>
      <c r="AIM39" s="30"/>
      <c r="AIN39" s="30"/>
      <c r="AIO39" s="30"/>
      <c r="AIP39" s="30"/>
      <c r="AIQ39" s="30"/>
      <c r="AIR39" s="30"/>
      <c r="AIS39" s="30"/>
      <c r="AIT39" s="30"/>
      <c r="AIU39" s="30"/>
      <c r="AIV39" s="30"/>
      <c r="AIW39" s="30"/>
      <c r="AIX39" s="30"/>
      <c r="AIY39" s="30"/>
      <c r="AIZ39" s="30"/>
      <c r="AJA39" s="30"/>
      <c r="AJB39" s="30"/>
      <c r="AJC39" s="30"/>
      <c r="AJD39" s="30"/>
      <c r="AJE39" s="30"/>
      <c r="AJF39" s="30"/>
      <c r="AJG39" s="30"/>
      <c r="AJH39" s="30"/>
      <c r="AJI39" s="30"/>
      <c r="AJJ39" s="30"/>
      <c r="AJK39" s="30"/>
      <c r="AJL39" s="30"/>
      <c r="AJM39" s="30"/>
      <c r="AJN39" s="30"/>
      <c r="AJO39" s="30"/>
      <c r="AJP39" s="30"/>
      <c r="AJQ39" s="30"/>
      <c r="AJR39" s="30"/>
      <c r="AJS39" s="30"/>
      <c r="AJT39" s="30"/>
      <c r="AJU39" s="30"/>
      <c r="AJV39" s="30"/>
      <c r="AJW39" s="30"/>
      <c r="AJX39" s="30"/>
      <c r="AJY39" s="30"/>
      <c r="AJZ39" s="30"/>
      <c r="AKA39" s="30"/>
      <c r="AKB39" s="30"/>
      <c r="AKC39" s="30"/>
      <c r="AKD39" s="30"/>
      <c r="AKE39" s="30"/>
      <c r="AKF39" s="30"/>
      <c r="AKG39" s="30"/>
      <c r="AKH39" s="30"/>
      <c r="AKI39" s="30"/>
      <c r="AKJ39" s="30"/>
      <c r="AKK39" s="30"/>
      <c r="AKL39" s="30"/>
      <c r="AKM39" s="30"/>
      <c r="AKN39" s="30"/>
      <c r="AKO39" s="30"/>
      <c r="AKP39" s="30"/>
      <c r="AKQ39" s="30"/>
      <c r="AKR39" s="30"/>
      <c r="AKS39" s="30"/>
      <c r="AKT39" s="30"/>
      <c r="AKU39" s="30"/>
      <c r="AKV39" s="30"/>
      <c r="AKW39" s="30"/>
      <c r="AKX39" s="30"/>
      <c r="AKY39" s="30"/>
      <c r="AKZ39" s="30"/>
      <c r="ALA39" s="30"/>
      <c r="ALB39" s="30"/>
      <c r="ALC39" s="30"/>
      <c r="ALD39" s="30"/>
      <c r="ALE39" s="30"/>
      <c r="ALF39" s="30"/>
      <c r="ALG39" s="30"/>
      <c r="ALH39" s="30"/>
      <c r="ALI39" s="30"/>
      <c r="ALJ39" s="30"/>
      <c r="ALK39" s="30"/>
      <c r="ALL39" s="30"/>
      <c r="ALM39" s="30"/>
      <c r="ALN39" s="30"/>
      <c r="ALO39" s="30"/>
      <c r="ALP39" s="30"/>
      <c r="ALQ39" s="30"/>
      <c r="ALR39" s="30"/>
      <c r="ALS39" s="30"/>
      <c r="ALT39" s="30"/>
      <c r="ALU39" s="30"/>
      <c r="ALV39" s="30"/>
      <c r="ALW39" s="30"/>
      <c r="ALX39" s="30"/>
      <c r="ALY39" s="30"/>
      <c r="ALZ39" s="30"/>
      <c r="AMA39" s="30"/>
      <c r="AMB39" s="30"/>
      <c r="AMC39" s="30"/>
      <c r="AMD39" s="30"/>
      <c r="AME39" s="30"/>
      <c r="AMF39" s="30"/>
      <c r="AMG39" s="30"/>
      <c r="AMH39" s="30"/>
      <c r="AMI39" s="30"/>
      <c r="AMJ39" s="30"/>
      <c r="AMK39" s="30"/>
      <c r="AML39" s="30"/>
      <c r="AMM39" s="30"/>
      <c r="AMN39" s="30"/>
      <c r="AMO39" s="30"/>
      <c r="AMP39" s="30"/>
      <c r="AMQ39" s="30"/>
      <c r="AMR39" s="30"/>
      <c r="AMS39" s="30"/>
      <c r="AMT39" s="30"/>
      <c r="AMU39" s="30"/>
      <c r="AMV39" s="30"/>
      <c r="AMW39" s="30"/>
      <c r="AMX39" s="30"/>
      <c r="AMY39" s="30"/>
      <c r="AMZ39" s="30"/>
      <c r="ANA39" s="30"/>
      <c r="ANB39" s="30"/>
      <c r="ANC39" s="30"/>
      <c r="AND39" s="30"/>
      <c r="ANE39" s="30"/>
      <c r="ANF39" s="30"/>
      <c r="ANG39" s="30"/>
      <c r="ANH39" s="30"/>
      <c r="ANI39" s="30"/>
      <c r="ANJ39" s="30"/>
      <c r="ANK39" s="30"/>
      <c r="ANL39" s="30"/>
      <c r="ANM39" s="30"/>
      <c r="ANN39" s="30"/>
      <c r="ANO39" s="30"/>
      <c r="ANP39" s="30"/>
      <c r="ANQ39" s="30"/>
      <c r="ANR39" s="30"/>
      <c r="ANS39" s="30"/>
      <c r="ANT39" s="30"/>
      <c r="ANU39" s="30"/>
      <c r="ANV39" s="30"/>
      <c r="ANW39" s="30"/>
      <c r="ANX39" s="30"/>
      <c r="ANY39" s="30"/>
      <c r="ANZ39" s="30"/>
      <c r="AOA39" s="30"/>
      <c r="AOB39" s="30"/>
      <c r="AOC39" s="30"/>
      <c r="AOD39" s="30"/>
      <c r="AOE39" s="30"/>
      <c r="AOF39" s="30"/>
      <c r="AOG39" s="30"/>
      <c r="AOH39" s="30"/>
      <c r="AOI39" s="30"/>
      <c r="AOJ39" s="30"/>
      <c r="AOK39" s="30"/>
      <c r="AOL39" s="30"/>
      <c r="AOM39" s="30"/>
      <c r="AON39" s="30"/>
      <c r="AOO39" s="30"/>
      <c r="AOP39" s="30"/>
      <c r="AOQ39" s="30"/>
      <c r="AOR39" s="30"/>
      <c r="AOS39" s="30"/>
      <c r="AOT39" s="30"/>
      <c r="AOU39" s="30"/>
      <c r="AOV39" s="30"/>
      <c r="AOW39" s="30"/>
      <c r="AOX39" s="30"/>
      <c r="AOY39" s="30"/>
      <c r="AOZ39" s="30"/>
      <c r="APA39" s="30"/>
      <c r="APB39" s="30"/>
      <c r="APC39" s="30"/>
      <c r="APD39" s="30"/>
      <c r="APE39" s="30"/>
      <c r="APF39" s="30"/>
      <c r="APG39" s="30"/>
      <c r="APH39" s="30"/>
      <c r="API39" s="30"/>
      <c r="APJ39" s="30"/>
      <c r="APK39" s="30"/>
      <c r="APL39" s="30"/>
      <c r="APM39" s="30"/>
      <c r="APN39" s="30"/>
      <c r="APO39" s="30"/>
      <c r="APP39" s="30"/>
      <c r="APQ39" s="30"/>
      <c r="APR39" s="30"/>
      <c r="APS39" s="30"/>
      <c r="APT39" s="30"/>
      <c r="APU39" s="30"/>
      <c r="APV39" s="30"/>
      <c r="APW39" s="30"/>
      <c r="APX39" s="30"/>
      <c r="APY39" s="30"/>
      <c r="APZ39" s="30"/>
      <c r="AQA39" s="30"/>
      <c r="AQB39" s="30"/>
      <c r="AQC39" s="30"/>
      <c r="AQD39" s="30"/>
      <c r="AQE39" s="30"/>
      <c r="AQF39" s="30"/>
      <c r="AQG39" s="30"/>
      <c r="AQH39" s="30"/>
      <c r="AQI39" s="30"/>
      <c r="AQJ39" s="30"/>
      <c r="AQK39" s="30"/>
      <c r="AQL39" s="30"/>
      <c r="AQM39" s="30"/>
      <c r="AQN39" s="30"/>
      <c r="AQO39" s="30"/>
      <c r="AQP39" s="30"/>
      <c r="AQQ39" s="30"/>
      <c r="AQR39" s="30"/>
      <c r="AQS39" s="30"/>
      <c r="AQT39" s="30"/>
      <c r="AQU39" s="30"/>
      <c r="AQV39" s="30"/>
      <c r="AQW39" s="30"/>
      <c r="AQX39" s="30"/>
      <c r="AQY39" s="30"/>
      <c r="AQZ39" s="30"/>
      <c r="ARA39" s="30"/>
      <c r="ARB39" s="30"/>
      <c r="ARC39" s="30"/>
      <c r="ARD39" s="30"/>
      <c r="ARE39" s="30"/>
      <c r="ARF39" s="30"/>
      <c r="ARG39" s="30"/>
      <c r="ARH39" s="30"/>
      <c r="ARI39" s="30"/>
      <c r="ARJ39" s="30"/>
      <c r="ARK39" s="30"/>
      <c r="ARL39" s="30"/>
      <c r="ARM39" s="30"/>
      <c r="ARN39" s="30"/>
      <c r="ARO39" s="30"/>
      <c r="ARP39" s="30"/>
      <c r="ARQ39" s="30"/>
      <c r="ARR39" s="30"/>
      <c r="ARS39" s="30"/>
      <c r="ART39" s="30"/>
      <c r="ARU39" s="30"/>
      <c r="ARV39" s="30"/>
      <c r="ARW39" s="30"/>
      <c r="ARX39" s="30"/>
      <c r="ARY39" s="30"/>
      <c r="ARZ39" s="30"/>
      <c r="ASA39" s="30"/>
      <c r="ASB39" s="30"/>
      <c r="ASC39" s="30"/>
      <c r="ASD39" s="30"/>
      <c r="ASE39" s="30"/>
      <c r="ASF39" s="30"/>
      <c r="ASG39" s="30"/>
      <c r="ASH39" s="30"/>
      <c r="ASI39" s="30"/>
      <c r="ASJ39" s="30"/>
      <c r="ASK39" s="30"/>
      <c r="ASL39" s="30"/>
      <c r="ASM39" s="30"/>
      <c r="ASN39" s="30"/>
      <c r="ASO39" s="30"/>
      <c r="ASP39" s="30"/>
      <c r="ASQ39" s="30"/>
      <c r="ASR39" s="30"/>
      <c r="ASS39" s="30"/>
      <c r="AST39" s="30"/>
      <c r="ASU39" s="30"/>
      <c r="ASV39" s="30"/>
      <c r="ASW39" s="30"/>
      <c r="ASX39" s="30"/>
      <c r="ASY39" s="30"/>
      <c r="ASZ39" s="30"/>
      <c r="ATA39" s="30"/>
      <c r="ATB39" s="30"/>
      <c r="ATC39" s="30"/>
      <c r="ATD39" s="30"/>
      <c r="ATE39" s="30"/>
      <c r="ATF39" s="30"/>
      <c r="ATG39" s="30"/>
      <c r="ATH39" s="30"/>
      <c r="ATI39" s="30"/>
      <c r="ATJ39" s="30"/>
      <c r="ATK39" s="30"/>
      <c r="ATL39" s="30"/>
      <c r="ATM39" s="30"/>
      <c r="ATN39" s="30"/>
      <c r="ATO39" s="30"/>
      <c r="ATP39" s="30"/>
      <c r="ATQ39" s="30"/>
      <c r="ATR39" s="30"/>
      <c r="ATS39" s="30"/>
      <c r="ATT39" s="30"/>
      <c r="ATU39" s="30"/>
      <c r="ATV39" s="30"/>
      <c r="ATW39" s="30"/>
      <c r="ATX39" s="30"/>
      <c r="ATY39" s="30"/>
      <c r="ATZ39" s="30"/>
      <c r="AUA39" s="30"/>
      <c r="AUB39" s="30"/>
      <c r="AUC39" s="30"/>
      <c r="AUD39" s="30"/>
      <c r="AUE39" s="30"/>
      <c r="AUF39" s="30"/>
      <c r="AUG39" s="30"/>
      <c r="AUH39" s="30"/>
      <c r="AUI39" s="30"/>
      <c r="AUJ39" s="30"/>
      <c r="AUK39" s="30"/>
      <c r="AUL39" s="30"/>
      <c r="AUM39" s="30"/>
      <c r="AUN39" s="30"/>
      <c r="AUO39" s="30"/>
      <c r="AUP39" s="30"/>
      <c r="AUQ39" s="30"/>
      <c r="AUR39" s="30"/>
      <c r="AUS39" s="30"/>
      <c r="AUT39" s="30"/>
      <c r="AUU39" s="30"/>
      <c r="AUV39" s="30"/>
      <c r="AUW39" s="30"/>
      <c r="AUX39" s="30"/>
      <c r="AUY39" s="30"/>
      <c r="AUZ39" s="30"/>
      <c r="AVA39" s="30"/>
      <c r="AVB39" s="30"/>
      <c r="AVC39" s="30"/>
      <c r="AVD39" s="30"/>
      <c r="AVE39" s="30"/>
      <c r="AVF39" s="30"/>
      <c r="AVG39" s="30"/>
      <c r="AVH39" s="30"/>
      <c r="AVI39" s="30"/>
      <c r="AVJ39" s="30"/>
      <c r="AVK39" s="30"/>
      <c r="AVL39" s="30"/>
      <c r="AVM39" s="30"/>
      <c r="AVN39" s="30"/>
      <c r="AVO39" s="30"/>
      <c r="AVP39" s="30"/>
      <c r="AVQ39" s="30"/>
      <c r="AVR39" s="30"/>
      <c r="AVS39" s="30"/>
      <c r="AVT39" s="30"/>
      <c r="AVU39" s="30"/>
      <c r="AVV39" s="30"/>
      <c r="AVW39" s="30"/>
      <c r="AVX39" s="30"/>
      <c r="AVY39" s="30"/>
      <c r="AVZ39" s="30"/>
      <c r="AWA39" s="30"/>
      <c r="AWB39" s="30"/>
      <c r="AWC39" s="30"/>
      <c r="AWD39" s="30"/>
      <c r="AWE39" s="30"/>
      <c r="AWF39" s="30"/>
      <c r="AWG39" s="30"/>
      <c r="AWH39" s="30"/>
      <c r="AWI39" s="30"/>
      <c r="AWJ39" s="30"/>
      <c r="AWK39" s="30"/>
      <c r="AWL39" s="30"/>
      <c r="AWM39" s="30"/>
      <c r="AWN39" s="30"/>
      <c r="AWO39" s="30"/>
      <c r="AWP39" s="30"/>
      <c r="AWQ39" s="30"/>
      <c r="AWR39" s="30"/>
      <c r="AWS39" s="30"/>
      <c r="AWT39" s="30"/>
      <c r="AWU39" s="30"/>
      <c r="AWV39" s="30"/>
      <c r="AWW39" s="30"/>
      <c r="AWX39" s="30"/>
      <c r="AWY39" s="30"/>
      <c r="AWZ39" s="30"/>
      <c r="AXA39" s="30"/>
      <c r="AXB39" s="30"/>
      <c r="AXC39" s="30"/>
      <c r="AXD39" s="30"/>
      <c r="AXE39" s="30"/>
      <c r="AXF39" s="30"/>
      <c r="AXG39" s="30"/>
      <c r="AXH39" s="30"/>
      <c r="AXI39" s="30"/>
      <c r="AXJ39" s="30"/>
      <c r="AXK39" s="30"/>
      <c r="AXL39" s="30"/>
      <c r="AXM39" s="30"/>
      <c r="AXN39" s="30"/>
      <c r="AXO39" s="30"/>
      <c r="AXP39" s="30"/>
      <c r="AXQ39" s="30"/>
      <c r="AXR39" s="30"/>
      <c r="AXS39" s="30"/>
      <c r="AXT39" s="30"/>
      <c r="AXU39" s="30"/>
      <c r="AXV39" s="30"/>
      <c r="AXW39" s="30"/>
      <c r="AXX39" s="30"/>
      <c r="AXY39" s="30"/>
      <c r="AXZ39" s="30"/>
      <c r="AYA39" s="30"/>
      <c r="AYB39" s="30"/>
      <c r="AYC39" s="30"/>
      <c r="AYD39" s="30"/>
      <c r="AYE39" s="30"/>
      <c r="AYF39" s="30"/>
      <c r="AYG39" s="30"/>
      <c r="AYH39" s="30"/>
      <c r="AYI39" s="30"/>
      <c r="AYJ39" s="30"/>
      <c r="AYK39" s="30"/>
      <c r="AYL39" s="30"/>
      <c r="AYM39" s="30"/>
      <c r="AYN39" s="30"/>
      <c r="AYO39" s="30"/>
      <c r="AYP39" s="30"/>
      <c r="AYQ39" s="30"/>
      <c r="AYR39" s="30"/>
      <c r="AYS39" s="30"/>
      <c r="AYT39" s="30"/>
      <c r="AYU39" s="30"/>
      <c r="AYV39" s="30"/>
      <c r="AYW39" s="30"/>
      <c r="AYX39" s="30"/>
      <c r="AYY39" s="30"/>
      <c r="AYZ39" s="30"/>
      <c r="AZA39" s="30"/>
      <c r="AZB39" s="30"/>
      <c r="AZC39" s="30"/>
      <c r="AZD39" s="30"/>
      <c r="AZE39" s="30"/>
      <c r="AZF39" s="30"/>
      <c r="AZG39" s="30"/>
      <c r="AZH39" s="30"/>
      <c r="AZI39" s="30"/>
      <c r="AZJ39" s="30"/>
      <c r="AZK39" s="30"/>
      <c r="AZL39" s="30"/>
      <c r="AZM39" s="30"/>
      <c r="AZN39" s="30"/>
      <c r="AZO39" s="30"/>
      <c r="AZP39" s="30"/>
      <c r="AZQ39" s="30"/>
      <c r="AZR39" s="30"/>
      <c r="AZS39" s="30"/>
      <c r="AZT39" s="30"/>
      <c r="AZU39" s="30"/>
      <c r="AZV39" s="30"/>
      <c r="AZW39" s="30"/>
      <c r="AZX39" s="30"/>
      <c r="AZY39" s="30"/>
      <c r="AZZ39" s="30"/>
      <c r="BAA39" s="30"/>
      <c r="BAB39" s="30"/>
      <c r="BAC39" s="30"/>
      <c r="BAD39" s="30"/>
      <c r="BAE39" s="30"/>
      <c r="BAF39" s="30"/>
      <c r="BAG39" s="30"/>
      <c r="BAH39" s="30"/>
      <c r="BAI39" s="30"/>
      <c r="BAJ39" s="30"/>
      <c r="BAK39" s="30"/>
      <c r="BAL39" s="30"/>
      <c r="BAM39" s="30"/>
      <c r="BAN39" s="30"/>
      <c r="BAO39" s="30"/>
      <c r="BAP39" s="30"/>
      <c r="BAQ39" s="30"/>
      <c r="BAR39" s="30"/>
      <c r="BAS39" s="30"/>
      <c r="BAT39" s="30"/>
      <c r="BAU39" s="30"/>
      <c r="BAV39" s="30"/>
      <c r="BAW39" s="30"/>
      <c r="BAX39" s="30"/>
      <c r="BAY39" s="30"/>
      <c r="BAZ39" s="30"/>
      <c r="BBA39" s="30"/>
      <c r="BBB39" s="30"/>
      <c r="BBC39" s="30"/>
      <c r="BBD39" s="30"/>
      <c r="BBE39" s="30"/>
      <c r="BBF39" s="30"/>
      <c r="BBG39" s="30"/>
      <c r="BBH39" s="30"/>
      <c r="BBI39" s="30"/>
      <c r="BBJ39" s="30"/>
      <c r="BBK39" s="30"/>
      <c r="BBL39" s="30"/>
      <c r="BBM39" s="30"/>
      <c r="BBN39" s="30"/>
      <c r="BBO39" s="30"/>
      <c r="BBP39" s="30"/>
      <c r="BBQ39" s="30"/>
      <c r="BBR39" s="30"/>
      <c r="BBS39" s="30"/>
      <c r="BBT39" s="30"/>
      <c r="BBU39" s="30"/>
      <c r="BBV39" s="30"/>
      <c r="BBW39" s="30"/>
      <c r="BBX39" s="30"/>
      <c r="BBY39" s="30"/>
      <c r="BBZ39" s="30"/>
      <c r="BCA39" s="30"/>
      <c r="BCB39" s="30"/>
      <c r="BCC39" s="30"/>
      <c r="BCD39" s="30"/>
      <c r="BCE39" s="30"/>
      <c r="BCF39" s="30"/>
      <c r="BCG39" s="30"/>
      <c r="BCH39" s="30"/>
      <c r="BCI39" s="30"/>
      <c r="BCJ39" s="30"/>
      <c r="BCK39" s="30"/>
      <c r="BCL39" s="30"/>
      <c r="BCM39" s="30"/>
      <c r="BCN39" s="30"/>
      <c r="BCO39" s="30"/>
      <c r="BCP39" s="30"/>
      <c r="BCQ39" s="30"/>
      <c r="BCR39" s="30"/>
      <c r="BCS39" s="30"/>
      <c r="BCT39" s="30"/>
      <c r="BCU39" s="30"/>
      <c r="BCV39" s="30"/>
      <c r="BCW39" s="30"/>
      <c r="BCX39" s="30"/>
      <c r="BCY39" s="30"/>
      <c r="BCZ39" s="30"/>
      <c r="BDA39" s="30"/>
      <c r="BDB39" s="30"/>
      <c r="BDC39" s="30"/>
      <c r="BDD39" s="30"/>
      <c r="BDE39" s="30"/>
      <c r="BDF39" s="30"/>
      <c r="BDG39" s="30"/>
      <c r="BDH39" s="30"/>
      <c r="BDI39" s="30"/>
      <c r="BDJ39" s="30"/>
      <c r="BDK39" s="30"/>
      <c r="BDL39" s="30"/>
      <c r="BDM39" s="30"/>
      <c r="BDN39" s="30"/>
      <c r="BDO39" s="30"/>
      <c r="BDP39" s="30"/>
      <c r="BDQ39" s="30"/>
      <c r="BDR39" s="30"/>
      <c r="BDS39" s="30"/>
      <c r="BDT39" s="30"/>
      <c r="BDU39" s="30"/>
      <c r="BDV39" s="30"/>
      <c r="BDW39" s="30"/>
      <c r="BDX39" s="30"/>
      <c r="BDY39" s="30"/>
      <c r="BDZ39" s="30"/>
      <c r="BEA39" s="30"/>
      <c r="BEB39" s="30"/>
      <c r="BEC39" s="30"/>
      <c r="BED39" s="30"/>
      <c r="BEE39" s="30"/>
      <c r="BEF39" s="30"/>
      <c r="BEG39" s="30"/>
      <c r="BEH39" s="30"/>
      <c r="BEI39" s="30"/>
      <c r="BEJ39" s="30"/>
      <c r="BEK39" s="30"/>
      <c r="BEL39" s="30"/>
      <c r="BEM39" s="30"/>
      <c r="BEN39" s="30"/>
      <c r="BEO39" s="30"/>
      <c r="BEP39" s="30"/>
      <c r="BEQ39" s="30"/>
      <c r="BER39" s="30"/>
      <c r="BES39" s="30"/>
      <c r="BET39" s="30"/>
      <c r="BEU39" s="30"/>
      <c r="BEV39" s="30"/>
      <c r="BEW39" s="30"/>
      <c r="BEX39" s="30"/>
      <c r="BEY39" s="30"/>
      <c r="BEZ39" s="30"/>
      <c r="BFA39" s="30"/>
      <c r="BFB39" s="30"/>
      <c r="BFC39" s="30"/>
      <c r="BFD39" s="30"/>
      <c r="BFE39" s="30"/>
      <c r="BFF39" s="30"/>
      <c r="BFG39" s="30"/>
      <c r="BFH39" s="30"/>
      <c r="BFI39" s="30"/>
      <c r="BFJ39" s="30"/>
      <c r="BFK39" s="30"/>
      <c r="BFL39" s="30"/>
      <c r="BFM39" s="30"/>
      <c r="BFN39" s="30"/>
      <c r="BFO39" s="30"/>
      <c r="BFP39" s="30"/>
      <c r="BFQ39" s="30"/>
      <c r="BFR39" s="30"/>
      <c r="BFS39" s="30"/>
      <c r="BFT39" s="30"/>
      <c r="BFU39" s="30"/>
      <c r="BFV39" s="30"/>
      <c r="BFW39" s="30"/>
      <c r="BFX39" s="30"/>
      <c r="BFY39" s="30"/>
      <c r="BFZ39" s="30"/>
      <c r="BGA39" s="30"/>
      <c r="BGB39" s="30"/>
      <c r="BGC39" s="30"/>
      <c r="BGD39" s="30"/>
      <c r="BGE39" s="30"/>
      <c r="BGF39" s="30"/>
      <c r="BGG39" s="30"/>
      <c r="BGH39" s="30"/>
      <c r="BGI39" s="30"/>
      <c r="BGJ39" s="30"/>
      <c r="BGK39" s="30"/>
      <c r="BGL39" s="30"/>
      <c r="BGM39" s="30"/>
      <c r="BGN39" s="30"/>
      <c r="BGO39" s="30"/>
      <c r="BGP39" s="30"/>
      <c r="BGQ39" s="30"/>
      <c r="BGR39" s="30"/>
      <c r="BGS39" s="30"/>
      <c r="BGT39" s="30"/>
      <c r="BGU39" s="30"/>
      <c r="BGV39" s="30"/>
      <c r="BGW39" s="30"/>
      <c r="BGX39" s="30"/>
      <c r="BGY39" s="30"/>
      <c r="BGZ39" s="30"/>
      <c r="BHA39" s="30"/>
      <c r="BHB39" s="30"/>
      <c r="BHC39" s="30"/>
      <c r="BHD39" s="30"/>
      <c r="BHE39" s="30"/>
      <c r="BHF39" s="30"/>
      <c r="BHG39" s="30"/>
      <c r="BHH39" s="30"/>
      <c r="BHI39" s="30"/>
      <c r="BHJ39" s="30"/>
      <c r="BHK39" s="30"/>
      <c r="BHL39" s="30"/>
      <c r="BHM39" s="30"/>
      <c r="BHN39" s="30"/>
      <c r="BHO39" s="30"/>
      <c r="BHP39" s="30"/>
      <c r="BHQ39" s="30"/>
      <c r="BHR39" s="30"/>
      <c r="BHS39" s="30"/>
      <c r="BHT39" s="30"/>
      <c r="BHU39" s="30"/>
      <c r="BHV39" s="30"/>
      <c r="BHW39" s="30"/>
      <c r="BHX39" s="30"/>
      <c r="BHY39" s="30"/>
      <c r="BHZ39" s="30"/>
      <c r="BIA39" s="30"/>
      <c r="BIB39" s="30"/>
      <c r="BIC39" s="30"/>
      <c r="BID39" s="30"/>
      <c r="BIE39" s="30"/>
      <c r="BIF39" s="30"/>
      <c r="BIG39" s="30"/>
      <c r="BIH39" s="30"/>
      <c r="BII39" s="30"/>
      <c r="BIJ39" s="30"/>
      <c r="BIK39" s="30"/>
      <c r="BIL39" s="30"/>
      <c r="BIM39" s="30"/>
      <c r="BIN39" s="30"/>
      <c r="BIO39" s="30"/>
      <c r="BIP39" s="30"/>
      <c r="BIQ39" s="30"/>
      <c r="BIR39" s="30"/>
      <c r="BIS39" s="30"/>
      <c r="BIT39" s="30"/>
      <c r="BIU39" s="30"/>
      <c r="BIV39" s="30"/>
      <c r="BIW39" s="30"/>
      <c r="BIX39" s="30"/>
      <c r="BIY39" s="30"/>
      <c r="BIZ39" s="30"/>
      <c r="BJA39" s="30"/>
      <c r="BJB39" s="30"/>
      <c r="BJC39" s="30"/>
      <c r="BJD39" s="30"/>
      <c r="BJE39" s="30"/>
      <c r="BJF39" s="30"/>
      <c r="BJG39" s="30"/>
      <c r="BJH39" s="30"/>
      <c r="BJI39" s="30"/>
      <c r="BJJ39" s="30"/>
      <c r="BJK39" s="30"/>
      <c r="BJL39" s="30"/>
      <c r="BJM39" s="30"/>
      <c r="BJN39" s="30"/>
      <c r="BJO39" s="30"/>
      <c r="BJP39" s="30"/>
      <c r="BJQ39" s="30"/>
      <c r="BJR39" s="30"/>
      <c r="BJS39" s="30"/>
      <c r="BJT39" s="30"/>
      <c r="BJU39" s="30"/>
      <c r="BJV39" s="30"/>
      <c r="BJW39" s="30"/>
      <c r="BJX39" s="30"/>
      <c r="BJY39" s="30"/>
      <c r="BJZ39" s="30"/>
      <c r="BKA39" s="30"/>
      <c r="BKB39" s="30"/>
      <c r="BKC39" s="30"/>
      <c r="BKD39" s="30"/>
      <c r="BKE39" s="30"/>
      <c r="BKF39" s="30"/>
      <c r="BKG39" s="30"/>
      <c r="BKH39" s="30"/>
      <c r="BKI39" s="30"/>
      <c r="BKJ39" s="30"/>
      <c r="BKK39" s="30"/>
      <c r="BKL39" s="30"/>
      <c r="BKM39" s="30"/>
      <c r="BKN39" s="30"/>
      <c r="BKO39" s="30"/>
      <c r="BKP39" s="30"/>
      <c r="BKQ39" s="30"/>
      <c r="BKR39" s="30"/>
      <c r="BKS39" s="30"/>
      <c r="BKT39" s="30"/>
      <c r="BKU39" s="30"/>
      <c r="BKV39" s="30"/>
      <c r="BKW39" s="30"/>
      <c r="BKX39" s="30"/>
      <c r="BKY39" s="30"/>
      <c r="BKZ39" s="30"/>
      <c r="BLA39" s="30"/>
      <c r="BLB39" s="30"/>
      <c r="BLC39" s="30"/>
      <c r="BLD39" s="30"/>
      <c r="BLE39" s="30"/>
      <c r="BLF39" s="30"/>
      <c r="BLG39" s="30"/>
      <c r="BLH39" s="30"/>
      <c r="BLI39" s="30"/>
      <c r="BLJ39" s="30"/>
      <c r="BLK39" s="30"/>
      <c r="BLL39" s="30"/>
      <c r="BLM39" s="30"/>
      <c r="BLN39" s="30"/>
      <c r="BLO39" s="30"/>
      <c r="BLP39" s="30"/>
      <c r="BLQ39" s="30"/>
      <c r="BLR39" s="30"/>
      <c r="BLS39" s="30"/>
      <c r="BLT39" s="30"/>
      <c r="BLU39" s="30"/>
      <c r="BLV39" s="30"/>
      <c r="BLW39" s="30"/>
      <c r="BLX39" s="30"/>
      <c r="BLY39" s="30"/>
      <c r="BLZ39" s="30"/>
      <c r="BMA39" s="30"/>
      <c r="BMB39" s="30"/>
      <c r="BMC39" s="30"/>
      <c r="BMD39" s="30"/>
      <c r="BME39" s="30"/>
      <c r="BMF39" s="30"/>
      <c r="BMG39" s="30"/>
      <c r="BMH39" s="30"/>
      <c r="BMI39" s="30"/>
      <c r="BMJ39" s="30"/>
      <c r="BMK39" s="30"/>
      <c r="BML39" s="30"/>
      <c r="BMM39" s="30"/>
      <c r="BMN39" s="30"/>
      <c r="BMO39" s="30"/>
      <c r="BMP39" s="30"/>
      <c r="BMQ39" s="30"/>
      <c r="BMR39" s="30"/>
      <c r="BMS39" s="30"/>
      <c r="BMT39" s="30"/>
      <c r="BMU39" s="30"/>
      <c r="BMV39" s="30"/>
      <c r="BMW39" s="30"/>
      <c r="BMX39" s="30"/>
      <c r="BMY39" s="30"/>
      <c r="BMZ39" s="30"/>
      <c r="BNA39" s="30"/>
      <c r="BNB39" s="30"/>
      <c r="BNC39" s="30"/>
      <c r="BND39" s="30"/>
      <c r="BNE39" s="30"/>
      <c r="BNF39" s="30"/>
      <c r="BNG39" s="30"/>
      <c r="BNH39" s="30"/>
      <c r="BNI39" s="30"/>
      <c r="BNJ39" s="30"/>
      <c r="BNK39" s="30"/>
      <c r="BNL39" s="30"/>
      <c r="BNM39" s="30"/>
      <c r="BNN39" s="30"/>
      <c r="BNO39" s="30"/>
      <c r="BNP39" s="30"/>
      <c r="BNQ39" s="30"/>
      <c r="BNR39" s="30"/>
      <c r="BNS39" s="30"/>
      <c r="BNT39" s="30"/>
      <c r="BNU39" s="30"/>
      <c r="BNV39" s="30"/>
      <c r="BNW39" s="30"/>
      <c r="BNX39" s="30"/>
      <c r="BNY39" s="30"/>
      <c r="BNZ39" s="30"/>
      <c r="BOA39" s="30"/>
      <c r="BOB39" s="30"/>
      <c r="BOC39" s="30"/>
      <c r="BOD39" s="30"/>
      <c r="BOE39" s="30"/>
      <c r="BOF39" s="30"/>
      <c r="BOG39" s="30"/>
      <c r="BOH39" s="30"/>
      <c r="BOI39" s="30"/>
      <c r="BOJ39" s="30"/>
      <c r="BOK39" s="30"/>
      <c r="BOL39" s="30"/>
      <c r="BOM39" s="30"/>
      <c r="BON39" s="30"/>
      <c r="BOO39" s="30"/>
      <c r="BOP39" s="30"/>
      <c r="BOQ39" s="30"/>
      <c r="BOR39" s="30"/>
      <c r="BOS39" s="30"/>
      <c r="BOT39" s="30"/>
      <c r="BOU39" s="30"/>
      <c r="BOV39" s="30"/>
      <c r="BOW39" s="30"/>
      <c r="BOX39" s="30"/>
      <c r="BOY39" s="30"/>
      <c r="BOZ39" s="30"/>
      <c r="BPA39" s="30"/>
      <c r="BPB39" s="30"/>
      <c r="BPC39" s="30"/>
      <c r="BPD39" s="30"/>
      <c r="BPE39" s="30"/>
      <c r="BPF39" s="30"/>
      <c r="BPG39" s="30"/>
      <c r="BPH39" s="30"/>
      <c r="BPI39" s="30"/>
      <c r="BPJ39" s="30"/>
      <c r="BPK39" s="30"/>
      <c r="BPL39" s="30"/>
      <c r="BPM39" s="30"/>
      <c r="BPN39" s="30"/>
      <c r="BPO39" s="30"/>
      <c r="BPP39" s="30"/>
      <c r="BPQ39" s="30"/>
      <c r="BPR39" s="30"/>
      <c r="BPS39" s="30"/>
      <c r="BPT39" s="30"/>
      <c r="BPU39" s="30"/>
      <c r="BPV39" s="30"/>
      <c r="BPW39" s="30"/>
      <c r="BPX39" s="30"/>
      <c r="BPY39" s="30"/>
      <c r="BPZ39" s="30"/>
      <c r="BQA39" s="30"/>
      <c r="BQB39" s="30"/>
      <c r="BQC39" s="30"/>
      <c r="BQD39" s="30"/>
      <c r="BQE39" s="30"/>
      <c r="BQF39" s="30"/>
      <c r="BQG39" s="30"/>
      <c r="BQH39" s="30"/>
      <c r="BQI39" s="30"/>
      <c r="BQJ39" s="30"/>
      <c r="BQK39" s="30"/>
      <c r="BQL39" s="30"/>
      <c r="BQM39" s="30"/>
      <c r="BQN39" s="30"/>
      <c r="BQO39" s="30"/>
      <c r="BQP39" s="30"/>
      <c r="BQQ39" s="30"/>
      <c r="BQR39" s="30"/>
      <c r="BQS39" s="30"/>
      <c r="BQT39" s="30"/>
      <c r="BQU39" s="30"/>
      <c r="BQV39" s="30"/>
      <c r="BQW39" s="30"/>
      <c r="BQX39" s="30"/>
      <c r="BQY39" s="30"/>
      <c r="BQZ39" s="30"/>
      <c r="BRA39" s="30"/>
      <c r="BRB39" s="30"/>
      <c r="BRC39" s="30"/>
      <c r="BRD39" s="30"/>
      <c r="BRE39" s="30"/>
      <c r="BRF39" s="30"/>
      <c r="BRG39" s="30"/>
      <c r="BRH39" s="30"/>
      <c r="BRI39" s="30"/>
      <c r="BRJ39" s="30"/>
      <c r="BRK39" s="30"/>
      <c r="BRL39" s="30"/>
      <c r="BRM39" s="30"/>
      <c r="BRN39" s="30"/>
      <c r="BRO39" s="30"/>
      <c r="BRP39" s="30"/>
      <c r="BRQ39" s="30"/>
      <c r="BRR39" s="30"/>
      <c r="BRS39" s="30"/>
      <c r="BRT39" s="30"/>
      <c r="BRU39" s="30"/>
      <c r="BRV39" s="30"/>
      <c r="BRW39" s="30"/>
      <c r="BRX39" s="30"/>
      <c r="BRY39" s="30"/>
      <c r="BRZ39" s="30"/>
      <c r="BSA39" s="30"/>
      <c r="BSB39" s="30"/>
      <c r="BSC39" s="30"/>
      <c r="BSD39" s="30"/>
      <c r="BSE39" s="30"/>
      <c r="BSF39" s="30"/>
      <c r="BSG39" s="30"/>
      <c r="BSH39" s="30"/>
      <c r="BSI39" s="30"/>
      <c r="BSJ39" s="30"/>
      <c r="BSK39" s="30"/>
      <c r="BSL39" s="30"/>
      <c r="BSM39" s="30"/>
      <c r="BSN39" s="30"/>
      <c r="BSO39" s="30"/>
      <c r="BSP39" s="30"/>
      <c r="BSQ39" s="30"/>
      <c r="BSR39" s="30"/>
      <c r="BSS39" s="30"/>
      <c r="BST39" s="30"/>
      <c r="BSU39" s="30"/>
      <c r="BSV39" s="30"/>
      <c r="BSW39" s="30"/>
      <c r="BSX39" s="30"/>
      <c r="BSY39" s="30"/>
      <c r="BSZ39" s="30"/>
      <c r="BTA39" s="30"/>
      <c r="BTB39" s="30"/>
      <c r="BTC39" s="30"/>
      <c r="BTD39" s="30"/>
      <c r="BTE39" s="30"/>
      <c r="BTF39" s="30"/>
      <c r="BTG39" s="30"/>
      <c r="BTH39" s="30"/>
      <c r="BTI39" s="30"/>
      <c r="BTJ39" s="30"/>
      <c r="BTK39" s="30"/>
      <c r="BTL39" s="30"/>
      <c r="BTM39" s="30"/>
      <c r="BTN39" s="30"/>
      <c r="BTO39" s="30"/>
      <c r="BTP39" s="30"/>
      <c r="BTQ39" s="30"/>
      <c r="BTR39" s="30"/>
      <c r="BTS39" s="30"/>
      <c r="BTT39" s="30"/>
      <c r="BTU39" s="30"/>
      <c r="BTV39" s="30"/>
      <c r="BTW39" s="30"/>
      <c r="BTX39" s="30"/>
      <c r="BTY39" s="30"/>
      <c r="BTZ39" s="30"/>
      <c r="BUA39" s="30"/>
      <c r="BUB39" s="30"/>
      <c r="BUC39" s="30"/>
      <c r="BUD39" s="30"/>
      <c r="BUE39" s="30"/>
      <c r="BUF39" s="30"/>
      <c r="BUG39" s="30"/>
      <c r="BUH39" s="30"/>
      <c r="BUI39" s="30"/>
      <c r="BUJ39" s="30"/>
      <c r="BUK39" s="30"/>
      <c r="BUL39" s="30"/>
      <c r="BUM39" s="30"/>
      <c r="BUN39" s="30"/>
      <c r="BUO39" s="30"/>
      <c r="BUP39" s="30"/>
      <c r="BUQ39" s="30"/>
      <c r="BUR39" s="30"/>
      <c r="BUS39" s="30"/>
      <c r="BUT39" s="30"/>
      <c r="BUU39" s="30"/>
      <c r="BUV39" s="30"/>
      <c r="BUW39" s="30"/>
      <c r="BUX39" s="30"/>
      <c r="BUY39" s="30"/>
      <c r="BUZ39" s="30"/>
      <c r="BVA39" s="30"/>
      <c r="BVB39" s="30"/>
      <c r="BVC39" s="30"/>
      <c r="BVD39" s="30"/>
      <c r="BVE39" s="30"/>
      <c r="BVF39" s="30"/>
      <c r="BVG39" s="30"/>
      <c r="BVH39" s="30"/>
      <c r="BVI39" s="30"/>
      <c r="BVJ39" s="30"/>
      <c r="BVK39" s="30"/>
      <c r="BVL39" s="30"/>
      <c r="BVM39" s="30"/>
      <c r="BVN39" s="30"/>
      <c r="BVO39" s="30"/>
      <c r="BVP39" s="30"/>
      <c r="BVQ39" s="30"/>
      <c r="BVR39" s="30"/>
      <c r="BVS39" s="30"/>
      <c r="BVT39" s="30"/>
      <c r="BVU39" s="30"/>
      <c r="BVV39" s="30"/>
      <c r="BVW39" s="30"/>
      <c r="BVX39" s="30"/>
      <c r="BVY39" s="30"/>
      <c r="BVZ39" s="30"/>
      <c r="BWA39" s="30"/>
      <c r="BWB39" s="30"/>
      <c r="BWC39" s="30"/>
      <c r="BWD39" s="30"/>
      <c r="BWE39" s="30"/>
      <c r="BWF39" s="30"/>
      <c r="BWG39" s="30"/>
      <c r="BWH39" s="30"/>
      <c r="BWI39" s="30"/>
      <c r="BWJ39" s="30"/>
      <c r="BWK39" s="30"/>
      <c r="BWL39" s="30"/>
      <c r="BWM39" s="30"/>
      <c r="BWN39" s="30"/>
      <c r="BWO39" s="30"/>
      <c r="BWP39" s="30"/>
      <c r="BWQ39" s="30"/>
      <c r="BWR39" s="30"/>
      <c r="BWS39" s="30"/>
      <c r="BWT39" s="30"/>
      <c r="BWU39" s="30"/>
      <c r="BWV39" s="30"/>
      <c r="BWW39" s="30"/>
      <c r="BWX39" s="30"/>
      <c r="BWY39" s="30"/>
      <c r="BWZ39" s="30"/>
      <c r="BXA39" s="30"/>
      <c r="BXB39" s="30"/>
      <c r="BXC39" s="30"/>
      <c r="BXD39" s="30"/>
      <c r="BXE39" s="30"/>
      <c r="BXF39" s="30"/>
      <c r="BXG39" s="30"/>
      <c r="BXH39" s="30"/>
      <c r="BXI39" s="30"/>
      <c r="BXJ39" s="30"/>
      <c r="BXK39" s="30"/>
      <c r="BXL39" s="30"/>
      <c r="BXM39" s="30"/>
      <c r="BXN39" s="30"/>
      <c r="BXO39" s="30"/>
      <c r="BXP39" s="30"/>
      <c r="BXQ39" s="30"/>
      <c r="BXR39" s="30"/>
      <c r="BXS39" s="30"/>
      <c r="BXT39" s="30"/>
      <c r="BXU39" s="30"/>
      <c r="BXV39" s="30"/>
      <c r="BXW39" s="30"/>
      <c r="BXX39" s="30"/>
      <c r="BXY39" s="30"/>
      <c r="BXZ39" s="30"/>
      <c r="BYA39" s="30"/>
      <c r="BYB39" s="30"/>
      <c r="BYC39" s="30"/>
      <c r="BYD39" s="30"/>
      <c r="BYE39" s="30"/>
      <c r="BYF39" s="30"/>
      <c r="BYG39" s="30"/>
      <c r="BYH39" s="30"/>
      <c r="BYI39" s="30"/>
      <c r="BYJ39" s="30"/>
      <c r="BYK39" s="30"/>
      <c r="BYL39" s="30"/>
      <c r="BYM39" s="30"/>
      <c r="BYN39" s="30"/>
      <c r="BYO39" s="30"/>
      <c r="BYP39" s="30"/>
      <c r="BYQ39" s="30"/>
      <c r="BYR39" s="30"/>
      <c r="BYS39" s="30"/>
      <c r="BYT39" s="30"/>
      <c r="BYU39" s="30"/>
      <c r="BYV39" s="30"/>
      <c r="BYW39" s="30"/>
      <c r="BYX39" s="30"/>
      <c r="BYY39" s="30"/>
      <c r="BYZ39" s="30"/>
      <c r="BZA39" s="30"/>
      <c r="BZB39" s="30"/>
      <c r="BZC39" s="30"/>
      <c r="BZD39" s="30"/>
      <c r="BZE39" s="30"/>
      <c r="BZF39" s="30"/>
      <c r="BZG39" s="30"/>
      <c r="BZH39" s="30"/>
      <c r="BZI39" s="30"/>
      <c r="BZJ39" s="30"/>
      <c r="BZK39" s="30"/>
      <c r="BZL39" s="30"/>
      <c r="BZM39" s="30"/>
      <c r="BZN39" s="30"/>
      <c r="BZO39" s="30"/>
      <c r="BZP39" s="30"/>
      <c r="BZQ39" s="30"/>
      <c r="BZR39" s="30"/>
      <c r="BZS39" s="30"/>
      <c r="BZT39" s="30"/>
      <c r="BZU39" s="30"/>
      <c r="BZV39" s="30"/>
      <c r="BZW39" s="30"/>
      <c r="BZX39" s="30"/>
      <c r="BZY39" s="30"/>
      <c r="BZZ39" s="30"/>
      <c r="CAA39" s="30"/>
      <c r="CAB39" s="30"/>
      <c r="CAC39" s="30"/>
      <c r="CAD39" s="30"/>
      <c r="CAE39" s="30"/>
      <c r="CAF39" s="30"/>
      <c r="CAG39" s="30"/>
      <c r="CAH39" s="30"/>
      <c r="CAI39" s="30"/>
      <c r="CAJ39" s="30"/>
      <c r="CAK39" s="30"/>
      <c r="CAL39" s="30"/>
      <c r="CAM39" s="30"/>
      <c r="CAN39" s="30"/>
      <c r="CAO39" s="30"/>
      <c r="CAP39" s="30"/>
      <c r="CAQ39" s="30"/>
      <c r="CAR39" s="30"/>
      <c r="CAS39" s="30"/>
      <c r="CAT39" s="30"/>
      <c r="CAU39" s="30"/>
      <c r="CAV39" s="30"/>
      <c r="CAW39" s="30"/>
      <c r="CAX39" s="30"/>
      <c r="CAY39" s="30"/>
      <c r="CAZ39" s="30"/>
      <c r="CBA39" s="30"/>
      <c r="CBB39" s="30"/>
      <c r="CBC39" s="30"/>
      <c r="CBD39" s="30"/>
      <c r="CBE39" s="30"/>
      <c r="CBF39" s="30"/>
      <c r="CBG39" s="30"/>
      <c r="CBH39" s="30"/>
      <c r="CBI39" s="30"/>
      <c r="CBJ39" s="30"/>
      <c r="CBK39" s="30"/>
      <c r="CBL39" s="30"/>
      <c r="CBM39" s="30"/>
      <c r="CBN39" s="30"/>
      <c r="CBO39" s="30"/>
      <c r="CBP39" s="30"/>
      <c r="CBQ39" s="30"/>
      <c r="CBR39" s="30"/>
      <c r="CBS39" s="30"/>
      <c r="CBT39" s="30"/>
      <c r="CBU39" s="30"/>
      <c r="CBV39" s="30"/>
      <c r="CBW39" s="30"/>
      <c r="CBX39" s="30"/>
      <c r="CBY39" s="30"/>
      <c r="CBZ39" s="30"/>
      <c r="CCA39" s="30"/>
      <c r="CCB39" s="30"/>
      <c r="CCC39" s="30"/>
      <c r="CCD39" s="30"/>
      <c r="CCE39" s="30"/>
      <c r="CCF39" s="30"/>
      <c r="CCG39" s="30"/>
      <c r="CCH39" s="30"/>
      <c r="CCI39" s="30"/>
      <c r="CCJ39" s="30"/>
      <c r="CCK39" s="30"/>
      <c r="CCL39" s="30"/>
      <c r="CCM39" s="30"/>
      <c r="CCN39" s="30"/>
      <c r="CCO39" s="30"/>
      <c r="CCP39" s="30"/>
      <c r="CCQ39" s="30"/>
      <c r="CCR39" s="30"/>
      <c r="CCS39" s="30"/>
      <c r="CCT39" s="30"/>
      <c r="CCU39" s="30"/>
      <c r="CCV39" s="30"/>
      <c r="CCW39" s="30"/>
      <c r="CCX39" s="30"/>
      <c r="CCY39" s="30"/>
      <c r="CCZ39" s="30"/>
      <c r="CDA39" s="30"/>
      <c r="CDB39" s="30"/>
      <c r="CDC39" s="30"/>
      <c r="CDD39" s="30"/>
      <c r="CDE39" s="30"/>
      <c r="CDF39" s="30"/>
      <c r="CDG39" s="30"/>
      <c r="CDH39" s="30"/>
      <c r="CDI39" s="30"/>
      <c r="CDJ39" s="30"/>
      <c r="CDK39" s="30"/>
      <c r="CDL39" s="30"/>
      <c r="CDM39" s="30"/>
      <c r="CDN39" s="30"/>
      <c r="CDO39" s="30"/>
      <c r="CDP39" s="30"/>
      <c r="CDQ39" s="30"/>
      <c r="CDR39" s="30"/>
      <c r="CDS39" s="30"/>
      <c r="CDT39" s="30"/>
      <c r="CDU39" s="30"/>
      <c r="CDV39" s="30"/>
      <c r="CDW39" s="30"/>
      <c r="CDX39" s="30"/>
      <c r="CDY39" s="30"/>
      <c r="CDZ39" s="30"/>
      <c r="CEA39" s="30"/>
      <c r="CEB39" s="30"/>
      <c r="CEC39" s="30"/>
      <c r="CED39" s="30"/>
      <c r="CEE39" s="30"/>
      <c r="CEF39" s="30"/>
      <c r="CEG39" s="30"/>
      <c r="CEH39" s="30"/>
      <c r="CEI39" s="30"/>
      <c r="CEJ39" s="30"/>
      <c r="CEK39" s="30"/>
      <c r="CEL39" s="30"/>
      <c r="CEM39" s="30"/>
      <c r="CEN39" s="30"/>
      <c r="CEO39" s="30"/>
      <c r="CEP39" s="30"/>
      <c r="CEQ39" s="30"/>
      <c r="CER39" s="30"/>
      <c r="CES39" s="30"/>
      <c r="CET39" s="30"/>
      <c r="CEU39" s="30"/>
      <c r="CEV39" s="30"/>
      <c r="CEW39" s="30"/>
      <c r="CEX39" s="30"/>
      <c r="CEY39" s="30"/>
      <c r="CEZ39" s="30"/>
      <c r="CFA39" s="30"/>
      <c r="CFB39" s="30"/>
      <c r="CFC39" s="30"/>
      <c r="CFD39" s="30"/>
      <c r="CFE39" s="30"/>
      <c r="CFF39" s="30"/>
      <c r="CFG39" s="30"/>
      <c r="CFH39" s="30"/>
      <c r="CFI39" s="30"/>
      <c r="CFJ39" s="30"/>
      <c r="CFK39" s="30"/>
      <c r="CFL39" s="30"/>
      <c r="CFM39" s="30"/>
      <c r="CFN39" s="30"/>
      <c r="CFO39" s="30"/>
      <c r="CFP39" s="30"/>
      <c r="CFQ39" s="30"/>
      <c r="CFR39" s="30"/>
      <c r="CFS39" s="30"/>
      <c r="CFT39" s="30"/>
      <c r="CFU39" s="30"/>
      <c r="CFV39" s="30"/>
      <c r="CFW39" s="30"/>
      <c r="CFX39" s="30"/>
      <c r="CFY39" s="30"/>
      <c r="CFZ39" s="30"/>
      <c r="CGA39" s="30"/>
      <c r="CGB39" s="30"/>
      <c r="CGC39" s="30"/>
      <c r="CGD39" s="30"/>
      <c r="CGE39" s="30"/>
      <c r="CGF39" s="30"/>
      <c r="CGG39" s="30"/>
      <c r="CGH39" s="30"/>
      <c r="CGI39" s="30"/>
      <c r="CGJ39" s="30"/>
      <c r="CGK39" s="30"/>
      <c r="CGL39" s="30"/>
      <c r="CGM39" s="30"/>
      <c r="CGN39" s="30"/>
      <c r="CGO39" s="30"/>
      <c r="CGP39" s="30"/>
      <c r="CGQ39" s="30"/>
      <c r="CGR39" s="30"/>
      <c r="CGS39" s="30"/>
      <c r="CGT39" s="30"/>
      <c r="CGU39" s="30"/>
      <c r="CGV39" s="30"/>
      <c r="CGW39" s="30"/>
      <c r="CGX39" s="30"/>
      <c r="CGY39" s="30"/>
      <c r="CGZ39" s="30"/>
      <c r="CHA39" s="30"/>
      <c r="CHB39" s="30"/>
      <c r="CHC39" s="30"/>
      <c r="CHD39" s="30"/>
      <c r="CHE39" s="30"/>
      <c r="CHF39" s="30"/>
      <c r="CHG39" s="30"/>
      <c r="CHH39" s="30"/>
      <c r="CHI39" s="30"/>
      <c r="CHJ39" s="30"/>
      <c r="CHK39" s="30"/>
      <c r="CHL39" s="30"/>
      <c r="CHM39" s="30"/>
      <c r="CHN39" s="30"/>
      <c r="CHO39" s="30"/>
      <c r="CHP39" s="30"/>
      <c r="CHQ39" s="30"/>
      <c r="CHR39" s="30"/>
      <c r="CHS39" s="30"/>
      <c r="CHT39" s="30"/>
      <c r="CHU39" s="30"/>
      <c r="CHV39" s="30"/>
      <c r="CHW39" s="30"/>
      <c r="CHX39" s="30"/>
      <c r="CHY39" s="30"/>
      <c r="CHZ39" s="30"/>
      <c r="CIA39" s="30"/>
      <c r="CIB39" s="30"/>
      <c r="CIC39" s="30"/>
      <c r="CID39" s="30"/>
      <c r="CIE39" s="30"/>
      <c r="CIF39" s="30"/>
      <c r="CIG39" s="30"/>
      <c r="CIH39" s="30"/>
      <c r="CII39" s="30"/>
      <c r="CIJ39" s="30"/>
      <c r="CIK39" s="30"/>
      <c r="CIL39" s="30"/>
      <c r="CIM39" s="30"/>
      <c r="CIN39" s="30"/>
      <c r="CIO39" s="30"/>
      <c r="CIP39" s="30"/>
      <c r="CIQ39" s="30"/>
      <c r="CIR39" s="30"/>
      <c r="CIS39" s="30"/>
      <c r="CIT39" s="30"/>
      <c r="CIU39" s="30"/>
      <c r="CIV39" s="30"/>
      <c r="CIW39" s="30"/>
      <c r="CIX39" s="30"/>
      <c r="CIY39" s="30"/>
      <c r="CIZ39" s="30"/>
      <c r="CJA39" s="30"/>
      <c r="CJB39" s="30"/>
      <c r="CJC39" s="30"/>
      <c r="CJD39" s="30"/>
      <c r="CJE39" s="30"/>
      <c r="CJF39" s="30"/>
      <c r="CJG39" s="30"/>
      <c r="CJH39" s="30"/>
      <c r="CJI39" s="30"/>
      <c r="CJJ39" s="30"/>
      <c r="CJK39" s="30"/>
      <c r="CJL39" s="30"/>
      <c r="CJM39" s="30"/>
      <c r="CJN39" s="30"/>
      <c r="CJO39" s="30"/>
      <c r="CJP39" s="30"/>
      <c r="CJQ39" s="30"/>
      <c r="CJR39" s="30"/>
      <c r="CJS39" s="30"/>
      <c r="CJT39" s="30"/>
      <c r="CJU39" s="30"/>
      <c r="CJV39" s="30"/>
      <c r="CJW39" s="30"/>
      <c r="CJX39" s="30"/>
      <c r="CJY39" s="30"/>
      <c r="CJZ39" s="30"/>
      <c r="CKA39" s="30"/>
      <c r="CKB39" s="30"/>
      <c r="CKC39" s="30"/>
      <c r="CKD39" s="30"/>
      <c r="CKE39" s="30"/>
      <c r="CKF39" s="30"/>
      <c r="CKG39" s="30"/>
      <c r="CKH39" s="30"/>
      <c r="CKI39" s="30"/>
      <c r="CKJ39" s="30"/>
      <c r="CKK39" s="30"/>
      <c r="CKL39" s="30"/>
      <c r="CKM39" s="30"/>
      <c r="CKN39" s="30"/>
      <c r="CKO39" s="30"/>
      <c r="CKP39" s="30"/>
      <c r="CKQ39" s="30"/>
      <c r="CKR39" s="30"/>
      <c r="CKS39" s="30"/>
      <c r="CKT39" s="30"/>
      <c r="CKU39" s="30"/>
      <c r="CKV39" s="30"/>
      <c r="CKW39" s="30"/>
      <c r="CKX39" s="30"/>
      <c r="CKY39" s="30"/>
      <c r="CKZ39" s="30"/>
      <c r="CLA39" s="30"/>
      <c r="CLB39" s="30"/>
      <c r="CLC39" s="30"/>
      <c r="CLD39" s="30"/>
      <c r="CLE39" s="30"/>
      <c r="CLF39" s="30"/>
      <c r="CLG39" s="30"/>
      <c r="CLH39" s="30"/>
      <c r="CLI39" s="30"/>
      <c r="CLJ39" s="30"/>
      <c r="CLK39" s="30"/>
      <c r="CLL39" s="30"/>
      <c r="CLM39" s="30"/>
      <c r="CLN39" s="30"/>
      <c r="CLO39" s="30"/>
      <c r="CLP39" s="30"/>
      <c r="CLQ39" s="30"/>
      <c r="CLR39" s="30"/>
      <c r="CLS39" s="30"/>
      <c r="CLT39" s="30"/>
      <c r="CLU39" s="30"/>
      <c r="CLV39" s="30"/>
      <c r="CLW39" s="30"/>
      <c r="CLX39" s="30"/>
      <c r="CLY39" s="30"/>
      <c r="CLZ39" s="30"/>
      <c r="CMA39" s="30"/>
      <c r="CMB39" s="30"/>
      <c r="CMC39" s="30"/>
      <c r="CMD39" s="30"/>
      <c r="CME39" s="30"/>
      <c r="CMF39" s="30"/>
      <c r="CMG39" s="30"/>
      <c r="CMH39" s="30"/>
      <c r="CMI39" s="30"/>
      <c r="CMJ39" s="30"/>
      <c r="CMK39" s="30"/>
      <c r="CML39" s="30"/>
      <c r="CMM39" s="30"/>
      <c r="CMN39" s="30"/>
      <c r="CMO39" s="30"/>
      <c r="CMP39" s="30"/>
      <c r="CMQ39" s="30"/>
      <c r="CMR39" s="30"/>
      <c r="CMS39" s="30"/>
      <c r="CMT39" s="30"/>
      <c r="CMU39" s="30"/>
      <c r="CMV39" s="30"/>
      <c r="CMW39" s="30"/>
      <c r="CMX39" s="30"/>
      <c r="CMY39" s="30"/>
      <c r="CMZ39" s="30"/>
      <c r="CNA39" s="30"/>
      <c r="CNB39" s="30"/>
      <c r="CNC39" s="30"/>
      <c r="CND39" s="30"/>
      <c r="CNE39" s="30"/>
      <c r="CNF39" s="30"/>
      <c r="CNG39" s="30"/>
      <c r="CNH39" s="30"/>
      <c r="CNI39" s="30"/>
      <c r="CNJ39" s="30"/>
      <c r="CNK39" s="30"/>
      <c r="CNL39" s="30"/>
      <c r="CNM39" s="30"/>
      <c r="CNN39" s="30"/>
      <c r="CNO39" s="30"/>
      <c r="CNP39" s="30"/>
      <c r="CNQ39" s="30"/>
      <c r="CNR39" s="30"/>
      <c r="CNS39" s="30"/>
      <c r="CNT39" s="30"/>
      <c r="CNU39" s="30"/>
      <c r="CNV39" s="30"/>
      <c r="CNW39" s="30"/>
      <c r="CNX39" s="30"/>
      <c r="CNY39" s="30"/>
      <c r="CNZ39" s="30"/>
      <c r="COA39" s="30"/>
      <c r="COB39" s="30"/>
      <c r="COC39" s="30"/>
      <c r="COD39" s="30"/>
      <c r="COE39" s="30"/>
      <c r="COF39" s="30"/>
      <c r="COG39" s="30"/>
      <c r="COH39" s="30"/>
      <c r="COI39" s="30"/>
      <c r="COJ39" s="30"/>
      <c r="COK39" s="30"/>
      <c r="COL39" s="30"/>
      <c r="COM39" s="30"/>
      <c r="CON39" s="30"/>
      <c r="COO39" s="30"/>
      <c r="COP39" s="30"/>
      <c r="COQ39" s="30"/>
      <c r="COR39" s="30"/>
      <c r="COS39" s="30"/>
      <c r="COT39" s="30"/>
      <c r="COU39" s="30"/>
      <c r="COV39" s="30"/>
      <c r="COW39" s="30"/>
      <c r="COX39" s="30"/>
      <c r="COY39" s="30"/>
      <c r="COZ39" s="30"/>
      <c r="CPA39" s="30"/>
      <c r="CPB39" s="30"/>
      <c r="CPC39" s="30"/>
      <c r="CPD39" s="30"/>
      <c r="CPE39" s="30"/>
      <c r="CPF39" s="30"/>
      <c r="CPG39" s="30"/>
      <c r="CPH39" s="30"/>
      <c r="CPI39" s="30"/>
      <c r="CPJ39" s="30"/>
      <c r="CPK39" s="30"/>
      <c r="CPL39" s="30"/>
      <c r="CPM39" s="30"/>
      <c r="CPN39" s="30"/>
      <c r="CPO39" s="30"/>
      <c r="CPP39" s="30"/>
      <c r="CPQ39" s="30"/>
      <c r="CPR39" s="30"/>
      <c r="CPS39" s="30"/>
      <c r="CPT39" s="30"/>
      <c r="CPU39" s="30"/>
      <c r="CPV39" s="30"/>
      <c r="CPW39" s="30"/>
      <c r="CPX39" s="30"/>
      <c r="CPY39" s="30"/>
      <c r="CPZ39" s="30"/>
      <c r="CQA39" s="30"/>
      <c r="CQB39" s="30"/>
      <c r="CQC39" s="30"/>
      <c r="CQD39" s="30"/>
      <c r="CQE39" s="30"/>
      <c r="CQF39" s="30"/>
      <c r="CQG39" s="30"/>
      <c r="CQH39" s="30"/>
      <c r="CQI39" s="30"/>
      <c r="CQJ39" s="30"/>
      <c r="CQK39" s="30"/>
      <c r="CQL39" s="30"/>
      <c r="CQM39" s="30"/>
      <c r="CQN39" s="30"/>
      <c r="CQO39" s="30"/>
      <c r="CQP39" s="30"/>
      <c r="CQQ39" s="30"/>
      <c r="CQR39" s="30"/>
      <c r="CQS39" s="30"/>
      <c r="CQT39" s="30"/>
      <c r="CQU39" s="30"/>
      <c r="CQV39" s="30"/>
      <c r="CQW39" s="30"/>
      <c r="CQX39" s="30"/>
      <c r="CQY39" s="30"/>
      <c r="CQZ39" s="30"/>
      <c r="CRA39" s="30"/>
      <c r="CRB39" s="30"/>
      <c r="CRC39" s="30"/>
      <c r="CRD39" s="30"/>
      <c r="CRE39" s="30"/>
      <c r="CRF39" s="30"/>
      <c r="CRG39" s="30"/>
      <c r="CRH39" s="30"/>
      <c r="CRI39" s="30"/>
      <c r="CRJ39" s="30"/>
      <c r="CRK39" s="30"/>
      <c r="CRL39" s="30"/>
      <c r="CRM39" s="30"/>
      <c r="CRN39" s="30"/>
      <c r="CRO39" s="30"/>
      <c r="CRP39" s="30"/>
      <c r="CRQ39" s="30"/>
      <c r="CRR39" s="30"/>
      <c r="CRS39" s="30"/>
      <c r="CRT39" s="30"/>
      <c r="CRU39" s="30"/>
      <c r="CRV39" s="30"/>
      <c r="CRW39" s="30"/>
      <c r="CRX39" s="30"/>
      <c r="CRY39" s="30"/>
      <c r="CRZ39" s="30"/>
      <c r="CSA39" s="30"/>
      <c r="CSB39" s="30"/>
      <c r="CSC39" s="30"/>
      <c r="CSD39" s="30"/>
      <c r="CSE39" s="30"/>
      <c r="CSF39" s="30"/>
      <c r="CSG39" s="30"/>
      <c r="CSH39" s="30"/>
      <c r="CSI39" s="30"/>
      <c r="CSJ39" s="30"/>
      <c r="CSK39" s="30"/>
      <c r="CSL39" s="30"/>
      <c r="CSM39" s="30"/>
      <c r="CSN39" s="30"/>
      <c r="CSO39" s="30"/>
      <c r="CSP39" s="30"/>
      <c r="CSQ39" s="30"/>
      <c r="CSR39" s="30"/>
      <c r="CSS39" s="30"/>
      <c r="CST39" s="30"/>
      <c r="CSU39" s="30"/>
      <c r="CSV39" s="30"/>
      <c r="CSW39" s="30"/>
      <c r="CSX39" s="30"/>
      <c r="CSY39" s="30"/>
      <c r="CSZ39" s="30"/>
      <c r="CTA39" s="30"/>
      <c r="CTB39" s="30"/>
      <c r="CTC39" s="30"/>
      <c r="CTD39" s="30"/>
      <c r="CTE39" s="30"/>
      <c r="CTF39" s="30"/>
      <c r="CTG39" s="30"/>
      <c r="CTH39" s="30"/>
      <c r="CTI39" s="30"/>
      <c r="CTJ39" s="30"/>
      <c r="CTK39" s="30"/>
      <c r="CTL39" s="30"/>
      <c r="CTM39" s="30"/>
      <c r="CTN39" s="30"/>
      <c r="CTO39" s="30"/>
      <c r="CTP39" s="30"/>
      <c r="CTQ39" s="30"/>
      <c r="CTR39" s="30"/>
      <c r="CTS39" s="30"/>
      <c r="CTT39" s="30"/>
      <c r="CTU39" s="30"/>
      <c r="CTV39" s="30"/>
      <c r="CTW39" s="30"/>
      <c r="CTX39" s="30"/>
      <c r="CTY39" s="30"/>
      <c r="CTZ39" s="30"/>
      <c r="CUA39" s="30"/>
    </row>
    <row r="40" s="30" customFormat="1" spans="1:18">
      <c r="A40" s="268">
        <v>49</v>
      </c>
      <c r="B40" s="268" t="s">
        <v>15</v>
      </c>
      <c r="C40" s="268" t="s">
        <v>37</v>
      </c>
      <c r="D40" s="82" t="s">
        <v>675</v>
      </c>
      <c r="E40" s="29" t="s">
        <v>771</v>
      </c>
      <c r="F40" s="31" t="s">
        <v>772</v>
      </c>
      <c r="G40" s="31" t="s">
        <v>773</v>
      </c>
      <c r="H40" s="119" t="s">
        <v>774</v>
      </c>
      <c r="I40" s="31">
        <v>2010.08</v>
      </c>
      <c r="J40" s="31" t="s">
        <v>775</v>
      </c>
      <c r="K40" s="31" t="s">
        <v>776</v>
      </c>
      <c r="L40" s="31" t="s">
        <v>667</v>
      </c>
      <c r="M40" s="29" t="s">
        <v>674</v>
      </c>
      <c r="N40" s="94">
        <v>45583</v>
      </c>
      <c r="O40" s="94">
        <v>45947</v>
      </c>
      <c r="P40" s="29">
        <v>60</v>
      </c>
      <c r="Q40" s="85"/>
      <c r="R40" s="251"/>
    </row>
    <row r="41" s="30" customFormat="1" spans="1:18">
      <c r="A41" s="268">
        <v>50</v>
      </c>
      <c r="B41" s="268" t="s">
        <v>13</v>
      </c>
      <c r="C41" s="268" t="s">
        <v>37</v>
      </c>
      <c r="D41" s="82" t="s">
        <v>330</v>
      </c>
      <c r="E41" s="29" t="s">
        <v>771</v>
      </c>
      <c r="F41" s="31" t="s">
        <v>777</v>
      </c>
      <c r="G41" s="31" t="s">
        <v>773</v>
      </c>
      <c r="H41" s="119" t="s">
        <v>778</v>
      </c>
      <c r="I41" s="31">
        <v>2010.08</v>
      </c>
      <c r="J41" s="31" t="s">
        <v>775</v>
      </c>
      <c r="K41" s="31" t="s">
        <v>776</v>
      </c>
      <c r="L41" s="31" t="s">
        <v>667</v>
      </c>
      <c r="M41" s="29" t="s">
        <v>674</v>
      </c>
      <c r="N41" s="288">
        <v>45583</v>
      </c>
      <c r="O41" s="288">
        <v>45947</v>
      </c>
      <c r="P41" s="29">
        <v>60</v>
      </c>
      <c r="Q41" s="85"/>
      <c r="R41" s="251"/>
    </row>
    <row r="42" s="265" customFormat="1" spans="1:2575">
      <c r="A42" s="268">
        <v>51</v>
      </c>
      <c r="B42" s="268" t="s">
        <v>15</v>
      </c>
      <c r="C42" s="268" t="s">
        <v>37</v>
      </c>
      <c r="D42" s="82" t="s">
        <v>675</v>
      </c>
      <c r="E42" s="29" t="s">
        <v>771</v>
      </c>
      <c r="F42" s="31" t="s">
        <v>779</v>
      </c>
      <c r="G42" s="31" t="s">
        <v>780</v>
      </c>
      <c r="H42" s="119" t="s">
        <v>781</v>
      </c>
      <c r="I42" s="31">
        <v>2010.08</v>
      </c>
      <c r="J42" s="31" t="s">
        <v>780</v>
      </c>
      <c r="K42" s="31" t="s">
        <v>42</v>
      </c>
      <c r="L42" s="31" t="s">
        <v>667</v>
      </c>
      <c r="M42" s="29" t="s">
        <v>674</v>
      </c>
      <c r="N42" s="94">
        <v>45583</v>
      </c>
      <c r="O42" s="94">
        <v>45947</v>
      </c>
      <c r="P42" s="29">
        <v>60</v>
      </c>
      <c r="Q42" s="85"/>
      <c r="R42" s="25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0"/>
      <c r="OC42" s="30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0"/>
      <c r="OP42" s="30"/>
      <c r="OQ42" s="30"/>
      <c r="OR42" s="30"/>
      <c r="OS42" s="30"/>
      <c r="OT42" s="30"/>
      <c r="OU42" s="30"/>
      <c r="OV42" s="30"/>
      <c r="OW42" s="30"/>
      <c r="OX42" s="30"/>
      <c r="OY42" s="30"/>
      <c r="OZ42" s="30"/>
      <c r="PA42" s="30"/>
      <c r="PB42" s="30"/>
      <c r="PC42" s="30"/>
      <c r="PD42" s="30"/>
      <c r="PE42" s="30"/>
      <c r="PF42" s="30"/>
      <c r="PG42" s="30"/>
      <c r="PH42" s="30"/>
      <c r="PI42" s="30"/>
      <c r="PJ42" s="30"/>
      <c r="PK42" s="30"/>
      <c r="PL42" s="30"/>
      <c r="PM42" s="30"/>
      <c r="PN42" s="30"/>
      <c r="PO42" s="30"/>
      <c r="PP42" s="30"/>
      <c r="PQ42" s="30"/>
      <c r="PR42" s="30"/>
      <c r="PS42" s="30"/>
      <c r="PT42" s="30"/>
      <c r="PU42" s="30"/>
      <c r="PV42" s="30"/>
      <c r="PW42" s="30"/>
      <c r="PX42" s="30"/>
      <c r="PY42" s="30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30"/>
      <c r="RH42" s="30"/>
      <c r="RI42" s="30"/>
      <c r="RJ42" s="30"/>
      <c r="RK42" s="30"/>
      <c r="RL42" s="30"/>
      <c r="RM42" s="30"/>
      <c r="RN42" s="30"/>
      <c r="RO42" s="30"/>
      <c r="RP42" s="30"/>
      <c r="RQ42" s="30"/>
      <c r="RR42" s="30"/>
      <c r="RS42" s="30"/>
      <c r="RT42" s="30"/>
      <c r="RU42" s="30"/>
      <c r="RV42" s="30"/>
      <c r="RW42" s="30"/>
      <c r="RX42" s="30"/>
      <c r="RY42" s="30"/>
      <c r="RZ42" s="30"/>
      <c r="SA42" s="30"/>
      <c r="SB42" s="30"/>
      <c r="SC42" s="30"/>
      <c r="SD42" s="30"/>
      <c r="SE42" s="30"/>
      <c r="SF42" s="30"/>
      <c r="SG42" s="30"/>
      <c r="SH42" s="30"/>
      <c r="SI42" s="30"/>
      <c r="SJ42" s="30"/>
      <c r="SK42" s="30"/>
      <c r="SL42" s="30"/>
      <c r="SM42" s="30"/>
      <c r="SN42" s="30"/>
      <c r="SO42" s="30"/>
      <c r="SP42" s="30"/>
      <c r="SQ42" s="30"/>
      <c r="SR42" s="30"/>
      <c r="SS42" s="30"/>
      <c r="ST42" s="30"/>
      <c r="SU42" s="30"/>
      <c r="SV42" s="30"/>
      <c r="SW42" s="30"/>
      <c r="SX42" s="30"/>
      <c r="SY42" s="30"/>
      <c r="SZ42" s="30"/>
      <c r="TA42" s="30"/>
      <c r="TB42" s="30"/>
      <c r="TC42" s="30"/>
      <c r="TD42" s="30"/>
      <c r="TE42" s="30"/>
      <c r="TF42" s="30"/>
      <c r="TG42" s="30"/>
      <c r="TH42" s="30"/>
      <c r="TI42" s="30"/>
      <c r="TJ42" s="30"/>
      <c r="TK42" s="30"/>
      <c r="TL42" s="30"/>
      <c r="TM42" s="30"/>
      <c r="TN42" s="30"/>
      <c r="TO42" s="30"/>
      <c r="TP42" s="30"/>
      <c r="TQ42" s="30"/>
      <c r="TR42" s="30"/>
      <c r="TS42" s="30"/>
      <c r="TT42" s="30"/>
      <c r="TU42" s="30"/>
      <c r="TV42" s="30"/>
      <c r="TW42" s="30"/>
      <c r="TX42" s="30"/>
      <c r="TY42" s="30"/>
      <c r="TZ42" s="30"/>
      <c r="UA42" s="30"/>
      <c r="UB42" s="30"/>
      <c r="UC42" s="30"/>
      <c r="UD42" s="30"/>
      <c r="UE42" s="30"/>
      <c r="UF42" s="30"/>
      <c r="UG42" s="30"/>
      <c r="UH42" s="30"/>
      <c r="UI42" s="30"/>
      <c r="UJ42" s="30"/>
      <c r="UK42" s="30"/>
      <c r="UL42" s="30"/>
      <c r="UM42" s="30"/>
      <c r="UN42" s="30"/>
      <c r="UO42" s="30"/>
      <c r="UP42" s="30"/>
      <c r="UQ42" s="30"/>
      <c r="UR42" s="30"/>
      <c r="US42" s="30"/>
      <c r="UT42" s="30"/>
      <c r="UU42" s="30"/>
      <c r="UV42" s="30"/>
      <c r="UW42" s="30"/>
      <c r="UX42" s="30"/>
      <c r="UY42" s="30"/>
      <c r="UZ42" s="30"/>
      <c r="VA42" s="30"/>
      <c r="VB42" s="30"/>
      <c r="VC42" s="30"/>
      <c r="VD42" s="30"/>
      <c r="VE42" s="30"/>
      <c r="VF42" s="30"/>
      <c r="VG42" s="30"/>
      <c r="VH42" s="30"/>
      <c r="VI42" s="30"/>
      <c r="VJ42" s="30"/>
      <c r="VK42" s="30"/>
      <c r="VL42" s="30"/>
      <c r="VM42" s="30"/>
      <c r="VN42" s="30"/>
      <c r="VO42" s="30"/>
      <c r="VP42" s="30"/>
      <c r="VQ42" s="30"/>
      <c r="VR42" s="30"/>
      <c r="VS42" s="30"/>
      <c r="VT42" s="30"/>
      <c r="VU42" s="30"/>
      <c r="VV42" s="30"/>
      <c r="VW42" s="30"/>
      <c r="VX42" s="30"/>
      <c r="VY42" s="30"/>
      <c r="VZ42" s="30"/>
      <c r="WA42" s="30"/>
      <c r="WB42" s="30"/>
      <c r="WC42" s="30"/>
      <c r="WD42" s="30"/>
      <c r="WE42" s="30"/>
      <c r="WF42" s="30"/>
      <c r="WG42" s="30"/>
      <c r="WH42" s="30"/>
      <c r="WI42" s="30"/>
      <c r="WJ42" s="30"/>
      <c r="WK42" s="30"/>
      <c r="WL42" s="30"/>
      <c r="WM42" s="30"/>
      <c r="WN42" s="30"/>
      <c r="WO42" s="30"/>
      <c r="WP42" s="30"/>
      <c r="WQ42" s="30"/>
      <c r="WR42" s="30"/>
      <c r="WS42" s="30"/>
      <c r="WT42" s="30"/>
      <c r="WU42" s="30"/>
      <c r="WV42" s="30"/>
      <c r="WW42" s="30"/>
      <c r="WX42" s="30"/>
      <c r="WY42" s="30"/>
      <c r="WZ42" s="30"/>
      <c r="XA42" s="30"/>
      <c r="XB42" s="30"/>
      <c r="XC42" s="30"/>
      <c r="XD42" s="30"/>
      <c r="XE42" s="30"/>
      <c r="XF42" s="30"/>
      <c r="XG42" s="30"/>
      <c r="XH42" s="30"/>
      <c r="XI42" s="30"/>
      <c r="XJ42" s="30"/>
      <c r="XK42" s="30"/>
      <c r="XL42" s="30"/>
      <c r="XM42" s="30"/>
      <c r="XN42" s="30"/>
      <c r="XO42" s="30"/>
      <c r="XP42" s="30"/>
      <c r="XQ42" s="30"/>
      <c r="XR42" s="30"/>
      <c r="XS42" s="30"/>
      <c r="XT42" s="30"/>
      <c r="XU42" s="30"/>
      <c r="XV42" s="30"/>
      <c r="XW42" s="30"/>
      <c r="XX42" s="30"/>
      <c r="XY42" s="30"/>
      <c r="XZ42" s="30"/>
      <c r="YA42" s="30"/>
      <c r="YB42" s="30"/>
      <c r="YC42" s="30"/>
      <c r="YD42" s="30"/>
      <c r="YE42" s="30"/>
      <c r="YF42" s="30"/>
      <c r="YG42" s="30"/>
      <c r="YH42" s="30"/>
      <c r="YI42" s="30"/>
      <c r="YJ42" s="30"/>
      <c r="YK42" s="30"/>
      <c r="YL42" s="30"/>
      <c r="YM42" s="30"/>
      <c r="YN42" s="30"/>
      <c r="YO42" s="30"/>
      <c r="YP42" s="30"/>
      <c r="YQ42" s="30"/>
      <c r="YR42" s="30"/>
      <c r="YS42" s="30"/>
      <c r="YT42" s="30"/>
      <c r="YU42" s="30"/>
      <c r="YV42" s="30"/>
      <c r="YW42" s="30"/>
      <c r="YX42" s="30"/>
      <c r="YY42" s="30"/>
      <c r="YZ42" s="30"/>
      <c r="ZA42" s="30"/>
      <c r="ZB42" s="30"/>
      <c r="ZC42" s="30"/>
      <c r="ZD42" s="30"/>
      <c r="ZE42" s="30"/>
      <c r="ZF42" s="30"/>
      <c r="ZG42" s="30"/>
      <c r="ZH42" s="30"/>
      <c r="ZI42" s="30"/>
      <c r="ZJ42" s="30"/>
      <c r="ZK42" s="30"/>
      <c r="ZL42" s="30"/>
      <c r="ZM42" s="30"/>
      <c r="ZN42" s="30"/>
      <c r="ZO42" s="30"/>
      <c r="ZP42" s="30"/>
      <c r="ZQ42" s="30"/>
      <c r="ZR42" s="30"/>
      <c r="ZS42" s="30"/>
      <c r="ZT42" s="30"/>
      <c r="ZU42" s="30"/>
      <c r="ZV42" s="30"/>
      <c r="ZW42" s="30"/>
      <c r="ZX42" s="30"/>
      <c r="ZY42" s="30"/>
      <c r="ZZ42" s="30"/>
      <c r="AAA42" s="30"/>
      <c r="AAB42" s="30"/>
      <c r="AAC42" s="30"/>
      <c r="AAD42" s="30"/>
      <c r="AAE42" s="30"/>
      <c r="AAF42" s="30"/>
      <c r="AAG42" s="30"/>
      <c r="AAH42" s="30"/>
      <c r="AAI42" s="30"/>
      <c r="AAJ42" s="30"/>
      <c r="AAK42" s="30"/>
      <c r="AAL42" s="30"/>
      <c r="AAM42" s="30"/>
      <c r="AAN42" s="30"/>
      <c r="AAO42" s="30"/>
      <c r="AAP42" s="30"/>
      <c r="AAQ42" s="30"/>
      <c r="AAR42" s="30"/>
      <c r="AAS42" s="30"/>
      <c r="AAT42" s="30"/>
      <c r="AAU42" s="30"/>
      <c r="AAV42" s="30"/>
      <c r="AAW42" s="30"/>
      <c r="AAX42" s="30"/>
      <c r="AAY42" s="30"/>
      <c r="AAZ42" s="30"/>
      <c r="ABA42" s="30"/>
      <c r="ABB42" s="30"/>
      <c r="ABC42" s="30"/>
      <c r="ABD42" s="30"/>
      <c r="ABE42" s="30"/>
      <c r="ABF42" s="30"/>
      <c r="ABG42" s="30"/>
      <c r="ABH42" s="30"/>
      <c r="ABI42" s="30"/>
      <c r="ABJ42" s="30"/>
      <c r="ABK42" s="30"/>
      <c r="ABL42" s="30"/>
      <c r="ABM42" s="30"/>
      <c r="ABN42" s="30"/>
      <c r="ABO42" s="30"/>
      <c r="ABP42" s="30"/>
      <c r="ABQ42" s="30"/>
      <c r="ABR42" s="30"/>
      <c r="ABS42" s="30"/>
      <c r="ABT42" s="30"/>
      <c r="ABU42" s="30"/>
      <c r="ABV42" s="30"/>
      <c r="ABW42" s="30"/>
      <c r="ABX42" s="30"/>
      <c r="ABY42" s="30"/>
      <c r="ABZ42" s="30"/>
      <c r="ACA42" s="30"/>
      <c r="ACB42" s="30"/>
      <c r="ACC42" s="30"/>
      <c r="ACD42" s="30"/>
      <c r="ACE42" s="30"/>
      <c r="ACF42" s="30"/>
      <c r="ACG42" s="30"/>
      <c r="ACH42" s="30"/>
      <c r="ACI42" s="30"/>
      <c r="ACJ42" s="30"/>
      <c r="ACK42" s="30"/>
      <c r="ACL42" s="30"/>
      <c r="ACM42" s="30"/>
      <c r="ACN42" s="30"/>
      <c r="ACO42" s="30"/>
      <c r="ACP42" s="30"/>
      <c r="ACQ42" s="30"/>
      <c r="ACR42" s="30"/>
      <c r="ACS42" s="30"/>
      <c r="ACT42" s="30"/>
      <c r="ACU42" s="30"/>
      <c r="ACV42" s="30"/>
      <c r="ACW42" s="30"/>
      <c r="ACX42" s="30"/>
      <c r="ACY42" s="30"/>
      <c r="ACZ42" s="30"/>
      <c r="ADA42" s="30"/>
      <c r="ADB42" s="30"/>
      <c r="ADC42" s="30"/>
      <c r="ADD42" s="30"/>
      <c r="ADE42" s="30"/>
      <c r="ADF42" s="30"/>
      <c r="ADG42" s="30"/>
      <c r="ADH42" s="30"/>
      <c r="ADI42" s="30"/>
      <c r="ADJ42" s="30"/>
      <c r="ADK42" s="30"/>
      <c r="ADL42" s="30"/>
      <c r="ADM42" s="30"/>
      <c r="ADN42" s="30"/>
      <c r="ADO42" s="30"/>
      <c r="ADP42" s="30"/>
      <c r="ADQ42" s="30"/>
      <c r="ADR42" s="30"/>
      <c r="ADS42" s="30"/>
      <c r="ADT42" s="30"/>
      <c r="ADU42" s="30"/>
      <c r="ADV42" s="30"/>
      <c r="ADW42" s="30"/>
      <c r="ADX42" s="30"/>
      <c r="ADY42" s="30"/>
      <c r="ADZ42" s="30"/>
      <c r="AEA42" s="30"/>
      <c r="AEB42" s="30"/>
      <c r="AEC42" s="30"/>
      <c r="AED42" s="30"/>
      <c r="AEE42" s="30"/>
      <c r="AEF42" s="30"/>
      <c r="AEG42" s="30"/>
      <c r="AEH42" s="30"/>
      <c r="AEI42" s="30"/>
      <c r="AEJ42" s="30"/>
      <c r="AEK42" s="30"/>
      <c r="AEL42" s="30"/>
      <c r="AEM42" s="30"/>
      <c r="AEN42" s="30"/>
      <c r="AEO42" s="30"/>
      <c r="AEP42" s="30"/>
      <c r="AEQ42" s="30"/>
      <c r="AER42" s="30"/>
      <c r="AES42" s="30"/>
      <c r="AET42" s="30"/>
      <c r="AEU42" s="30"/>
      <c r="AEV42" s="30"/>
      <c r="AEW42" s="30"/>
      <c r="AEX42" s="30"/>
      <c r="AEY42" s="30"/>
      <c r="AEZ42" s="30"/>
      <c r="AFA42" s="30"/>
      <c r="AFB42" s="30"/>
      <c r="AFC42" s="30"/>
      <c r="AFD42" s="30"/>
      <c r="AFE42" s="30"/>
      <c r="AFF42" s="30"/>
      <c r="AFG42" s="30"/>
      <c r="AFH42" s="30"/>
      <c r="AFI42" s="30"/>
      <c r="AFJ42" s="30"/>
      <c r="AFK42" s="30"/>
      <c r="AFL42" s="30"/>
      <c r="AFM42" s="30"/>
      <c r="AFN42" s="30"/>
      <c r="AFO42" s="30"/>
      <c r="AFP42" s="30"/>
      <c r="AFQ42" s="30"/>
      <c r="AFR42" s="30"/>
      <c r="AFS42" s="30"/>
      <c r="AFT42" s="30"/>
      <c r="AFU42" s="30"/>
      <c r="AFV42" s="30"/>
      <c r="AFW42" s="30"/>
      <c r="AFX42" s="30"/>
      <c r="AFY42" s="30"/>
      <c r="AFZ42" s="30"/>
      <c r="AGA42" s="30"/>
      <c r="AGB42" s="30"/>
      <c r="AGC42" s="30"/>
      <c r="AGD42" s="30"/>
      <c r="AGE42" s="30"/>
      <c r="AGF42" s="30"/>
      <c r="AGG42" s="30"/>
      <c r="AGH42" s="30"/>
      <c r="AGI42" s="30"/>
      <c r="AGJ42" s="30"/>
      <c r="AGK42" s="30"/>
      <c r="AGL42" s="30"/>
      <c r="AGM42" s="30"/>
      <c r="AGN42" s="30"/>
      <c r="AGO42" s="30"/>
      <c r="AGP42" s="30"/>
      <c r="AGQ42" s="30"/>
      <c r="AGR42" s="30"/>
      <c r="AGS42" s="30"/>
      <c r="AGT42" s="30"/>
      <c r="AGU42" s="30"/>
      <c r="AGV42" s="30"/>
      <c r="AGW42" s="30"/>
      <c r="AGX42" s="30"/>
      <c r="AGY42" s="30"/>
      <c r="AGZ42" s="30"/>
      <c r="AHA42" s="30"/>
      <c r="AHB42" s="30"/>
      <c r="AHC42" s="30"/>
      <c r="AHD42" s="30"/>
      <c r="AHE42" s="30"/>
      <c r="AHF42" s="30"/>
      <c r="AHG42" s="30"/>
      <c r="AHH42" s="30"/>
      <c r="AHI42" s="30"/>
      <c r="AHJ42" s="30"/>
      <c r="AHK42" s="30"/>
      <c r="AHL42" s="30"/>
      <c r="AHM42" s="30"/>
      <c r="AHN42" s="30"/>
      <c r="AHO42" s="30"/>
      <c r="AHP42" s="30"/>
      <c r="AHQ42" s="30"/>
      <c r="AHR42" s="30"/>
      <c r="AHS42" s="30"/>
      <c r="AHT42" s="30"/>
      <c r="AHU42" s="30"/>
      <c r="AHV42" s="30"/>
      <c r="AHW42" s="30"/>
      <c r="AHX42" s="30"/>
      <c r="AHY42" s="30"/>
      <c r="AHZ42" s="30"/>
      <c r="AIA42" s="30"/>
      <c r="AIB42" s="30"/>
      <c r="AIC42" s="30"/>
      <c r="AID42" s="30"/>
      <c r="AIE42" s="30"/>
      <c r="AIF42" s="30"/>
      <c r="AIG42" s="30"/>
      <c r="AIH42" s="30"/>
      <c r="AII42" s="30"/>
      <c r="AIJ42" s="30"/>
      <c r="AIK42" s="30"/>
      <c r="AIL42" s="30"/>
      <c r="AIM42" s="30"/>
      <c r="AIN42" s="30"/>
      <c r="AIO42" s="30"/>
      <c r="AIP42" s="30"/>
      <c r="AIQ42" s="30"/>
      <c r="AIR42" s="30"/>
      <c r="AIS42" s="30"/>
      <c r="AIT42" s="30"/>
      <c r="AIU42" s="30"/>
      <c r="AIV42" s="30"/>
      <c r="AIW42" s="30"/>
      <c r="AIX42" s="30"/>
      <c r="AIY42" s="30"/>
      <c r="AIZ42" s="30"/>
      <c r="AJA42" s="30"/>
      <c r="AJB42" s="30"/>
      <c r="AJC42" s="30"/>
      <c r="AJD42" s="30"/>
      <c r="AJE42" s="30"/>
      <c r="AJF42" s="30"/>
      <c r="AJG42" s="30"/>
      <c r="AJH42" s="30"/>
      <c r="AJI42" s="30"/>
      <c r="AJJ42" s="30"/>
      <c r="AJK42" s="30"/>
      <c r="AJL42" s="30"/>
      <c r="AJM42" s="30"/>
      <c r="AJN42" s="30"/>
      <c r="AJO42" s="30"/>
      <c r="AJP42" s="30"/>
      <c r="AJQ42" s="30"/>
      <c r="AJR42" s="30"/>
      <c r="AJS42" s="30"/>
      <c r="AJT42" s="30"/>
      <c r="AJU42" s="30"/>
      <c r="AJV42" s="30"/>
      <c r="AJW42" s="30"/>
      <c r="AJX42" s="30"/>
      <c r="AJY42" s="30"/>
      <c r="AJZ42" s="30"/>
      <c r="AKA42" s="30"/>
      <c r="AKB42" s="30"/>
      <c r="AKC42" s="30"/>
      <c r="AKD42" s="30"/>
      <c r="AKE42" s="30"/>
      <c r="AKF42" s="30"/>
      <c r="AKG42" s="30"/>
      <c r="AKH42" s="30"/>
      <c r="AKI42" s="30"/>
      <c r="AKJ42" s="30"/>
      <c r="AKK42" s="30"/>
      <c r="AKL42" s="30"/>
      <c r="AKM42" s="30"/>
      <c r="AKN42" s="30"/>
      <c r="AKO42" s="30"/>
      <c r="AKP42" s="30"/>
      <c r="AKQ42" s="30"/>
      <c r="AKR42" s="30"/>
      <c r="AKS42" s="30"/>
      <c r="AKT42" s="30"/>
      <c r="AKU42" s="30"/>
      <c r="AKV42" s="30"/>
      <c r="AKW42" s="30"/>
      <c r="AKX42" s="30"/>
      <c r="AKY42" s="30"/>
      <c r="AKZ42" s="30"/>
      <c r="ALA42" s="30"/>
      <c r="ALB42" s="30"/>
      <c r="ALC42" s="30"/>
      <c r="ALD42" s="30"/>
      <c r="ALE42" s="30"/>
      <c r="ALF42" s="30"/>
      <c r="ALG42" s="30"/>
      <c r="ALH42" s="30"/>
      <c r="ALI42" s="30"/>
      <c r="ALJ42" s="30"/>
      <c r="ALK42" s="30"/>
      <c r="ALL42" s="30"/>
      <c r="ALM42" s="30"/>
      <c r="ALN42" s="30"/>
      <c r="ALO42" s="30"/>
      <c r="ALP42" s="30"/>
      <c r="ALQ42" s="30"/>
      <c r="ALR42" s="30"/>
      <c r="ALS42" s="30"/>
      <c r="ALT42" s="30"/>
      <c r="ALU42" s="30"/>
      <c r="ALV42" s="30"/>
      <c r="ALW42" s="30"/>
      <c r="ALX42" s="30"/>
      <c r="ALY42" s="30"/>
      <c r="ALZ42" s="30"/>
      <c r="AMA42" s="30"/>
      <c r="AMB42" s="30"/>
      <c r="AMC42" s="30"/>
      <c r="AMD42" s="30"/>
      <c r="AME42" s="30"/>
      <c r="AMF42" s="30"/>
      <c r="AMG42" s="30"/>
      <c r="AMH42" s="30"/>
      <c r="AMI42" s="30"/>
      <c r="AMJ42" s="30"/>
      <c r="AMK42" s="30"/>
      <c r="AML42" s="30"/>
      <c r="AMM42" s="30"/>
      <c r="AMN42" s="30"/>
      <c r="AMO42" s="30"/>
      <c r="AMP42" s="30"/>
      <c r="AMQ42" s="30"/>
      <c r="AMR42" s="30"/>
      <c r="AMS42" s="30"/>
      <c r="AMT42" s="30"/>
      <c r="AMU42" s="30"/>
      <c r="AMV42" s="30"/>
      <c r="AMW42" s="30"/>
      <c r="AMX42" s="30"/>
      <c r="AMY42" s="30"/>
      <c r="AMZ42" s="30"/>
      <c r="ANA42" s="30"/>
      <c r="ANB42" s="30"/>
      <c r="ANC42" s="30"/>
      <c r="AND42" s="30"/>
      <c r="ANE42" s="30"/>
      <c r="ANF42" s="30"/>
      <c r="ANG42" s="30"/>
      <c r="ANH42" s="30"/>
      <c r="ANI42" s="30"/>
      <c r="ANJ42" s="30"/>
      <c r="ANK42" s="30"/>
      <c r="ANL42" s="30"/>
      <c r="ANM42" s="30"/>
      <c r="ANN42" s="30"/>
      <c r="ANO42" s="30"/>
      <c r="ANP42" s="30"/>
      <c r="ANQ42" s="30"/>
      <c r="ANR42" s="30"/>
      <c r="ANS42" s="30"/>
      <c r="ANT42" s="30"/>
      <c r="ANU42" s="30"/>
      <c r="ANV42" s="30"/>
      <c r="ANW42" s="30"/>
      <c r="ANX42" s="30"/>
      <c r="ANY42" s="30"/>
      <c r="ANZ42" s="30"/>
      <c r="AOA42" s="30"/>
      <c r="AOB42" s="30"/>
      <c r="AOC42" s="30"/>
      <c r="AOD42" s="30"/>
      <c r="AOE42" s="30"/>
      <c r="AOF42" s="30"/>
      <c r="AOG42" s="30"/>
      <c r="AOH42" s="30"/>
      <c r="AOI42" s="30"/>
      <c r="AOJ42" s="30"/>
      <c r="AOK42" s="30"/>
      <c r="AOL42" s="30"/>
      <c r="AOM42" s="30"/>
      <c r="AON42" s="30"/>
      <c r="AOO42" s="30"/>
      <c r="AOP42" s="30"/>
      <c r="AOQ42" s="30"/>
      <c r="AOR42" s="30"/>
      <c r="AOS42" s="30"/>
      <c r="AOT42" s="30"/>
      <c r="AOU42" s="30"/>
      <c r="AOV42" s="30"/>
      <c r="AOW42" s="30"/>
      <c r="AOX42" s="30"/>
      <c r="AOY42" s="30"/>
      <c r="AOZ42" s="30"/>
      <c r="APA42" s="30"/>
      <c r="APB42" s="30"/>
      <c r="APC42" s="30"/>
      <c r="APD42" s="30"/>
      <c r="APE42" s="30"/>
      <c r="APF42" s="30"/>
      <c r="APG42" s="30"/>
      <c r="APH42" s="30"/>
      <c r="API42" s="30"/>
      <c r="APJ42" s="30"/>
      <c r="APK42" s="30"/>
      <c r="APL42" s="30"/>
      <c r="APM42" s="30"/>
      <c r="APN42" s="30"/>
      <c r="APO42" s="30"/>
      <c r="APP42" s="30"/>
      <c r="APQ42" s="30"/>
      <c r="APR42" s="30"/>
      <c r="APS42" s="30"/>
      <c r="APT42" s="30"/>
      <c r="APU42" s="30"/>
      <c r="APV42" s="30"/>
      <c r="APW42" s="30"/>
      <c r="APX42" s="30"/>
      <c r="APY42" s="30"/>
      <c r="APZ42" s="30"/>
      <c r="AQA42" s="30"/>
      <c r="AQB42" s="30"/>
      <c r="AQC42" s="30"/>
      <c r="AQD42" s="30"/>
      <c r="AQE42" s="30"/>
      <c r="AQF42" s="30"/>
      <c r="AQG42" s="30"/>
      <c r="AQH42" s="30"/>
      <c r="AQI42" s="30"/>
      <c r="AQJ42" s="30"/>
      <c r="AQK42" s="30"/>
      <c r="AQL42" s="30"/>
      <c r="AQM42" s="30"/>
      <c r="AQN42" s="30"/>
      <c r="AQO42" s="30"/>
      <c r="AQP42" s="30"/>
      <c r="AQQ42" s="30"/>
      <c r="AQR42" s="30"/>
      <c r="AQS42" s="30"/>
      <c r="AQT42" s="30"/>
      <c r="AQU42" s="30"/>
      <c r="AQV42" s="30"/>
      <c r="AQW42" s="30"/>
      <c r="AQX42" s="30"/>
      <c r="AQY42" s="30"/>
      <c r="AQZ42" s="30"/>
      <c r="ARA42" s="30"/>
      <c r="ARB42" s="30"/>
      <c r="ARC42" s="30"/>
      <c r="ARD42" s="30"/>
      <c r="ARE42" s="30"/>
      <c r="ARF42" s="30"/>
      <c r="ARG42" s="30"/>
      <c r="ARH42" s="30"/>
      <c r="ARI42" s="30"/>
      <c r="ARJ42" s="30"/>
      <c r="ARK42" s="30"/>
      <c r="ARL42" s="30"/>
      <c r="ARM42" s="30"/>
      <c r="ARN42" s="30"/>
      <c r="ARO42" s="30"/>
      <c r="ARP42" s="30"/>
      <c r="ARQ42" s="30"/>
      <c r="ARR42" s="30"/>
      <c r="ARS42" s="30"/>
      <c r="ART42" s="30"/>
      <c r="ARU42" s="30"/>
      <c r="ARV42" s="30"/>
      <c r="ARW42" s="30"/>
      <c r="ARX42" s="30"/>
      <c r="ARY42" s="30"/>
      <c r="ARZ42" s="30"/>
      <c r="ASA42" s="30"/>
      <c r="ASB42" s="30"/>
      <c r="ASC42" s="30"/>
      <c r="ASD42" s="30"/>
      <c r="ASE42" s="30"/>
      <c r="ASF42" s="30"/>
      <c r="ASG42" s="30"/>
      <c r="ASH42" s="30"/>
      <c r="ASI42" s="30"/>
      <c r="ASJ42" s="30"/>
      <c r="ASK42" s="30"/>
      <c r="ASL42" s="30"/>
      <c r="ASM42" s="30"/>
      <c r="ASN42" s="30"/>
      <c r="ASO42" s="30"/>
      <c r="ASP42" s="30"/>
      <c r="ASQ42" s="30"/>
      <c r="ASR42" s="30"/>
      <c r="ASS42" s="30"/>
      <c r="AST42" s="30"/>
      <c r="ASU42" s="30"/>
      <c r="ASV42" s="30"/>
      <c r="ASW42" s="30"/>
      <c r="ASX42" s="30"/>
      <c r="ASY42" s="30"/>
      <c r="ASZ42" s="30"/>
      <c r="ATA42" s="30"/>
      <c r="ATB42" s="30"/>
      <c r="ATC42" s="30"/>
      <c r="ATD42" s="30"/>
      <c r="ATE42" s="30"/>
      <c r="ATF42" s="30"/>
      <c r="ATG42" s="30"/>
      <c r="ATH42" s="30"/>
      <c r="ATI42" s="30"/>
      <c r="ATJ42" s="30"/>
      <c r="ATK42" s="30"/>
      <c r="ATL42" s="30"/>
      <c r="ATM42" s="30"/>
      <c r="ATN42" s="30"/>
      <c r="ATO42" s="30"/>
      <c r="ATP42" s="30"/>
      <c r="ATQ42" s="30"/>
      <c r="ATR42" s="30"/>
      <c r="ATS42" s="30"/>
      <c r="ATT42" s="30"/>
      <c r="ATU42" s="30"/>
      <c r="ATV42" s="30"/>
      <c r="ATW42" s="30"/>
      <c r="ATX42" s="30"/>
      <c r="ATY42" s="30"/>
      <c r="ATZ42" s="30"/>
      <c r="AUA42" s="30"/>
      <c r="AUB42" s="30"/>
      <c r="AUC42" s="30"/>
      <c r="AUD42" s="30"/>
      <c r="AUE42" s="30"/>
      <c r="AUF42" s="30"/>
      <c r="AUG42" s="30"/>
      <c r="AUH42" s="30"/>
      <c r="AUI42" s="30"/>
      <c r="AUJ42" s="30"/>
      <c r="AUK42" s="30"/>
      <c r="AUL42" s="30"/>
      <c r="AUM42" s="30"/>
      <c r="AUN42" s="30"/>
      <c r="AUO42" s="30"/>
      <c r="AUP42" s="30"/>
      <c r="AUQ42" s="30"/>
      <c r="AUR42" s="30"/>
      <c r="AUS42" s="30"/>
      <c r="AUT42" s="30"/>
      <c r="AUU42" s="30"/>
      <c r="AUV42" s="30"/>
      <c r="AUW42" s="30"/>
      <c r="AUX42" s="30"/>
      <c r="AUY42" s="30"/>
      <c r="AUZ42" s="30"/>
      <c r="AVA42" s="30"/>
      <c r="AVB42" s="30"/>
      <c r="AVC42" s="30"/>
      <c r="AVD42" s="30"/>
      <c r="AVE42" s="30"/>
      <c r="AVF42" s="30"/>
      <c r="AVG42" s="30"/>
      <c r="AVH42" s="30"/>
      <c r="AVI42" s="30"/>
      <c r="AVJ42" s="30"/>
      <c r="AVK42" s="30"/>
      <c r="AVL42" s="30"/>
      <c r="AVM42" s="30"/>
      <c r="AVN42" s="30"/>
      <c r="AVO42" s="30"/>
      <c r="AVP42" s="30"/>
      <c r="AVQ42" s="30"/>
      <c r="AVR42" s="30"/>
      <c r="AVS42" s="30"/>
      <c r="AVT42" s="30"/>
      <c r="AVU42" s="30"/>
      <c r="AVV42" s="30"/>
      <c r="AVW42" s="30"/>
      <c r="AVX42" s="30"/>
      <c r="AVY42" s="30"/>
      <c r="AVZ42" s="30"/>
      <c r="AWA42" s="30"/>
      <c r="AWB42" s="30"/>
      <c r="AWC42" s="30"/>
      <c r="AWD42" s="30"/>
      <c r="AWE42" s="30"/>
      <c r="AWF42" s="30"/>
      <c r="AWG42" s="30"/>
      <c r="AWH42" s="30"/>
      <c r="AWI42" s="30"/>
      <c r="AWJ42" s="30"/>
      <c r="AWK42" s="30"/>
      <c r="AWL42" s="30"/>
      <c r="AWM42" s="30"/>
      <c r="AWN42" s="30"/>
      <c r="AWO42" s="30"/>
      <c r="AWP42" s="30"/>
      <c r="AWQ42" s="30"/>
      <c r="AWR42" s="30"/>
      <c r="AWS42" s="30"/>
      <c r="AWT42" s="30"/>
      <c r="AWU42" s="30"/>
      <c r="AWV42" s="30"/>
      <c r="AWW42" s="30"/>
      <c r="AWX42" s="30"/>
      <c r="AWY42" s="30"/>
      <c r="AWZ42" s="30"/>
      <c r="AXA42" s="30"/>
      <c r="AXB42" s="30"/>
      <c r="AXC42" s="30"/>
      <c r="AXD42" s="30"/>
      <c r="AXE42" s="30"/>
      <c r="AXF42" s="30"/>
      <c r="AXG42" s="30"/>
      <c r="AXH42" s="30"/>
      <c r="AXI42" s="30"/>
      <c r="AXJ42" s="30"/>
      <c r="AXK42" s="30"/>
      <c r="AXL42" s="30"/>
      <c r="AXM42" s="30"/>
      <c r="AXN42" s="30"/>
      <c r="AXO42" s="30"/>
      <c r="AXP42" s="30"/>
      <c r="AXQ42" s="30"/>
      <c r="AXR42" s="30"/>
      <c r="AXS42" s="30"/>
      <c r="AXT42" s="30"/>
      <c r="AXU42" s="30"/>
      <c r="AXV42" s="30"/>
      <c r="AXW42" s="30"/>
      <c r="AXX42" s="30"/>
      <c r="AXY42" s="30"/>
      <c r="AXZ42" s="30"/>
      <c r="AYA42" s="30"/>
      <c r="AYB42" s="30"/>
      <c r="AYC42" s="30"/>
      <c r="AYD42" s="30"/>
      <c r="AYE42" s="30"/>
      <c r="AYF42" s="30"/>
      <c r="AYG42" s="30"/>
      <c r="AYH42" s="30"/>
      <c r="AYI42" s="30"/>
      <c r="AYJ42" s="30"/>
      <c r="AYK42" s="30"/>
      <c r="AYL42" s="30"/>
      <c r="AYM42" s="30"/>
      <c r="AYN42" s="30"/>
      <c r="AYO42" s="30"/>
      <c r="AYP42" s="30"/>
      <c r="AYQ42" s="30"/>
      <c r="AYR42" s="30"/>
      <c r="AYS42" s="30"/>
      <c r="AYT42" s="30"/>
      <c r="AYU42" s="30"/>
      <c r="AYV42" s="30"/>
      <c r="AYW42" s="30"/>
      <c r="AYX42" s="30"/>
      <c r="AYY42" s="30"/>
      <c r="AYZ42" s="30"/>
      <c r="AZA42" s="30"/>
      <c r="AZB42" s="30"/>
      <c r="AZC42" s="30"/>
      <c r="AZD42" s="30"/>
      <c r="AZE42" s="30"/>
      <c r="AZF42" s="30"/>
      <c r="AZG42" s="30"/>
      <c r="AZH42" s="30"/>
      <c r="AZI42" s="30"/>
      <c r="AZJ42" s="30"/>
      <c r="AZK42" s="30"/>
      <c r="AZL42" s="30"/>
      <c r="AZM42" s="30"/>
      <c r="AZN42" s="30"/>
      <c r="AZO42" s="30"/>
      <c r="AZP42" s="30"/>
      <c r="AZQ42" s="30"/>
      <c r="AZR42" s="30"/>
      <c r="AZS42" s="30"/>
      <c r="AZT42" s="30"/>
      <c r="AZU42" s="30"/>
      <c r="AZV42" s="30"/>
      <c r="AZW42" s="30"/>
      <c r="AZX42" s="30"/>
      <c r="AZY42" s="30"/>
      <c r="AZZ42" s="30"/>
      <c r="BAA42" s="30"/>
      <c r="BAB42" s="30"/>
      <c r="BAC42" s="30"/>
      <c r="BAD42" s="30"/>
      <c r="BAE42" s="30"/>
      <c r="BAF42" s="30"/>
      <c r="BAG42" s="30"/>
      <c r="BAH42" s="30"/>
      <c r="BAI42" s="30"/>
      <c r="BAJ42" s="30"/>
      <c r="BAK42" s="30"/>
      <c r="BAL42" s="30"/>
      <c r="BAM42" s="30"/>
      <c r="BAN42" s="30"/>
      <c r="BAO42" s="30"/>
      <c r="BAP42" s="30"/>
      <c r="BAQ42" s="30"/>
      <c r="BAR42" s="30"/>
      <c r="BAS42" s="30"/>
      <c r="BAT42" s="30"/>
      <c r="BAU42" s="30"/>
      <c r="BAV42" s="30"/>
      <c r="BAW42" s="30"/>
      <c r="BAX42" s="30"/>
      <c r="BAY42" s="30"/>
      <c r="BAZ42" s="30"/>
      <c r="BBA42" s="30"/>
      <c r="BBB42" s="30"/>
      <c r="BBC42" s="30"/>
      <c r="BBD42" s="30"/>
      <c r="BBE42" s="30"/>
      <c r="BBF42" s="30"/>
      <c r="BBG42" s="30"/>
      <c r="BBH42" s="30"/>
      <c r="BBI42" s="30"/>
      <c r="BBJ42" s="30"/>
      <c r="BBK42" s="30"/>
      <c r="BBL42" s="30"/>
      <c r="BBM42" s="30"/>
      <c r="BBN42" s="30"/>
      <c r="BBO42" s="30"/>
      <c r="BBP42" s="30"/>
      <c r="BBQ42" s="30"/>
      <c r="BBR42" s="30"/>
      <c r="BBS42" s="30"/>
      <c r="BBT42" s="30"/>
      <c r="BBU42" s="30"/>
      <c r="BBV42" s="30"/>
      <c r="BBW42" s="30"/>
      <c r="BBX42" s="30"/>
      <c r="BBY42" s="30"/>
      <c r="BBZ42" s="30"/>
      <c r="BCA42" s="30"/>
      <c r="BCB42" s="30"/>
      <c r="BCC42" s="30"/>
      <c r="BCD42" s="30"/>
      <c r="BCE42" s="30"/>
      <c r="BCF42" s="30"/>
      <c r="BCG42" s="30"/>
      <c r="BCH42" s="30"/>
      <c r="BCI42" s="30"/>
      <c r="BCJ42" s="30"/>
      <c r="BCK42" s="30"/>
      <c r="BCL42" s="30"/>
      <c r="BCM42" s="30"/>
      <c r="BCN42" s="30"/>
      <c r="BCO42" s="30"/>
      <c r="BCP42" s="30"/>
      <c r="BCQ42" s="30"/>
      <c r="BCR42" s="30"/>
      <c r="BCS42" s="30"/>
      <c r="BCT42" s="30"/>
      <c r="BCU42" s="30"/>
      <c r="BCV42" s="30"/>
      <c r="BCW42" s="30"/>
      <c r="BCX42" s="30"/>
      <c r="BCY42" s="30"/>
      <c r="BCZ42" s="30"/>
      <c r="BDA42" s="30"/>
      <c r="BDB42" s="30"/>
      <c r="BDC42" s="30"/>
      <c r="BDD42" s="30"/>
      <c r="BDE42" s="30"/>
      <c r="BDF42" s="30"/>
      <c r="BDG42" s="30"/>
      <c r="BDH42" s="30"/>
      <c r="BDI42" s="30"/>
      <c r="BDJ42" s="30"/>
      <c r="BDK42" s="30"/>
      <c r="BDL42" s="30"/>
      <c r="BDM42" s="30"/>
      <c r="BDN42" s="30"/>
      <c r="BDO42" s="30"/>
      <c r="BDP42" s="30"/>
      <c r="BDQ42" s="30"/>
      <c r="BDR42" s="30"/>
      <c r="BDS42" s="30"/>
      <c r="BDT42" s="30"/>
      <c r="BDU42" s="30"/>
      <c r="BDV42" s="30"/>
      <c r="BDW42" s="30"/>
      <c r="BDX42" s="30"/>
      <c r="BDY42" s="30"/>
      <c r="BDZ42" s="30"/>
      <c r="BEA42" s="30"/>
      <c r="BEB42" s="30"/>
      <c r="BEC42" s="30"/>
      <c r="BED42" s="30"/>
      <c r="BEE42" s="30"/>
      <c r="BEF42" s="30"/>
      <c r="BEG42" s="30"/>
      <c r="BEH42" s="30"/>
      <c r="BEI42" s="30"/>
      <c r="BEJ42" s="30"/>
      <c r="BEK42" s="30"/>
      <c r="BEL42" s="30"/>
      <c r="BEM42" s="30"/>
      <c r="BEN42" s="30"/>
      <c r="BEO42" s="30"/>
      <c r="BEP42" s="30"/>
      <c r="BEQ42" s="30"/>
      <c r="BER42" s="30"/>
      <c r="BES42" s="30"/>
      <c r="BET42" s="30"/>
      <c r="BEU42" s="30"/>
      <c r="BEV42" s="30"/>
      <c r="BEW42" s="30"/>
      <c r="BEX42" s="30"/>
      <c r="BEY42" s="30"/>
      <c r="BEZ42" s="30"/>
      <c r="BFA42" s="30"/>
      <c r="BFB42" s="30"/>
      <c r="BFC42" s="30"/>
      <c r="BFD42" s="30"/>
      <c r="BFE42" s="30"/>
      <c r="BFF42" s="30"/>
      <c r="BFG42" s="30"/>
      <c r="BFH42" s="30"/>
      <c r="BFI42" s="30"/>
      <c r="BFJ42" s="30"/>
      <c r="BFK42" s="30"/>
      <c r="BFL42" s="30"/>
      <c r="BFM42" s="30"/>
      <c r="BFN42" s="30"/>
      <c r="BFO42" s="30"/>
      <c r="BFP42" s="30"/>
      <c r="BFQ42" s="30"/>
      <c r="BFR42" s="30"/>
      <c r="BFS42" s="30"/>
      <c r="BFT42" s="30"/>
      <c r="BFU42" s="30"/>
      <c r="BFV42" s="30"/>
      <c r="BFW42" s="30"/>
      <c r="BFX42" s="30"/>
      <c r="BFY42" s="30"/>
      <c r="BFZ42" s="30"/>
      <c r="BGA42" s="30"/>
      <c r="BGB42" s="30"/>
      <c r="BGC42" s="30"/>
      <c r="BGD42" s="30"/>
      <c r="BGE42" s="30"/>
      <c r="BGF42" s="30"/>
      <c r="BGG42" s="30"/>
      <c r="BGH42" s="30"/>
      <c r="BGI42" s="30"/>
      <c r="BGJ42" s="30"/>
      <c r="BGK42" s="30"/>
      <c r="BGL42" s="30"/>
      <c r="BGM42" s="30"/>
      <c r="BGN42" s="30"/>
      <c r="BGO42" s="30"/>
      <c r="BGP42" s="30"/>
      <c r="BGQ42" s="30"/>
      <c r="BGR42" s="30"/>
      <c r="BGS42" s="30"/>
      <c r="BGT42" s="30"/>
      <c r="BGU42" s="30"/>
      <c r="BGV42" s="30"/>
      <c r="BGW42" s="30"/>
      <c r="BGX42" s="30"/>
      <c r="BGY42" s="30"/>
      <c r="BGZ42" s="30"/>
      <c r="BHA42" s="30"/>
      <c r="BHB42" s="30"/>
      <c r="BHC42" s="30"/>
      <c r="BHD42" s="30"/>
      <c r="BHE42" s="30"/>
      <c r="BHF42" s="30"/>
      <c r="BHG42" s="30"/>
      <c r="BHH42" s="30"/>
      <c r="BHI42" s="30"/>
      <c r="BHJ42" s="30"/>
      <c r="BHK42" s="30"/>
      <c r="BHL42" s="30"/>
      <c r="BHM42" s="30"/>
      <c r="BHN42" s="30"/>
      <c r="BHO42" s="30"/>
      <c r="BHP42" s="30"/>
      <c r="BHQ42" s="30"/>
      <c r="BHR42" s="30"/>
      <c r="BHS42" s="30"/>
      <c r="BHT42" s="30"/>
      <c r="BHU42" s="30"/>
      <c r="BHV42" s="30"/>
      <c r="BHW42" s="30"/>
      <c r="BHX42" s="30"/>
      <c r="BHY42" s="30"/>
      <c r="BHZ42" s="30"/>
      <c r="BIA42" s="30"/>
      <c r="BIB42" s="30"/>
      <c r="BIC42" s="30"/>
      <c r="BID42" s="30"/>
      <c r="BIE42" s="30"/>
      <c r="BIF42" s="30"/>
      <c r="BIG42" s="30"/>
      <c r="BIH42" s="30"/>
      <c r="BII42" s="30"/>
      <c r="BIJ42" s="30"/>
      <c r="BIK42" s="30"/>
      <c r="BIL42" s="30"/>
      <c r="BIM42" s="30"/>
      <c r="BIN42" s="30"/>
      <c r="BIO42" s="30"/>
      <c r="BIP42" s="30"/>
      <c r="BIQ42" s="30"/>
      <c r="BIR42" s="30"/>
      <c r="BIS42" s="30"/>
      <c r="BIT42" s="30"/>
      <c r="BIU42" s="30"/>
      <c r="BIV42" s="30"/>
      <c r="BIW42" s="30"/>
      <c r="BIX42" s="30"/>
      <c r="BIY42" s="30"/>
      <c r="BIZ42" s="30"/>
      <c r="BJA42" s="30"/>
      <c r="BJB42" s="30"/>
      <c r="BJC42" s="30"/>
      <c r="BJD42" s="30"/>
      <c r="BJE42" s="30"/>
      <c r="BJF42" s="30"/>
      <c r="BJG42" s="30"/>
      <c r="BJH42" s="30"/>
      <c r="BJI42" s="30"/>
      <c r="BJJ42" s="30"/>
      <c r="BJK42" s="30"/>
      <c r="BJL42" s="30"/>
      <c r="BJM42" s="30"/>
      <c r="BJN42" s="30"/>
      <c r="BJO42" s="30"/>
      <c r="BJP42" s="30"/>
      <c r="BJQ42" s="30"/>
      <c r="BJR42" s="30"/>
      <c r="BJS42" s="30"/>
      <c r="BJT42" s="30"/>
      <c r="BJU42" s="30"/>
      <c r="BJV42" s="30"/>
      <c r="BJW42" s="30"/>
      <c r="BJX42" s="30"/>
      <c r="BJY42" s="30"/>
      <c r="BJZ42" s="30"/>
      <c r="BKA42" s="30"/>
      <c r="BKB42" s="30"/>
      <c r="BKC42" s="30"/>
      <c r="BKD42" s="30"/>
      <c r="BKE42" s="30"/>
      <c r="BKF42" s="30"/>
      <c r="BKG42" s="30"/>
      <c r="BKH42" s="30"/>
      <c r="BKI42" s="30"/>
      <c r="BKJ42" s="30"/>
      <c r="BKK42" s="30"/>
      <c r="BKL42" s="30"/>
      <c r="BKM42" s="30"/>
      <c r="BKN42" s="30"/>
      <c r="BKO42" s="30"/>
      <c r="BKP42" s="30"/>
      <c r="BKQ42" s="30"/>
      <c r="BKR42" s="30"/>
      <c r="BKS42" s="30"/>
      <c r="BKT42" s="30"/>
      <c r="BKU42" s="30"/>
      <c r="BKV42" s="30"/>
      <c r="BKW42" s="30"/>
      <c r="BKX42" s="30"/>
      <c r="BKY42" s="30"/>
      <c r="BKZ42" s="30"/>
      <c r="BLA42" s="30"/>
      <c r="BLB42" s="30"/>
      <c r="BLC42" s="30"/>
      <c r="BLD42" s="30"/>
      <c r="BLE42" s="30"/>
      <c r="BLF42" s="30"/>
      <c r="BLG42" s="30"/>
      <c r="BLH42" s="30"/>
      <c r="BLI42" s="30"/>
      <c r="BLJ42" s="30"/>
      <c r="BLK42" s="30"/>
      <c r="BLL42" s="30"/>
      <c r="BLM42" s="30"/>
      <c r="BLN42" s="30"/>
      <c r="BLO42" s="30"/>
      <c r="BLP42" s="30"/>
      <c r="BLQ42" s="30"/>
      <c r="BLR42" s="30"/>
      <c r="BLS42" s="30"/>
      <c r="BLT42" s="30"/>
      <c r="BLU42" s="30"/>
      <c r="BLV42" s="30"/>
      <c r="BLW42" s="30"/>
      <c r="BLX42" s="30"/>
      <c r="BLY42" s="30"/>
      <c r="BLZ42" s="30"/>
      <c r="BMA42" s="30"/>
      <c r="BMB42" s="30"/>
      <c r="BMC42" s="30"/>
      <c r="BMD42" s="30"/>
      <c r="BME42" s="30"/>
      <c r="BMF42" s="30"/>
      <c r="BMG42" s="30"/>
      <c r="BMH42" s="30"/>
      <c r="BMI42" s="30"/>
      <c r="BMJ42" s="30"/>
      <c r="BMK42" s="30"/>
      <c r="BML42" s="30"/>
      <c r="BMM42" s="30"/>
      <c r="BMN42" s="30"/>
      <c r="BMO42" s="30"/>
      <c r="BMP42" s="30"/>
      <c r="BMQ42" s="30"/>
      <c r="BMR42" s="30"/>
      <c r="BMS42" s="30"/>
      <c r="BMT42" s="30"/>
      <c r="BMU42" s="30"/>
      <c r="BMV42" s="30"/>
      <c r="BMW42" s="30"/>
      <c r="BMX42" s="30"/>
      <c r="BMY42" s="30"/>
      <c r="BMZ42" s="30"/>
      <c r="BNA42" s="30"/>
      <c r="BNB42" s="30"/>
      <c r="BNC42" s="30"/>
      <c r="BND42" s="30"/>
      <c r="BNE42" s="30"/>
      <c r="BNF42" s="30"/>
      <c r="BNG42" s="30"/>
      <c r="BNH42" s="30"/>
      <c r="BNI42" s="30"/>
      <c r="BNJ42" s="30"/>
      <c r="BNK42" s="30"/>
      <c r="BNL42" s="30"/>
      <c r="BNM42" s="30"/>
      <c r="BNN42" s="30"/>
      <c r="BNO42" s="30"/>
      <c r="BNP42" s="30"/>
      <c r="BNQ42" s="30"/>
      <c r="BNR42" s="30"/>
      <c r="BNS42" s="30"/>
      <c r="BNT42" s="30"/>
      <c r="BNU42" s="30"/>
      <c r="BNV42" s="30"/>
      <c r="BNW42" s="30"/>
      <c r="BNX42" s="30"/>
      <c r="BNY42" s="30"/>
      <c r="BNZ42" s="30"/>
      <c r="BOA42" s="30"/>
      <c r="BOB42" s="30"/>
      <c r="BOC42" s="30"/>
      <c r="BOD42" s="30"/>
      <c r="BOE42" s="30"/>
      <c r="BOF42" s="30"/>
      <c r="BOG42" s="30"/>
      <c r="BOH42" s="30"/>
      <c r="BOI42" s="30"/>
      <c r="BOJ42" s="30"/>
      <c r="BOK42" s="30"/>
      <c r="BOL42" s="30"/>
      <c r="BOM42" s="30"/>
      <c r="BON42" s="30"/>
      <c r="BOO42" s="30"/>
      <c r="BOP42" s="30"/>
      <c r="BOQ42" s="30"/>
      <c r="BOR42" s="30"/>
      <c r="BOS42" s="30"/>
      <c r="BOT42" s="30"/>
      <c r="BOU42" s="30"/>
      <c r="BOV42" s="30"/>
      <c r="BOW42" s="30"/>
      <c r="BOX42" s="30"/>
      <c r="BOY42" s="30"/>
      <c r="BOZ42" s="30"/>
      <c r="BPA42" s="30"/>
      <c r="BPB42" s="30"/>
      <c r="BPC42" s="30"/>
      <c r="BPD42" s="30"/>
      <c r="BPE42" s="30"/>
      <c r="BPF42" s="30"/>
      <c r="BPG42" s="30"/>
      <c r="BPH42" s="30"/>
      <c r="BPI42" s="30"/>
      <c r="BPJ42" s="30"/>
      <c r="BPK42" s="30"/>
      <c r="BPL42" s="30"/>
      <c r="BPM42" s="30"/>
      <c r="BPN42" s="30"/>
      <c r="BPO42" s="30"/>
      <c r="BPP42" s="30"/>
      <c r="BPQ42" s="30"/>
      <c r="BPR42" s="30"/>
      <c r="BPS42" s="30"/>
      <c r="BPT42" s="30"/>
      <c r="BPU42" s="30"/>
      <c r="BPV42" s="30"/>
      <c r="BPW42" s="30"/>
      <c r="BPX42" s="30"/>
      <c r="BPY42" s="30"/>
      <c r="BPZ42" s="30"/>
      <c r="BQA42" s="30"/>
      <c r="BQB42" s="30"/>
      <c r="BQC42" s="30"/>
      <c r="BQD42" s="30"/>
      <c r="BQE42" s="30"/>
      <c r="BQF42" s="30"/>
      <c r="BQG42" s="30"/>
      <c r="BQH42" s="30"/>
      <c r="BQI42" s="30"/>
      <c r="BQJ42" s="30"/>
      <c r="BQK42" s="30"/>
      <c r="BQL42" s="30"/>
      <c r="BQM42" s="30"/>
      <c r="BQN42" s="30"/>
      <c r="BQO42" s="30"/>
      <c r="BQP42" s="30"/>
      <c r="BQQ42" s="30"/>
      <c r="BQR42" s="30"/>
      <c r="BQS42" s="30"/>
      <c r="BQT42" s="30"/>
      <c r="BQU42" s="30"/>
      <c r="BQV42" s="30"/>
      <c r="BQW42" s="30"/>
      <c r="BQX42" s="30"/>
      <c r="BQY42" s="30"/>
      <c r="BQZ42" s="30"/>
      <c r="BRA42" s="30"/>
      <c r="BRB42" s="30"/>
      <c r="BRC42" s="30"/>
      <c r="BRD42" s="30"/>
      <c r="BRE42" s="30"/>
      <c r="BRF42" s="30"/>
      <c r="BRG42" s="30"/>
      <c r="BRH42" s="30"/>
      <c r="BRI42" s="30"/>
      <c r="BRJ42" s="30"/>
      <c r="BRK42" s="30"/>
      <c r="BRL42" s="30"/>
      <c r="BRM42" s="30"/>
      <c r="BRN42" s="30"/>
      <c r="BRO42" s="30"/>
      <c r="BRP42" s="30"/>
      <c r="BRQ42" s="30"/>
      <c r="BRR42" s="30"/>
      <c r="BRS42" s="30"/>
      <c r="BRT42" s="30"/>
      <c r="BRU42" s="30"/>
      <c r="BRV42" s="30"/>
      <c r="BRW42" s="30"/>
      <c r="BRX42" s="30"/>
      <c r="BRY42" s="30"/>
      <c r="BRZ42" s="30"/>
      <c r="BSA42" s="30"/>
      <c r="BSB42" s="30"/>
      <c r="BSC42" s="30"/>
      <c r="BSD42" s="30"/>
      <c r="BSE42" s="30"/>
      <c r="BSF42" s="30"/>
      <c r="BSG42" s="30"/>
      <c r="BSH42" s="30"/>
      <c r="BSI42" s="30"/>
      <c r="BSJ42" s="30"/>
      <c r="BSK42" s="30"/>
      <c r="BSL42" s="30"/>
      <c r="BSM42" s="30"/>
      <c r="BSN42" s="30"/>
      <c r="BSO42" s="30"/>
      <c r="BSP42" s="30"/>
      <c r="BSQ42" s="30"/>
      <c r="BSR42" s="30"/>
      <c r="BSS42" s="30"/>
      <c r="BST42" s="30"/>
      <c r="BSU42" s="30"/>
      <c r="BSV42" s="30"/>
      <c r="BSW42" s="30"/>
      <c r="BSX42" s="30"/>
      <c r="BSY42" s="30"/>
      <c r="BSZ42" s="30"/>
      <c r="BTA42" s="30"/>
      <c r="BTB42" s="30"/>
      <c r="BTC42" s="30"/>
      <c r="BTD42" s="30"/>
      <c r="BTE42" s="30"/>
      <c r="BTF42" s="30"/>
      <c r="BTG42" s="30"/>
      <c r="BTH42" s="30"/>
      <c r="BTI42" s="30"/>
      <c r="BTJ42" s="30"/>
      <c r="BTK42" s="30"/>
      <c r="BTL42" s="30"/>
      <c r="BTM42" s="30"/>
      <c r="BTN42" s="30"/>
      <c r="BTO42" s="30"/>
      <c r="BTP42" s="30"/>
      <c r="BTQ42" s="30"/>
      <c r="BTR42" s="30"/>
      <c r="BTS42" s="30"/>
      <c r="BTT42" s="30"/>
      <c r="BTU42" s="30"/>
      <c r="BTV42" s="30"/>
      <c r="BTW42" s="30"/>
      <c r="BTX42" s="30"/>
      <c r="BTY42" s="30"/>
      <c r="BTZ42" s="30"/>
      <c r="BUA42" s="30"/>
      <c r="BUB42" s="30"/>
      <c r="BUC42" s="30"/>
      <c r="BUD42" s="30"/>
      <c r="BUE42" s="30"/>
      <c r="BUF42" s="30"/>
      <c r="BUG42" s="30"/>
      <c r="BUH42" s="30"/>
      <c r="BUI42" s="30"/>
      <c r="BUJ42" s="30"/>
      <c r="BUK42" s="30"/>
      <c r="BUL42" s="30"/>
      <c r="BUM42" s="30"/>
      <c r="BUN42" s="30"/>
      <c r="BUO42" s="30"/>
      <c r="BUP42" s="30"/>
      <c r="BUQ42" s="30"/>
      <c r="BUR42" s="30"/>
      <c r="BUS42" s="30"/>
      <c r="BUT42" s="30"/>
      <c r="BUU42" s="30"/>
      <c r="BUV42" s="30"/>
      <c r="BUW42" s="30"/>
      <c r="BUX42" s="30"/>
      <c r="BUY42" s="30"/>
      <c r="BUZ42" s="30"/>
      <c r="BVA42" s="30"/>
      <c r="BVB42" s="30"/>
      <c r="BVC42" s="30"/>
      <c r="BVD42" s="30"/>
      <c r="BVE42" s="30"/>
      <c r="BVF42" s="30"/>
      <c r="BVG42" s="30"/>
      <c r="BVH42" s="30"/>
      <c r="BVI42" s="30"/>
      <c r="BVJ42" s="30"/>
      <c r="BVK42" s="30"/>
      <c r="BVL42" s="30"/>
      <c r="BVM42" s="30"/>
      <c r="BVN42" s="30"/>
      <c r="BVO42" s="30"/>
      <c r="BVP42" s="30"/>
      <c r="BVQ42" s="30"/>
      <c r="BVR42" s="30"/>
      <c r="BVS42" s="30"/>
      <c r="BVT42" s="30"/>
      <c r="BVU42" s="30"/>
      <c r="BVV42" s="30"/>
      <c r="BVW42" s="30"/>
      <c r="BVX42" s="30"/>
      <c r="BVY42" s="30"/>
      <c r="BVZ42" s="30"/>
      <c r="BWA42" s="30"/>
      <c r="BWB42" s="30"/>
      <c r="BWC42" s="30"/>
      <c r="BWD42" s="30"/>
      <c r="BWE42" s="30"/>
      <c r="BWF42" s="30"/>
      <c r="BWG42" s="30"/>
      <c r="BWH42" s="30"/>
      <c r="BWI42" s="30"/>
      <c r="BWJ42" s="30"/>
      <c r="BWK42" s="30"/>
      <c r="BWL42" s="30"/>
      <c r="BWM42" s="30"/>
      <c r="BWN42" s="30"/>
      <c r="BWO42" s="30"/>
      <c r="BWP42" s="30"/>
      <c r="BWQ42" s="30"/>
      <c r="BWR42" s="30"/>
      <c r="BWS42" s="30"/>
      <c r="BWT42" s="30"/>
      <c r="BWU42" s="30"/>
      <c r="BWV42" s="30"/>
      <c r="BWW42" s="30"/>
      <c r="BWX42" s="30"/>
      <c r="BWY42" s="30"/>
      <c r="BWZ42" s="30"/>
      <c r="BXA42" s="30"/>
      <c r="BXB42" s="30"/>
      <c r="BXC42" s="30"/>
      <c r="BXD42" s="30"/>
      <c r="BXE42" s="30"/>
      <c r="BXF42" s="30"/>
      <c r="BXG42" s="30"/>
      <c r="BXH42" s="30"/>
      <c r="BXI42" s="30"/>
      <c r="BXJ42" s="30"/>
      <c r="BXK42" s="30"/>
      <c r="BXL42" s="30"/>
      <c r="BXM42" s="30"/>
      <c r="BXN42" s="30"/>
      <c r="BXO42" s="30"/>
      <c r="BXP42" s="30"/>
      <c r="BXQ42" s="30"/>
      <c r="BXR42" s="30"/>
      <c r="BXS42" s="30"/>
      <c r="BXT42" s="30"/>
      <c r="BXU42" s="30"/>
      <c r="BXV42" s="30"/>
      <c r="BXW42" s="30"/>
      <c r="BXX42" s="30"/>
      <c r="BXY42" s="30"/>
      <c r="BXZ42" s="30"/>
      <c r="BYA42" s="30"/>
      <c r="BYB42" s="30"/>
      <c r="BYC42" s="30"/>
      <c r="BYD42" s="30"/>
      <c r="BYE42" s="30"/>
      <c r="BYF42" s="30"/>
      <c r="BYG42" s="30"/>
      <c r="BYH42" s="30"/>
      <c r="BYI42" s="30"/>
      <c r="BYJ42" s="30"/>
      <c r="BYK42" s="30"/>
      <c r="BYL42" s="30"/>
      <c r="BYM42" s="30"/>
      <c r="BYN42" s="30"/>
      <c r="BYO42" s="30"/>
      <c r="BYP42" s="30"/>
      <c r="BYQ42" s="30"/>
      <c r="BYR42" s="30"/>
      <c r="BYS42" s="30"/>
      <c r="BYT42" s="30"/>
      <c r="BYU42" s="30"/>
      <c r="BYV42" s="30"/>
      <c r="BYW42" s="30"/>
      <c r="BYX42" s="30"/>
      <c r="BYY42" s="30"/>
      <c r="BYZ42" s="30"/>
      <c r="BZA42" s="30"/>
      <c r="BZB42" s="30"/>
      <c r="BZC42" s="30"/>
      <c r="BZD42" s="30"/>
      <c r="BZE42" s="30"/>
      <c r="BZF42" s="30"/>
      <c r="BZG42" s="30"/>
      <c r="BZH42" s="30"/>
      <c r="BZI42" s="30"/>
      <c r="BZJ42" s="30"/>
      <c r="BZK42" s="30"/>
      <c r="BZL42" s="30"/>
      <c r="BZM42" s="30"/>
      <c r="BZN42" s="30"/>
      <c r="BZO42" s="30"/>
      <c r="BZP42" s="30"/>
      <c r="BZQ42" s="30"/>
      <c r="BZR42" s="30"/>
      <c r="BZS42" s="30"/>
      <c r="BZT42" s="30"/>
      <c r="BZU42" s="30"/>
      <c r="BZV42" s="30"/>
      <c r="BZW42" s="30"/>
      <c r="BZX42" s="30"/>
      <c r="BZY42" s="30"/>
      <c r="BZZ42" s="30"/>
      <c r="CAA42" s="30"/>
      <c r="CAB42" s="30"/>
      <c r="CAC42" s="30"/>
      <c r="CAD42" s="30"/>
      <c r="CAE42" s="30"/>
      <c r="CAF42" s="30"/>
      <c r="CAG42" s="30"/>
      <c r="CAH42" s="30"/>
      <c r="CAI42" s="30"/>
      <c r="CAJ42" s="30"/>
      <c r="CAK42" s="30"/>
      <c r="CAL42" s="30"/>
      <c r="CAM42" s="30"/>
      <c r="CAN42" s="30"/>
      <c r="CAO42" s="30"/>
      <c r="CAP42" s="30"/>
      <c r="CAQ42" s="30"/>
      <c r="CAR42" s="30"/>
      <c r="CAS42" s="30"/>
      <c r="CAT42" s="30"/>
      <c r="CAU42" s="30"/>
      <c r="CAV42" s="30"/>
      <c r="CAW42" s="30"/>
      <c r="CAX42" s="30"/>
      <c r="CAY42" s="30"/>
      <c r="CAZ42" s="30"/>
      <c r="CBA42" s="30"/>
      <c r="CBB42" s="30"/>
      <c r="CBC42" s="30"/>
      <c r="CBD42" s="30"/>
      <c r="CBE42" s="30"/>
      <c r="CBF42" s="30"/>
      <c r="CBG42" s="30"/>
      <c r="CBH42" s="30"/>
      <c r="CBI42" s="30"/>
      <c r="CBJ42" s="30"/>
      <c r="CBK42" s="30"/>
      <c r="CBL42" s="30"/>
      <c r="CBM42" s="30"/>
      <c r="CBN42" s="30"/>
      <c r="CBO42" s="30"/>
      <c r="CBP42" s="30"/>
      <c r="CBQ42" s="30"/>
      <c r="CBR42" s="30"/>
      <c r="CBS42" s="30"/>
      <c r="CBT42" s="30"/>
      <c r="CBU42" s="30"/>
      <c r="CBV42" s="30"/>
      <c r="CBW42" s="30"/>
      <c r="CBX42" s="30"/>
      <c r="CBY42" s="30"/>
      <c r="CBZ42" s="30"/>
      <c r="CCA42" s="30"/>
      <c r="CCB42" s="30"/>
      <c r="CCC42" s="30"/>
      <c r="CCD42" s="30"/>
      <c r="CCE42" s="30"/>
      <c r="CCF42" s="30"/>
      <c r="CCG42" s="30"/>
      <c r="CCH42" s="30"/>
      <c r="CCI42" s="30"/>
      <c r="CCJ42" s="30"/>
      <c r="CCK42" s="30"/>
      <c r="CCL42" s="30"/>
      <c r="CCM42" s="30"/>
      <c r="CCN42" s="30"/>
      <c r="CCO42" s="30"/>
      <c r="CCP42" s="30"/>
      <c r="CCQ42" s="30"/>
      <c r="CCR42" s="30"/>
      <c r="CCS42" s="30"/>
      <c r="CCT42" s="30"/>
      <c r="CCU42" s="30"/>
      <c r="CCV42" s="30"/>
      <c r="CCW42" s="30"/>
      <c r="CCX42" s="30"/>
      <c r="CCY42" s="30"/>
      <c r="CCZ42" s="30"/>
      <c r="CDA42" s="30"/>
      <c r="CDB42" s="30"/>
      <c r="CDC42" s="30"/>
      <c r="CDD42" s="30"/>
      <c r="CDE42" s="30"/>
      <c r="CDF42" s="30"/>
      <c r="CDG42" s="30"/>
      <c r="CDH42" s="30"/>
      <c r="CDI42" s="30"/>
      <c r="CDJ42" s="30"/>
      <c r="CDK42" s="30"/>
      <c r="CDL42" s="30"/>
      <c r="CDM42" s="30"/>
      <c r="CDN42" s="30"/>
      <c r="CDO42" s="30"/>
      <c r="CDP42" s="30"/>
      <c r="CDQ42" s="30"/>
      <c r="CDR42" s="30"/>
      <c r="CDS42" s="30"/>
      <c r="CDT42" s="30"/>
      <c r="CDU42" s="30"/>
      <c r="CDV42" s="30"/>
      <c r="CDW42" s="30"/>
      <c r="CDX42" s="30"/>
      <c r="CDY42" s="30"/>
      <c r="CDZ42" s="30"/>
      <c r="CEA42" s="30"/>
      <c r="CEB42" s="30"/>
      <c r="CEC42" s="30"/>
      <c r="CED42" s="30"/>
      <c r="CEE42" s="30"/>
      <c r="CEF42" s="30"/>
      <c r="CEG42" s="30"/>
      <c r="CEH42" s="30"/>
      <c r="CEI42" s="30"/>
      <c r="CEJ42" s="30"/>
      <c r="CEK42" s="30"/>
      <c r="CEL42" s="30"/>
      <c r="CEM42" s="30"/>
      <c r="CEN42" s="30"/>
      <c r="CEO42" s="30"/>
      <c r="CEP42" s="30"/>
      <c r="CEQ42" s="30"/>
      <c r="CER42" s="30"/>
      <c r="CES42" s="30"/>
      <c r="CET42" s="30"/>
      <c r="CEU42" s="30"/>
      <c r="CEV42" s="30"/>
      <c r="CEW42" s="30"/>
      <c r="CEX42" s="30"/>
      <c r="CEY42" s="30"/>
      <c r="CEZ42" s="30"/>
      <c r="CFA42" s="30"/>
      <c r="CFB42" s="30"/>
      <c r="CFC42" s="30"/>
      <c r="CFD42" s="30"/>
      <c r="CFE42" s="30"/>
      <c r="CFF42" s="30"/>
      <c r="CFG42" s="30"/>
      <c r="CFH42" s="30"/>
      <c r="CFI42" s="30"/>
      <c r="CFJ42" s="30"/>
      <c r="CFK42" s="30"/>
      <c r="CFL42" s="30"/>
      <c r="CFM42" s="30"/>
      <c r="CFN42" s="30"/>
      <c r="CFO42" s="30"/>
      <c r="CFP42" s="30"/>
      <c r="CFQ42" s="30"/>
      <c r="CFR42" s="30"/>
      <c r="CFS42" s="30"/>
      <c r="CFT42" s="30"/>
      <c r="CFU42" s="30"/>
      <c r="CFV42" s="30"/>
      <c r="CFW42" s="30"/>
      <c r="CFX42" s="30"/>
      <c r="CFY42" s="30"/>
      <c r="CFZ42" s="30"/>
      <c r="CGA42" s="30"/>
      <c r="CGB42" s="30"/>
      <c r="CGC42" s="30"/>
      <c r="CGD42" s="30"/>
      <c r="CGE42" s="30"/>
      <c r="CGF42" s="30"/>
      <c r="CGG42" s="30"/>
      <c r="CGH42" s="30"/>
      <c r="CGI42" s="30"/>
      <c r="CGJ42" s="30"/>
      <c r="CGK42" s="30"/>
      <c r="CGL42" s="30"/>
      <c r="CGM42" s="30"/>
      <c r="CGN42" s="30"/>
      <c r="CGO42" s="30"/>
      <c r="CGP42" s="30"/>
      <c r="CGQ42" s="30"/>
      <c r="CGR42" s="30"/>
      <c r="CGS42" s="30"/>
      <c r="CGT42" s="30"/>
      <c r="CGU42" s="30"/>
      <c r="CGV42" s="30"/>
      <c r="CGW42" s="30"/>
      <c r="CGX42" s="30"/>
      <c r="CGY42" s="30"/>
      <c r="CGZ42" s="30"/>
      <c r="CHA42" s="30"/>
      <c r="CHB42" s="30"/>
      <c r="CHC42" s="30"/>
      <c r="CHD42" s="30"/>
      <c r="CHE42" s="30"/>
      <c r="CHF42" s="30"/>
      <c r="CHG42" s="30"/>
      <c r="CHH42" s="30"/>
      <c r="CHI42" s="30"/>
      <c r="CHJ42" s="30"/>
      <c r="CHK42" s="30"/>
      <c r="CHL42" s="30"/>
      <c r="CHM42" s="30"/>
      <c r="CHN42" s="30"/>
      <c r="CHO42" s="30"/>
      <c r="CHP42" s="30"/>
      <c r="CHQ42" s="30"/>
      <c r="CHR42" s="30"/>
      <c r="CHS42" s="30"/>
      <c r="CHT42" s="30"/>
      <c r="CHU42" s="30"/>
      <c r="CHV42" s="30"/>
      <c r="CHW42" s="30"/>
      <c r="CHX42" s="30"/>
      <c r="CHY42" s="30"/>
      <c r="CHZ42" s="30"/>
      <c r="CIA42" s="30"/>
      <c r="CIB42" s="30"/>
      <c r="CIC42" s="30"/>
      <c r="CID42" s="30"/>
      <c r="CIE42" s="30"/>
      <c r="CIF42" s="30"/>
      <c r="CIG42" s="30"/>
      <c r="CIH42" s="30"/>
      <c r="CII42" s="30"/>
      <c r="CIJ42" s="30"/>
      <c r="CIK42" s="30"/>
      <c r="CIL42" s="30"/>
      <c r="CIM42" s="30"/>
      <c r="CIN42" s="30"/>
      <c r="CIO42" s="30"/>
      <c r="CIP42" s="30"/>
      <c r="CIQ42" s="30"/>
      <c r="CIR42" s="30"/>
      <c r="CIS42" s="30"/>
      <c r="CIT42" s="30"/>
      <c r="CIU42" s="30"/>
      <c r="CIV42" s="30"/>
      <c r="CIW42" s="30"/>
      <c r="CIX42" s="30"/>
      <c r="CIY42" s="30"/>
      <c r="CIZ42" s="30"/>
      <c r="CJA42" s="30"/>
      <c r="CJB42" s="30"/>
      <c r="CJC42" s="30"/>
      <c r="CJD42" s="30"/>
      <c r="CJE42" s="30"/>
      <c r="CJF42" s="30"/>
      <c r="CJG42" s="30"/>
      <c r="CJH42" s="30"/>
      <c r="CJI42" s="30"/>
      <c r="CJJ42" s="30"/>
      <c r="CJK42" s="30"/>
      <c r="CJL42" s="30"/>
      <c r="CJM42" s="30"/>
      <c r="CJN42" s="30"/>
      <c r="CJO42" s="30"/>
      <c r="CJP42" s="30"/>
      <c r="CJQ42" s="30"/>
      <c r="CJR42" s="30"/>
      <c r="CJS42" s="30"/>
      <c r="CJT42" s="30"/>
      <c r="CJU42" s="30"/>
      <c r="CJV42" s="30"/>
      <c r="CJW42" s="30"/>
      <c r="CJX42" s="30"/>
      <c r="CJY42" s="30"/>
      <c r="CJZ42" s="30"/>
      <c r="CKA42" s="30"/>
      <c r="CKB42" s="30"/>
      <c r="CKC42" s="30"/>
      <c r="CKD42" s="30"/>
      <c r="CKE42" s="30"/>
      <c r="CKF42" s="30"/>
      <c r="CKG42" s="30"/>
      <c r="CKH42" s="30"/>
      <c r="CKI42" s="30"/>
      <c r="CKJ42" s="30"/>
      <c r="CKK42" s="30"/>
      <c r="CKL42" s="30"/>
      <c r="CKM42" s="30"/>
      <c r="CKN42" s="30"/>
      <c r="CKO42" s="30"/>
      <c r="CKP42" s="30"/>
      <c r="CKQ42" s="30"/>
      <c r="CKR42" s="30"/>
      <c r="CKS42" s="30"/>
      <c r="CKT42" s="30"/>
      <c r="CKU42" s="30"/>
      <c r="CKV42" s="30"/>
      <c r="CKW42" s="30"/>
      <c r="CKX42" s="30"/>
      <c r="CKY42" s="30"/>
      <c r="CKZ42" s="30"/>
      <c r="CLA42" s="30"/>
      <c r="CLB42" s="30"/>
      <c r="CLC42" s="30"/>
      <c r="CLD42" s="30"/>
      <c r="CLE42" s="30"/>
      <c r="CLF42" s="30"/>
      <c r="CLG42" s="30"/>
      <c r="CLH42" s="30"/>
      <c r="CLI42" s="30"/>
      <c r="CLJ42" s="30"/>
      <c r="CLK42" s="30"/>
      <c r="CLL42" s="30"/>
      <c r="CLM42" s="30"/>
      <c r="CLN42" s="30"/>
      <c r="CLO42" s="30"/>
      <c r="CLP42" s="30"/>
      <c r="CLQ42" s="30"/>
      <c r="CLR42" s="30"/>
      <c r="CLS42" s="30"/>
      <c r="CLT42" s="30"/>
      <c r="CLU42" s="30"/>
      <c r="CLV42" s="30"/>
      <c r="CLW42" s="30"/>
      <c r="CLX42" s="30"/>
      <c r="CLY42" s="30"/>
      <c r="CLZ42" s="30"/>
      <c r="CMA42" s="30"/>
      <c r="CMB42" s="30"/>
      <c r="CMC42" s="30"/>
      <c r="CMD42" s="30"/>
      <c r="CME42" s="30"/>
      <c r="CMF42" s="30"/>
      <c r="CMG42" s="30"/>
      <c r="CMH42" s="30"/>
      <c r="CMI42" s="30"/>
      <c r="CMJ42" s="30"/>
      <c r="CMK42" s="30"/>
      <c r="CML42" s="30"/>
      <c r="CMM42" s="30"/>
      <c r="CMN42" s="30"/>
      <c r="CMO42" s="30"/>
      <c r="CMP42" s="30"/>
      <c r="CMQ42" s="30"/>
      <c r="CMR42" s="30"/>
      <c r="CMS42" s="30"/>
      <c r="CMT42" s="30"/>
      <c r="CMU42" s="30"/>
      <c r="CMV42" s="30"/>
      <c r="CMW42" s="30"/>
      <c r="CMX42" s="30"/>
      <c r="CMY42" s="30"/>
      <c r="CMZ42" s="30"/>
      <c r="CNA42" s="30"/>
      <c r="CNB42" s="30"/>
      <c r="CNC42" s="30"/>
      <c r="CND42" s="30"/>
      <c r="CNE42" s="30"/>
      <c r="CNF42" s="30"/>
      <c r="CNG42" s="30"/>
      <c r="CNH42" s="30"/>
      <c r="CNI42" s="30"/>
      <c r="CNJ42" s="30"/>
      <c r="CNK42" s="30"/>
      <c r="CNL42" s="30"/>
      <c r="CNM42" s="30"/>
      <c r="CNN42" s="30"/>
      <c r="CNO42" s="30"/>
      <c r="CNP42" s="30"/>
      <c r="CNQ42" s="30"/>
      <c r="CNR42" s="30"/>
      <c r="CNS42" s="30"/>
      <c r="CNT42" s="30"/>
      <c r="CNU42" s="30"/>
      <c r="CNV42" s="30"/>
      <c r="CNW42" s="30"/>
      <c r="CNX42" s="30"/>
      <c r="CNY42" s="30"/>
      <c r="CNZ42" s="30"/>
      <c r="COA42" s="30"/>
      <c r="COB42" s="30"/>
      <c r="COC42" s="30"/>
      <c r="COD42" s="30"/>
      <c r="COE42" s="30"/>
      <c r="COF42" s="30"/>
      <c r="COG42" s="30"/>
      <c r="COH42" s="30"/>
      <c r="COI42" s="30"/>
      <c r="COJ42" s="30"/>
      <c r="COK42" s="30"/>
      <c r="COL42" s="30"/>
      <c r="COM42" s="30"/>
      <c r="CON42" s="30"/>
      <c r="COO42" s="30"/>
      <c r="COP42" s="30"/>
      <c r="COQ42" s="30"/>
      <c r="COR42" s="30"/>
      <c r="COS42" s="30"/>
      <c r="COT42" s="30"/>
      <c r="COU42" s="30"/>
      <c r="COV42" s="30"/>
      <c r="COW42" s="30"/>
      <c r="COX42" s="30"/>
      <c r="COY42" s="30"/>
      <c r="COZ42" s="30"/>
      <c r="CPA42" s="30"/>
      <c r="CPB42" s="30"/>
      <c r="CPC42" s="30"/>
      <c r="CPD42" s="30"/>
      <c r="CPE42" s="30"/>
      <c r="CPF42" s="30"/>
      <c r="CPG42" s="30"/>
      <c r="CPH42" s="30"/>
      <c r="CPI42" s="30"/>
      <c r="CPJ42" s="30"/>
      <c r="CPK42" s="30"/>
      <c r="CPL42" s="30"/>
      <c r="CPM42" s="30"/>
      <c r="CPN42" s="30"/>
      <c r="CPO42" s="30"/>
      <c r="CPP42" s="30"/>
      <c r="CPQ42" s="30"/>
      <c r="CPR42" s="30"/>
      <c r="CPS42" s="30"/>
      <c r="CPT42" s="30"/>
      <c r="CPU42" s="30"/>
      <c r="CPV42" s="30"/>
      <c r="CPW42" s="30"/>
      <c r="CPX42" s="30"/>
      <c r="CPY42" s="30"/>
      <c r="CPZ42" s="30"/>
      <c r="CQA42" s="30"/>
      <c r="CQB42" s="30"/>
      <c r="CQC42" s="30"/>
      <c r="CQD42" s="30"/>
      <c r="CQE42" s="30"/>
      <c r="CQF42" s="30"/>
      <c r="CQG42" s="30"/>
      <c r="CQH42" s="30"/>
      <c r="CQI42" s="30"/>
      <c r="CQJ42" s="30"/>
      <c r="CQK42" s="30"/>
      <c r="CQL42" s="30"/>
      <c r="CQM42" s="30"/>
      <c r="CQN42" s="30"/>
      <c r="CQO42" s="30"/>
      <c r="CQP42" s="30"/>
      <c r="CQQ42" s="30"/>
      <c r="CQR42" s="30"/>
      <c r="CQS42" s="30"/>
      <c r="CQT42" s="30"/>
      <c r="CQU42" s="30"/>
      <c r="CQV42" s="30"/>
      <c r="CQW42" s="30"/>
      <c r="CQX42" s="30"/>
      <c r="CQY42" s="30"/>
      <c r="CQZ42" s="30"/>
      <c r="CRA42" s="30"/>
      <c r="CRB42" s="30"/>
      <c r="CRC42" s="30"/>
      <c r="CRD42" s="30"/>
      <c r="CRE42" s="30"/>
      <c r="CRF42" s="30"/>
      <c r="CRG42" s="30"/>
      <c r="CRH42" s="30"/>
      <c r="CRI42" s="30"/>
      <c r="CRJ42" s="30"/>
      <c r="CRK42" s="30"/>
      <c r="CRL42" s="30"/>
      <c r="CRM42" s="30"/>
      <c r="CRN42" s="30"/>
      <c r="CRO42" s="30"/>
      <c r="CRP42" s="30"/>
      <c r="CRQ42" s="30"/>
      <c r="CRR42" s="30"/>
      <c r="CRS42" s="30"/>
      <c r="CRT42" s="30"/>
      <c r="CRU42" s="30"/>
      <c r="CRV42" s="30"/>
      <c r="CRW42" s="30"/>
      <c r="CRX42" s="30"/>
      <c r="CRY42" s="30"/>
      <c r="CRZ42" s="30"/>
      <c r="CSA42" s="30"/>
      <c r="CSB42" s="30"/>
      <c r="CSC42" s="30"/>
      <c r="CSD42" s="30"/>
      <c r="CSE42" s="30"/>
      <c r="CSF42" s="30"/>
      <c r="CSG42" s="30"/>
      <c r="CSH42" s="30"/>
      <c r="CSI42" s="30"/>
      <c r="CSJ42" s="30"/>
      <c r="CSK42" s="30"/>
      <c r="CSL42" s="30"/>
      <c r="CSM42" s="30"/>
      <c r="CSN42" s="30"/>
      <c r="CSO42" s="30"/>
      <c r="CSP42" s="30"/>
      <c r="CSQ42" s="30"/>
      <c r="CSR42" s="30"/>
      <c r="CSS42" s="30"/>
      <c r="CST42" s="30"/>
      <c r="CSU42" s="30"/>
      <c r="CSV42" s="30"/>
      <c r="CSW42" s="30"/>
      <c r="CSX42" s="30"/>
      <c r="CSY42" s="30"/>
      <c r="CSZ42" s="30"/>
      <c r="CTA42" s="30"/>
      <c r="CTB42" s="30"/>
      <c r="CTC42" s="30"/>
      <c r="CTD42" s="30"/>
      <c r="CTE42" s="30"/>
      <c r="CTF42" s="30"/>
      <c r="CTG42" s="30"/>
      <c r="CTH42" s="30"/>
      <c r="CTI42" s="30"/>
      <c r="CTJ42" s="30"/>
      <c r="CTK42" s="30"/>
      <c r="CTL42" s="30"/>
      <c r="CTM42" s="30"/>
      <c r="CTN42" s="30"/>
      <c r="CTO42" s="30"/>
      <c r="CTP42" s="30"/>
      <c r="CTQ42" s="30"/>
      <c r="CTR42" s="30"/>
      <c r="CTS42" s="30"/>
      <c r="CTT42" s="30"/>
      <c r="CTU42" s="30"/>
      <c r="CTV42" s="30"/>
      <c r="CTW42" s="30"/>
      <c r="CTX42" s="30"/>
      <c r="CTY42" s="30"/>
      <c r="CTZ42" s="30"/>
      <c r="CUA42" s="30"/>
    </row>
    <row r="43" s="30" customFormat="1" spans="1:18">
      <c r="A43" s="268">
        <v>52</v>
      </c>
      <c r="B43" s="268" t="s">
        <v>13</v>
      </c>
      <c r="C43" s="268" t="s">
        <v>37</v>
      </c>
      <c r="D43" s="82" t="s">
        <v>330</v>
      </c>
      <c r="E43" s="29" t="s">
        <v>771</v>
      </c>
      <c r="F43" s="31" t="s">
        <v>782</v>
      </c>
      <c r="G43" s="31" t="s">
        <v>773</v>
      </c>
      <c r="H43" s="119" t="s">
        <v>783</v>
      </c>
      <c r="I43" s="32">
        <v>2012.01</v>
      </c>
      <c r="J43" s="31" t="s">
        <v>775</v>
      </c>
      <c r="K43" s="31" t="s">
        <v>776</v>
      </c>
      <c r="L43" s="31" t="s">
        <v>667</v>
      </c>
      <c r="M43" s="29" t="s">
        <v>674</v>
      </c>
      <c r="N43" s="94">
        <v>45583</v>
      </c>
      <c r="O43" s="94">
        <v>45947</v>
      </c>
      <c r="P43" s="29">
        <v>60</v>
      </c>
      <c r="Q43" s="85"/>
      <c r="R43" s="251"/>
    </row>
    <row r="44" s="30" customFormat="1" spans="1:18">
      <c r="A44" s="268">
        <v>53</v>
      </c>
      <c r="B44" s="268" t="s">
        <v>14</v>
      </c>
      <c r="C44" s="268" t="s">
        <v>37</v>
      </c>
      <c r="D44" s="82" t="s">
        <v>262</v>
      </c>
      <c r="E44" s="29" t="s">
        <v>771</v>
      </c>
      <c r="F44" s="31" t="s">
        <v>784</v>
      </c>
      <c r="G44" s="31" t="s">
        <v>773</v>
      </c>
      <c r="H44" s="119" t="s">
        <v>785</v>
      </c>
      <c r="I44" s="32">
        <v>2012.01</v>
      </c>
      <c r="J44" s="31" t="s">
        <v>775</v>
      </c>
      <c r="K44" s="31" t="s">
        <v>776</v>
      </c>
      <c r="L44" s="31" t="s">
        <v>667</v>
      </c>
      <c r="M44" s="29" t="s">
        <v>674</v>
      </c>
      <c r="N44" s="94">
        <v>45583</v>
      </c>
      <c r="O44" s="94">
        <v>45947</v>
      </c>
      <c r="P44" s="29">
        <v>60</v>
      </c>
      <c r="Q44" s="85"/>
      <c r="R44" s="85"/>
    </row>
    <row r="45" s="30" customFormat="1" spans="1:18">
      <c r="A45" s="268">
        <v>54</v>
      </c>
      <c r="B45" s="268" t="s">
        <v>13</v>
      </c>
      <c r="C45" s="268" t="s">
        <v>37</v>
      </c>
      <c r="D45" s="82" t="s">
        <v>330</v>
      </c>
      <c r="E45" s="29" t="s">
        <v>771</v>
      </c>
      <c r="F45" s="31" t="s">
        <v>786</v>
      </c>
      <c r="G45" s="31" t="s">
        <v>780</v>
      </c>
      <c r="H45" s="119" t="s">
        <v>787</v>
      </c>
      <c r="I45" s="32">
        <v>2012.08</v>
      </c>
      <c r="J45" s="31" t="s">
        <v>780</v>
      </c>
      <c r="K45" s="31" t="s">
        <v>42</v>
      </c>
      <c r="L45" s="31" t="s">
        <v>667</v>
      </c>
      <c r="M45" s="29" t="s">
        <v>674</v>
      </c>
      <c r="N45" s="94">
        <v>45583</v>
      </c>
      <c r="O45" s="94">
        <v>45947</v>
      </c>
      <c r="P45" s="29">
        <v>60</v>
      </c>
      <c r="Q45" s="85"/>
      <c r="R45" s="85"/>
    </row>
    <row r="46" s="30" customFormat="1" spans="1:18">
      <c r="A46" s="268">
        <v>55</v>
      </c>
      <c r="B46" s="268" t="s">
        <v>14</v>
      </c>
      <c r="C46" s="268" t="s">
        <v>37</v>
      </c>
      <c r="D46" s="82" t="s">
        <v>262</v>
      </c>
      <c r="E46" s="29" t="s">
        <v>771</v>
      </c>
      <c r="F46" s="31" t="s">
        <v>788</v>
      </c>
      <c r="G46" s="31" t="s">
        <v>780</v>
      </c>
      <c r="H46" s="119" t="s">
        <v>789</v>
      </c>
      <c r="I46" s="32">
        <v>2012.08</v>
      </c>
      <c r="J46" s="31" t="s">
        <v>780</v>
      </c>
      <c r="K46" s="31" t="s">
        <v>42</v>
      </c>
      <c r="L46" s="31" t="s">
        <v>667</v>
      </c>
      <c r="M46" s="29" t="s">
        <v>674</v>
      </c>
      <c r="N46" s="94">
        <v>45583</v>
      </c>
      <c r="O46" s="94">
        <v>45947</v>
      </c>
      <c r="P46" s="29">
        <v>60</v>
      </c>
      <c r="Q46" s="85"/>
      <c r="R46" s="85"/>
    </row>
    <row r="47" s="30" customFormat="1" spans="1:18">
      <c r="A47" s="268">
        <v>56</v>
      </c>
      <c r="B47" s="268" t="s">
        <v>14</v>
      </c>
      <c r="C47" s="268" t="s">
        <v>37</v>
      </c>
      <c r="D47" s="82" t="s">
        <v>262</v>
      </c>
      <c r="E47" s="248" t="s">
        <v>700</v>
      </c>
      <c r="F47" s="261" t="s">
        <v>42</v>
      </c>
      <c r="G47" s="31" t="s">
        <v>701</v>
      </c>
      <c r="H47" s="119" t="s">
        <v>790</v>
      </c>
      <c r="I47" s="31" t="s">
        <v>42</v>
      </c>
      <c r="J47" s="31" t="s">
        <v>42</v>
      </c>
      <c r="K47" s="31" t="s">
        <v>42</v>
      </c>
      <c r="L47" s="248" t="s">
        <v>673</v>
      </c>
      <c r="M47" s="248" t="s">
        <v>674</v>
      </c>
      <c r="N47" s="94">
        <v>45583</v>
      </c>
      <c r="O47" s="94">
        <v>45947</v>
      </c>
      <c r="P47" s="29">
        <v>50</v>
      </c>
      <c r="Q47" s="296"/>
      <c r="R47" s="296"/>
    </row>
    <row r="48" s="30" customFormat="1" spans="1:18">
      <c r="A48" s="268">
        <v>57</v>
      </c>
      <c r="B48" s="268" t="s">
        <v>15</v>
      </c>
      <c r="C48" s="268" t="s">
        <v>37</v>
      </c>
      <c r="D48" s="82" t="s">
        <v>675</v>
      </c>
      <c r="E48" s="248" t="s">
        <v>791</v>
      </c>
      <c r="F48" s="85"/>
      <c r="G48" s="85"/>
      <c r="H48" s="277" t="s">
        <v>792</v>
      </c>
      <c r="I48" s="85"/>
      <c r="J48" s="85"/>
      <c r="K48" s="85"/>
      <c r="L48" s="248" t="s">
        <v>673</v>
      </c>
      <c r="M48" s="29" t="s">
        <v>44</v>
      </c>
      <c r="N48" s="94">
        <v>45583</v>
      </c>
      <c r="O48" s="94">
        <v>45947</v>
      </c>
      <c r="P48" s="29">
        <v>50</v>
      </c>
      <c r="Q48" s="249"/>
      <c r="R48" s="251"/>
    </row>
    <row r="49" s="30" customFormat="1" spans="1:18">
      <c r="A49" s="268">
        <v>58</v>
      </c>
      <c r="B49" s="268" t="s">
        <v>15</v>
      </c>
      <c r="C49" s="268" t="s">
        <v>37</v>
      </c>
      <c r="D49" s="82" t="s">
        <v>675</v>
      </c>
      <c r="E49" s="248" t="s">
        <v>791</v>
      </c>
      <c r="F49" s="85"/>
      <c r="G49" s="85"/>
      <c r="H49" s="277" t="s">
        <v>793</v>
      </c>
      <c r="I49" s="85"/>
      <c r="J49" s="85"/>
      <c r="K49" s="85"/>
      <c r="L49" s="248" t="s">
        <v>673</v>
      </c>
      <c r="M49" s="29" t="s">
        <v>44</v>
      </c>
      <c r="N49" s="94">
        <v>45583</v>
      </c>
      <c r="O49" s="94">
        <v>45947</v>
      </c>
      <c r="P49" s="29">
        <v>60</v>
      </c>
      <c r="Q49" s="249"/>
      <c r="R49" s="251"/>
    </row>
    <row r="50" s="30" customFormat="1" spans="1:18">
      <c r="A50" s="268">
        <v>59</v>
      </c>
      <c r="B50" s="268" t="s">
        <v>13</v>
      </c>
      <c r="C50" s="268" t="s">
        <v>37</v>
      </c>
      <c r="D50" s="82" t="s">
        <v>330</v>
      </c>
      <c r="E50" s="248" t="s">
        <v>791</v>
      </c>
      <c r="F50" s="85"/>
      <c r="G50" s="85"/>
      <c r="H50" s="277" t="s">
        <v>794</v>
      </c>
      <c r="I50" s="85"/>
      <c r="J50" s="85"/>
      <c r="K50" s="85"/>
      <c r="L50" s="248" t="s">
        <v>673</v>
      </c>
      <c r="M50" s="29" t="s">
        <v>44</v>
      </c>
      <c r="N50" s="94">
        <v>45583</v>
      </c>
      <c r="O50" s="94">
        <v>45947</v>
      </c>
      <c r="P50" s="29">
        <v>60</v>
      </c>
      <c r="Q50" s="249"/>
      <c r="R50" s="251"/>
    </row>
    <row r="51" s="30" customFormat="1" spans="1:18">
      <c r="A51" s="268">
        <v>60</v>
      </c>
      <c r="B51" s="268" t="s">
        <v>13</v>
      </c>
      <c r="C51" s="268" t="s">
        <v>37</v>
      </c>
      <c r="D51" s="82" t="s">
        <v>330</v>
      </c>
      <c r="E51" s="248" t="s">
        <v>791</v>
      </c>
      <c r="F51" s="85"/>
      <c r="G51" s="85"/>
      <c r="H51" s="277" t="s">
        <v>795</v>
      </c>
      <c r="I51" s="85"/>
      <c r="J51" s="85"/>
      <c r="K51" s="85"/>
      <c r="L51" s="248" t="s">
        <v>673</v>
      </c>
      <c r="M51" s="29" t="s">
        <v>44</v>
      </c>
      <c r="N51" s="94">
        <v>45583</v>
      </c>
      <c r="O51" s="94">
        <v>45947</v>
      </c>
      <c r="P51" s="29">
        <v>60</v>
      </c>
      <c r="Q51" s="249"/>
      <c r="R51" s="251"/>
    </row>
    <row r="52" s="30" customFormat="1" spans="1:18">
      <c r="A52" s="268">
        <v>61</v>
      </c>
      <c r="B52" s="268" t="s">
        <v>13</v>
      </c>
      <c r="C52" s="268" t="s">
        <v>37</v>
      </c>
      <c r="D52" s="82" t="s">
        <v>330</v>
      </c>
      <c r="E52" s="248" t="s">
        <v>791</v>
      </c>
      <c r="F52" s="85"/>
      <c r="G52" s="85"/>
      <c r="H52" s="277" t="s">
        <v>796</v>
      </c>
      <c r="I52" s="85"/>
      <c r="J52" s="85"/>
      <c r="K52" s="85"/>
      <c r="L52" s="248" t="s">
        <v>673</v>
      </c>
      <c r="M52" s="29" t="s">
        <v>44</v>
      </c>
      <c r="N52" s="94">
        <v>45583</v>
      </c>
      <c r="O52" s="94">
        <v>45947</v>
      </c>
      <c r="P52" s="29">
        <v>60</v>
      </c>
      <c r="Q52" s="249"/>
      <c r="R52" s="251"/>
    </row>
    <row r="53" s="30" customFormat="1" spans="1:18">
      <c r="A53" s="268">
        <v>62</v>
      </c>
      <c r="B53" s="268" t="s">
        <v>14</v>
      </c>
      <c r="C53" s="268" t="s">
        <v>37</v>
      </c>
      <c r="D53" s="82" t="s">
        <v>262</v>
      </c>
      <c r="E53" s="248" t="s">
        <v>791</v>
      </c>
      <c r="F53" s="85"/>
      <c r="G53" s="85"/>
      <c r="H53" s="277" t="s">
        <v>797</v>
      </c>
      <c r="I53" s="85"/>
      <c r="J53" s="85"/>
      <c r="K53" s="85"/>
      <c r="L53" s="248" t="s">
        <v>673</v>
      </c>
      <c r="M53" s="29" t="s">
        <v>44</v>
      </c>
      <c r="N53" s="94">
        <v>45583</v>
      </c>
      <c r="O53" s="94">
        <v>45947</v>
      </c>
      <c r="P53" s="29">
        <v>60</v>
      </c>
      <c r="Q53" s="249"/>
      <c r="R53" s="251"/>
    </row>
    <row r="54" s="30" customFormat="1" ht="24" spans="1:18">
      <c r="A54" s="268">
        <v>63</v>
      </c>
      <c r="B54" s="268" t="s">
        <v>14</v>
      </c>
      <c r="C54" s="268" t="s">
        <v>54</v>
      </c>
      <c r="D54" s="82" t="s">
        <v>262</v>
      </c>
      <c r="E54" s="29" t="s">
        <v>139</v>
      </c>
      <c r="F54" s="31" t="s">
        <v>42</v>
      </c>
      <c r="G54" s="31" t="s">
        <v>798</v>
      </c>
      <c r="H54" s="32" t="s">
        <v>799</v>
      </c>
      <c r="I54" s="31" t="s">
        <v>42</v>
      </c>
      <c r="J54" s="31" t="s">
        <v>42</v>
      </c>
      <c r="K54" s="31" t="s">
        <v>42</v>
      </c>
      <c r="L54" s="248" t="s">
        <v>94</v>
      </c>
      <c r="M54" s="248" t="s">
        <v>674</v>
      </c>
      <c r="N54" s="94">
        <v>45797</v>
      </c>
      <c r="O54" s="94">
        <v>45980</v>
      </c>
      <c r="P54" s="29">
        <v>100</v>
      </c>
      <c r="Q54" s="85"/>
      <c r="R54" s="251"/>
    </row>
    <row r="55" s="30" customFormat="1" ht="24" spans="1:18">
      <c r="A55" s="268">
        <v>64</v>
      </c>
      <c r="B55" s="268" t="s">
        <v>14</v>
      </c>
      <c r="C55" s="268" t="s">
        <v>54</v>
      </c>
      <c r="D55" s="82" t="s">
        <v>262</v>
      </c>
      <c r="E55" s="29" t="s">
        <v>139</v>
      </c>
      <c r="F55" s="31" t="s">
        <v>42</v>
      </c>
      <c r="G55" s="31" t="s">
        <v>798</v>
      </c>
      <c r="H55" s="32" t="s">
        <v>800</v>
      </c>
      <c r="I55" s="31" t="s">
        <v>42</v>
      </c>
      <c r="J55" s="31" t="s">
        <v>42</v>
      </c>
      <c r="K55" s="31" t="s">
        <v>42</v>
      </c>
      <c r="L55" s="248" t="s">
        <v>94</v>
      </c>
      <c r="M55" s="29" t="s">
        <v>674</v>
      </c>
      <c r="N55" s="94">
        <v>45797</v>
      </c>
      <c r="O55" s="94">
        <v>45980</v>
      </c>
      <c r="P55" s="29">
        <v>100</v>
      </c>
      <c r="Q55" s="85"/>
      <c r="R55" s="251"/>
    </row>
    <row r="56" s="30" customFormat="1" ht="24" spans="1:18">
      <c r="A56" s="268">
        <v>65</v>
      </c>
      <c r="B56" s="268" t="s">
        <v>13</v>
      </c>
      <c r="C56" s="268" t="s">
        <v>54</v>
      </c>
      <c r="D56" s="82" t="s">
        <v>330</v>
      </c>
      <c r="E56" s="29" t="s">
        <v>801</v>
      </c>
      <c r="F56" s="31" t="s">
        <v>42</v>
      </c>
      <c r="G56" s="31" t="s">
        <v>802</v>
      </c>
      <c r="H56" s="119" t="s">
        <v>803</v>
      </c>
      <c r="I56" s="119"/>
      <c r="J56" s="31"/>
      <c r="K56" s="31"/>
      <c r="L56" s="248" t="s">
        <v>673</v>
      </c>
      <c r="M56" s="29" t="s">
        <v>674</v>
      </c>
      <c r="N56" s="94">
        <v>45623</v>
      </c>
      <c r="O56" s="94">
        <v>45987</v>
      </c>
      <c r="P56" s="29">
        <v>200</v>
      </c>
      <c r="Q56" s="294"/>
      <c r="R56" s="251"/>
    </row>
    <row r="57" s="30" customFormat="1" ht="16" customHeight="1" spans="1:18">
      <c r="A57" s="268">
        <v>66</v>
      </c>
      <c r="B57" s="268" t="s">
        <v>14</v>
      </c>
      <c r="C57" s="268" t="s">
        <v>37</v>
      </c>
      <c r="D57" s="82" t="s">
        <v>262</v>
      </c>
      <c r="E57" s="29" t="s">
        <v>678</v>
      </c>
      <c r="F57" s="31" t="s">
        <v>804</v>
      </c>
      <c r="G57" s="31" t="s">
        <v>681</v>
      </c>
      <c r="H57" s="119" t="s">
        <v>805</v>
      </c>
      <c r="I57" s="32">
        <v>2012.01</v>
      </c>
      <c r="J57" s="119" t="s">
        <v>682</v>
      </c>
      <c r="K57" s="31" t="s">
        <v>683</v>
      </c>
      <c r="L57" s="248" t="s">
        <v>673</v>
      </c>
      <c r="M57" s="29" t="s">
        <v>674</v>
      </c>
      <c r="N57" s="94">
        <v>45928</v>
      </c>
      <c r="O57" s="94">
        <v>46292</v>
      </c>
      <c r="P57" s="29">
        <v>300</v>
      </c>
      <c r="Q57" s="85" t="s">
        <v>806</v>
      </c>
      <c r="R57" s="251"/>
    </row>
    <row r="58" s="30" customFormat="1" ht="22" customHeight="1" spans="1:18">
      <c r="A58" s="268">
        <v>67</v>
      </c>
      <c r="B58" s="268" t="s">
        <v>14</v>
      </c>
      <c r="C58" s="268" t="s">
        <v>54</v>
      </c>
      <c r="D58" s="82" t="s">
        <v>262</v>
      </c>
      <c r="E58" s="29" t="s">
        <v>807</v>
      </c>
      <c r="F58" s="31" t="s">
        <v>808</v>
      </c>
      <c r="G58" s="31" t="s">
        <v>809</v>
      </c>
      <c r="H58" s="119" t="s">
        <v>810</v>
      </c>
      <c r="I58" s="32">
        <v>2013.7</v>
      </c>
      <c r="J58" s="29" t="s">
        <v>811</v>
      </c>
      <c r="K58" s="31" t="s">
        <v>42</v>
      </c>
      <c r="L58" s="248" t="s">
        <v>673</v>
      </c>
      <c r="M58" s="29" t="s">
        <v>674</v>
      </c>
      <c r="N58" s="94">
        <v>45632</v>
      </c>
      <c r="O58" s="94">
        <v>45996</v>
      </c>
      <c r="P58" s="29">
        <v>600</v>
      </c>
      <c r="Q58" s="85"/>
      <c r="R58" s="251"/>
    </row>
    <row r="59" s="30" customFormat="1" ht="22" customHeight="1" spans="1:18">
      <c r="A59" s="268">
        <v>68</v>
      </c>
      <c r="B59" s="268" t="s">
        <v>14</v>
      </c>
      <c r="C59" s="27" t="s">
        <v>37</v>
      </c>
      <c r="D59" s="82" t="s">
        <v>262</v>
      </c>
      <c r="E59" s="29" t="s">
        <v>812</v>
      </c>
      <c r="F59" s="31" t="s">
        <v>813</v>
      </c>
      <c r="G59" s="31" t="s">
        <v>814</v>
      </c>
      <c r="H59" s="119" t="s">
        <v>815</v>
      </c>
      <c r="I59" s="32">
        <v>2014.8</v>
      </c>
      <c r="J59" s="31" t="s">
        <v>816</v>
      </c>
      <c r="K59" s="31" t="s">
        <v>817</v>
      </c>
      <c r="L59" s="248" t="s">
        <v>673</v>
      </c>
      <c r="M59" s="29" t="s">
        <v>674</v>
      </c>
      <c r="N59" s="94">
        <v>45632</v>
      </c>
      <c r="O59" s="94">
        <v>45996</v>
      </c>
      <c r="P59" s="29">
        <v>1000</v>
      </c>
      <c r="Q59" s="294"/>
      <c r="R59" s="297"/>
    </row>
    <row r="60" s="30" customFormat="1" ht="22" customHeight="1" spans="1:18">
      <c r="A60" s="268">
        <v>69</v>
      </c>
      <c r="B60" s="268" t="s">
        <v>13</v>
      </c>
      <c r="C60" s="268" t="s">
        <v>37</v>
      </c>
      <c r="D60" s="82" t="s">
        <v>330</v>
      </c>
      <c r="E60" s="161" t="s">
        <v>818</v>
      </c>
      <c r="F60" s="144" t="s">
        <v>819</v>
      </c>
      <c r="G60" s="144" t="s">
        <v>820</v>
      </c>
      <c r="H60" s="278">
        <v>1231165447</v>
      </c>
      <c r="I60" s="278">
        <v>2010.1</v>
      </c>
      <c r="J60" s="144" t="s">
        <v>821</v>
      </c>
      <c r="K60" s="140" t="s">
        <v>822</v>
      </c>
      <c r="L60" s="248" t="s">
        <v>673</v>
      </c>
      <c r="M60" s="161" t="s">
        <v>674</v>
      </c>
      <c r="N60" s="94">
        <v>45642</v>
      </c>
      <c r="O60" s="94">
        <v>46006</v>
      </c>
      <c r="P60" s="29">
        <v>300</v>
      </c>
      <c r="Q60" s="298"/>
      <c r="R60" s="251"/>
    </row>
    <row r="61" s="30" customFormat="1" spans="1:19">
      <c r="A61" s="268">
        <v>70</v>
      </c>
      <c r="B61" s="268" t="s">
        <v>15</v>
      </c>
      <c r="C61" s="268" t="s">
        <v>54</v>
      </c>
      <c r="D61" s="82" t="s">
        <v>675</v>
      </c>
      <c r="E61" s="29" t="s">
        <v>823</v>
      </c>
      <c r="F61" s="31" t="s">
        <v>824</v>
      </c>
      <c r="G61" s="31" t="s">
        <v>825</v>
      </c>
      <c r="H61" s="32">
        <v>86529872</v>
      </c>
      <c r="I61" s="32">
        <v>2010.1</v>
      </c>
      <c r="J61" s="31" t="s">
        <v>826</v>
      </c>
      <c r="K61" s="51" t="s">
        <v>708</v>
      </c>
      <c r="L61" s="248" t="s">
        <v>673</v>
      </c>
      <c r="M61" s="29" t="s">
        <v>674</v>
      </c>
      <c r="N61" s="94">
        <v>45644</v>
      </c>
      <c r="O61" s="94">
        <v>46008</v>
      </c>
      <c r="P61" s="29">
        <v>80</v>
      </c>
      <c r="Q61" s="299"/>
      <c r="R61" s="251"/>
      <c r="S61" s="27"/>
    </row>
    <row r="62" s="30" customFormat="1" spans="1:19">
      <c r="A62" s="268">
        <v>71</v>
      </c>
      <c r="B62" s="268" t="s">
        <v>6</v>
      </c>
      <c r="C62" s="268" t="s">
        <v>37</v>
      </c>
      <c r="D62" s="82" t="s">
        <v>827</v>
      </c>
      <c r="E62" s="29" t="s">
        <v>665</v>
      </c>
      <c r="F62" s="264"/>
      <c r="G62" s="264"/>
      <c r="H62" s="119" t="s">
        <v>828</v>
      </c>
      <c r="I62" s="264"/>
      <c r="J62" s="264"/>
      <c r="K62" s="264"/>
      <c r="L62" s="248" t="s">
        <v>673</v>
      </c>
      <c r="M62" s="29" t="s">
        <v>44</v>
      </c>
      <c r="N62" s="289">
        <v>45650</v>
      </c>
      <c r="O62" s="289">
        <v>46014</v>
      </c>
      <c r="P62" s="29">
        <v>300</v>
      </c>
      <c r="Q62" s="300" t="s">
        <v>829</v>
      </c>
      <c r="R62" s="291"/>
      <c r="S62" s="27"/>
    </row>
    <row r="63" s="30" customFormat="1" spans="1:19">
      <c r="A63" s="268">
        <v>72</v>
      </c>
      <c r="B63" s="268" t="s">
        <v>14</v>
      </c>
      <c r="C63" s="268" t="s">
        <v>37</v>
      </c>
      <c r="D63" s="82" t="s">
        <v>262</v>
      </c>
      <c r="E63" s="29" t="s">
        <v>665</v>
      </c>
      <c r="F63" s="264"/>
      <c r="G63" s="264"/>
      <c r="H63" s="119" t="s">
        <v>830</v>
      </c>
      <c r="I63" s="264"/>
      <c r="J63" s="264"/>
      <c r="K63" s="264"/>
      <c r="L63" s="248" t="s">
        <v>673</v>
      </c>
      <c r="M63" s="29" t="s">
        <v>44</v>
      </c>
      <c r="N63" s="289">
        <v>45650</v>
      </c>
      <c r="O63" s="289">
        <v>46014</v>
      </c>
      <c r="P63" s="29">
        <v>300</v>
      </c>
      <c r="Q63" s="300" t="s">
        <v>829</v>
      </c>
      <c r="R63" s="291"/>
      <c r="S63" s="27"/>
    </row>
    <row r="64" s="30" customFormat="1" spans="1:19">
      <c r="A64" s="268">
        <v>73</v>
      </c>
      <c r="B64" s="268" t="s">
        <v>15</v>
      </c>
      <c r="C64" s="27" t="s">
        <v>37</v>
      </c>
      <c r="D64" s="82" t="s">
        <v>675</v>
      </c>
      <c r="E64" s="29" t="s">
        <v>705</v>
      </c>
      <c r="F64" s="31" t="s">
        <v>831</v>
      </c>
      <c r="G64" s="31" t="s">
        <v>832</v>
      </c>
      <c r="H64" s="32">
        <v>11002986</v>
      </c>
      <c r="I64" s="32">
        <v>2012.01</v>
      </c>
      <c r="J64" s="31" t="s">
        <v>707</v>
      </c>
      <c r="K64" s="31" t="s">
        <v>708</v>
      </c>
      <c r="L64" s="248" t="s">
        <v>673</v>
      </c>
      <c r="M64" s="29" t="s">
        <v>674</v>
      </c>
      <c r="N64" s="94">
        <v>45651</v>
      </c>
      <c r="O64" s="94">
        <v>46015</v>
      </c>
      <c r="P64" s="29">
        <v>200</v>
      </c>
      <c r="Q64" s="85" t="s">
        <v>833</v>
      </c>
      <c r="R64" s="301"/>
      <c r="S64" s="27"/>
    </row>
    <row r="65" s="30" customFormat="1" spans="1:18">
      <c r="A65" s="268">
        <v>74</v>
      </c>
      <c r="B65" s="268" t="s">
        <v>15</v>
      </c>
      <c r="C65" s="268" t="s">
        <v>37</v>
      </c>
      <c r="D65" s="82" t="s">
        <v>675</v>
      </c>
      <c r="E65" s="29" t="s">
        <v>834</v>
      </c>
      <c r="F65" s="31" t="s">
        <v>835</v>
      </c>
      <c r="G65" s="31" t="s">
        <v>836</v>
      </c>
      <c r="H65" s="119" t="s">
        <v>837</v>
      </c>
      <c r="I65" s="32">
        <v>2014.11</v>
      </c>
      <c r="J65" s="283" t="s">
        <v>42</v>
      </c>
      <c r="K65" s="283" t="s">
        <v>42</v>
      </c>
      <c r="L65" s="31" t="s">
        <v>667</v>
      </c>
      <c r="M65" s="29" t="s">
        <v>674</v>
      </c>
      <c r="N65" s="94">
        <v>45661</v>
      </c>
      <c r="O65" s="94">
        <v>46025</v>
      </c>
      <c r="P65" s="29">
        <v>114</v>
      </c>
      <c r="Q65" s="294"/>
      <c r="R65" s="251"/>
    </row>
    <row r="66" s="30" customFormat="1" ht="24" spans="1:18">
      <c r="A66" s="268">
        <v>75</v>
      </c>
      <c r="B66" s="268" t="s">
        <v>13</v>
      </c>
      <c r="C66" s="268" t="s">
        <v>37</v>
      </c>
      <c r="D66" s="82" t="s">
        <v>330</v>
      </c>
      <c r="E66" s="29" t="s">
        <v>70</v>
      </c>
      <c r="F66" s="31" t="s">
        <v>838</v>
      </c>
      <c r="G66" s="31" t="s">
        <v>839</v>
      </c>
      <c r="H66" s="32">
        <v>1231155673</v>
      </c>
      <c r="I66" s="32">
        <v>2010.1</v>
      </c>
      <c r="J66" s="119" t="s">
        <v>728</v>
      </c>
      <c r="K66" s="51" t="s">
        <v>74</v>
      </c>
      <c r="L66" s="31" t="s">
        <v>667</v>
      </c>
      <c r="M66" s="29" t="s">
        <v>674</v>
      </c>
      <c r="N66" s="94">
        <v>45666</v>
      </c>
      <c r="O66" s="94">
        <v>46030</v>
      </c>
      <c r="P66" s="29">
        <v>240</v>
      </c>
      <c r="Q66" s="85" t="s">
        <v>840</v>
      </c>
      <c r="R66" s="251"/>
    </row>
    <row r="67" s="30" customFormat="1" spans="1:18">
      <c r="A67" s="268">
        <v>76</v>
      </c>
      <c r="B67" s="268" t="s">
        <v>13</v>
      </c>
      <c r="C67" s="268" t="s">
        <v>54</v>
      </c>
      <c r="D67" s="82" t="s">
        <v>330</v>
      </c>
      <c r="E67" s="29" t="s">
        <v>732</v>
      </c>
      <c r="F67" s="31" t="s">
        <v>841</v>
      </c>
      <c r="G67" s="31" t="s">
        <v>734</v>
      </c>
      <c r="H67" s="119" t="s">
        <v>842</v>
      </c>
      <c r="I67" s="32">
        <v>2012.01</v>
      </c>
      <c r="J67" s="31" t="s">
        <v>42</v>
      </c>
      <c r="K67" s="31" t="s">
        <v>42</v>
      </c>
      <c r="L67" s="31" t="s">
        <v>667</v>
      </c>
      <c r="M67" s="29" t="s">
        <v>674</v>
      </c>
      <c r="N67" s="286">
        <v>45666</v>
      </c>
      <c r="O67" s="286">
        <v>46030</v>
      </c>
      <c r="P67" s="29">
        <v>500</v>
      </c>
      <c r="Q67" s="82"/>
      <c r="R67" s="133"/>
    </row>
    <row r="68" s="30" customFormat="1" spans="1:18">
      <c r="A68" s="268">
        <v>77</v>
      </c>
      <c r="B68" s="268" t="s">
        <v>14</v>
      </c>
      <c r="C68" s="268" t="s">
        <v>37</v>
      </c>
      <c r="D68" s="82" t="s">
        <v>262</v>
      </c>
      <c r="E68" s="29" t="s">
        <v>742</v>
      </c>
      <c r="F68" s="31" t="s">
        <v>843</v>
      </c>
      <c r="G68" s="31" t="s">
        <v>744</v>
      </c>
      <c r="H68" s="32">
        <v>10120426</v>
      </c>
      <c r="I68" s="32">
        <v>2012.01</v>
      </c>
      <c r="J68" s="119" t="s">
        <v>745</v>
      </c>
      <c r="K68" s="31" t="s">
        <v>42</v>
      </c>
      <c r="L68" s="31" t="s">
        <v>667</v>
      </c>
      <c r="M68" s="29" t="s">
        <v>674</v>
      </c>
      <c r="N68" s="286">
        <v>45666</v>
      </c>
      <c r="O68" s="286">
        <v>46030</v>
      </c>
      <c r="P68" s="29">
        <v>300</v>
      </c>
      <c r="Q68" s="85"/>
      <c r="R68" s="251"/>
    </row>
    <row r="69" s="30" customFormat="1" spans="1:18">
      <c r="A69" s="268">
        <v>78</v>
      </c>
      <c r="B69" s="268" t="s">
        <v>14</v>
      </c>
      <c r="C69" s="268" t="s">
        <v>54</v>
      </c>
      <c r="D69" s="82" t="s">
        <v>262</v>
      </c>
      <c r="E69" s="29" t="s">
        <v>139</v>
      </c>
      <c r="F69" s="31" t="s">
        <v>42</v>
      </c>
      <c r="G69" s="31"/>
      <c r="H69" s="32">
        <v>1101</v>
      </c>
      <c r="I69" s="32"/>
      <c r="J69" s="31" t="s">
        <v>844</v>
      </c>
      <c r="K69" s="31"/>
      <c r="L69" s="248" t="s">
        <v>673</v>
      </c>
      <c r="M69" s="29" t="s">
        <v>44</v>
      </c>
      <c r="N69" s="94">
        <v>45854</v>
      </c>
      <c r="O69" s="94">
        <v>46037</v>
      </c>
      <c r="P69" s="287">
        <v>100</v>
      </c>
      <c r="Q69" s="85"/>
      <c r="R69" s="297"/>
    </row>
    <row r="70" s="30" customFormat="1" spans="1:18">
      <c r="A70" s="268">
        <v>79</v>
      </c>
      <c r="B70" s="268" t="s">
        <v>14</v>
      </c>
      <c r="C70" s="268" t="s">
        <v>54</v>
      </c>
      <c r="D70" s="82" t="s">
        <v>262</v>
      </c>
      <c r="E70" s="29" t="s">
        <v>139</v>
      </c>
      <c r="F70" s="31"/>
      <c r="G70" s="31"/>
      <c r="H70" s="377" t="s">
        <v>845</v>
      </c>
      <c r="I70" s="32"/>
      <c r="J70" s="31" t="s">
        <v>846</v>
      </c>
      <c r="K70" s="31"/>
      <c r="L70" s="248"/>
      <c r="M70" s="29"/>
      <c r="N70" s="94">
        <v>45854</v>
      </c>
      <c r="O70" s="94">
        <v>46037</v>
      </c>
      <c r="P70" s="287">
        <v>100</v>
      </c>
      <c r="Q70" s="85"/>
      <c r="R70" s="297"/>
    </row>
    <row r="71" s="30" customFormat="1" spans="1:18">
      <c r="A71" s="268">
        <v>80</v>
      </c>
      <c r="B71" s="268" t="s">
        <v>14</v>
      </c>
      <c r="C71" s="268" t="s">
        <v>54</v>
      </c>
      <c r="D71" s="82" t="s">
        <v>262</v>
      </c>
      <c r="E71" s="29" t="s">
        <v>139</v>
      </c>
      <c r="F71" s="31" t="s">
        <v>42</v>
      </c>
      <c r="G71" s="31"/>
      <c r="H71" s="32">
        <v>1013</v>
      </c>
      <c r="I71" s="32"/>
      <c r="J71" s="31" t="s">
        <v>847</v>
      </c>
      <c r="K71" s="31"/>
      <c r="L71" s="248" t="s">
        <v>673</v>
      </c>
      <c r="M71" s="29" t="s">
        <v>44</v>
      </c>
      <c r="N71" s="94">
        <v>45854</v>
      </c>
      <c r="O71" s="94">
        <v>46037</v>
      </c>
      <c r="P71" s="287">
        <v>100</v>
      </c>
      <c r="Q71" s="85"/>
      <c r="R71" s="297"/>
    </row>
    <row r="72" s="30" customFormat="1" spans="1:18">
      <c r="A72" s="268">
        <v>81</v>
      </c>
      <c r="B72" s="268" t="s">
        <v>14</v>
      </c>
      <c r="C72" s="268" t="s">
        <v>54</v>
      </c>
      <c r="D72" s="82" t="s">
        <v>262</v>
      </c>
      <c r="E72" s="29" t="s">
        <v>139</v>
      </c>
      <c r="F72" s="31" t="s">
        <v>42</v>
      </c>
      <c r="G72" s="31" t="s">
        <v>163</v>
      </c>
      <c r="H72" s="119" t="s">
        <v>848</v>
      </c>
      <c r="I72" s="32" t="s">
        <v>42</v>
      </c>
      <c r="J72" s="31" t="s">
        <v>849</v>
      </c>
      <c r="K72" s="31" t="s">
        <v>850</v>
      </c>
      <c r="L72" s="248" t="s">
        <v>673</v>
      </c>
      <c r="M72" s="29" t="s">
        <v>44</v>
      </c>
      <c r="N72" s="94">
        <v>45854</v>
      </c>
      <c r="O72" s="94">
        <v>46037</v>
      </c>
      <c r="P72" s="287">
        <v>100</v>
      </c>
      <c r="Q72" s="85"/>
      <c r="R72" s="297"/>
    </row>
    <row r="73" s="30" customFormat="1" spans="1:18">
      <c r="A73" s="268">
        <v>82</v>
      </c>
      <c r="B73" s="268" t="s">
        <v>13</v>
      </c>
      <c r="C73" s="268"/>
      <c r="D73" s="82" t="s">
        <v>330</v>
      </c>
      <c r="E73" s="248" t="s">
        <v>851</v>
      </c>
      <c r="F73" s="31"/>
      <c r="G73" s="31" t="s">
        <v>852</v>
      </c>
      <c r="H73" s="119"/>
      <c r="I73" s="119"/>
      <c r="J73" s="31"/>
      <c r="K73" s="31"/>
      <c r="L73" s="31" t="s">
        <v>667</v>
      </c>
      <c r="M73" s="261" t="s">
        <v>674</v>
      </c>
      <c r="N73" s="94">
        <v>45707</v>
      </c>
      <c r="O73" s="94">
        <v>46040</v>
      </c>
      <c r="P73" s="29">
        <v>336</v>
      </c>
      <c r="Q73" s="85"/>
      <c r="R73" s="251"/>
    </row>
    <row r="74" s="30" customFormat="1" spans="1:18">
      <c r="A74" s="268">
        <v>83</v>
      </c>
      <c r="B74" s="268" t="s">
        <v>13</v>
      </c>
      <c r="C74" s="268" t="s">
        <v>37</v>
      </c>
      <c r="D74" s="82" t="s">
        <v>330</v>
      </c>
      <c r="E74" s="29" t="s">
        <v>853</v>
      </c>
      <c r="F74" s="31"/>
      <c r="G74" s="31" t="s">
        <v>854</v>
      </c>
      <c r="H74" s="119" t="s">
        <v>855</v>
      </c>
      <c r="I74" s="119"/>
      <c r="J74" s="31"/>
      <c r="K74" s="31"/>
      <c r="L74" s="31" t="s">
        <v>667</v>
      </c>
      <c r="M74" s="248" t="s">
        <v>674</v>
      </c>
      <c r="N74" s="94">
        <v>45707</v>
      </c>
      <c r="O74" s="94">
        <v>46040</v>
      </c>
      <c r="P74" s="29">
        <v>240</v>
      </c>
      <c r="Q74" s="85"/>
      <c r="R74" s="251"/>
    </row>
    <row r="75" s="30" customFormat="1" spans="1:18">
      <c r="A75" s="268">
        <v>84</v>
      </c>
      <c r="B75" s="268" t="s">
        <v>13</v>
      </c>
      <c r="C75" s="268" t="s">
        <v>37</v>
      </c>
      <c r="D75" s="82" t="s">
        <v>330</v>
      </c>
      <c r="E75" s="29" t="s">
        <v>665</v>
      </c>
      <c r="F75" s="264"/>
      <c r="G75" s="264"/>
      <c r="H75" s="119" t="s">
        <v>856</v>
      </c>
      <c r="I75" s="264"/>
      <c r="J75" s="264"/>
      <c r="K75" s="264"/>
      <c r="L75" s="31" t="s">
        <v>667</v>
      </c>
      <c r="M75" s="29" t="s">
        <v>44</v>
      </c>
      <c r="N75" s="289">
        <v>45680</v>
      </c>
      <c r="O75" s="289">
        <v>46044</v>
      </c>
      <c r="P75" s="29">
        <v>300</v>
      </c>
      <c r="Q75" s="300" t="s">
        <v>829</v>
      </c>
      <c r="R75" s="291"/>
    </row>
    <row r="76" s="30" customFormat="1" spans="1:18">
      <c r="A76" s="268">
        <v>85</v>
      </c>
      <c r="B76" s="268" t="s">
        <v>14</v>
      </c>
      <c r="C76" s="268" t="s">
        <v>37</v>
      </c>
      <c r="D76" s="82" t="s">
        <v>262</v>
      </c>
      <c r="E76" s="161" t="s">
        <v>818</v>
      </c>
      <c r="F76" s="144" t="s">
        <v>857</v>
      </c>
      <c r="G76" s="144" t="s">
        <v>820</v>
      </c>
      <c r="H76" s="278">
        <v>1232375048</v>
      </c>
      <c r="I76" s="278">
        <v>2010.1</v>
      </c>
      <c r="J76" s="144" t="s">
        <v>821</v>
      </c>
      <c r="K76" s="140" t="s">
        <v>822</v>
      </c>
      <c r="L76" s="31" t="s">
        <v>667</v>
      </c>
      <c r="M76" s="161" t="s">
        <v>674</v>
      </c>
      <c r="N76" s="94">
        <v>45695</v>
      </c>
      <c r="O76" s="94">
        <v>46059</v>
      </c>
      <c r="P76" s="29">
        <v>300</v>
      </c>
      <c r="Q76" s="85"/>
      <c r="R76" s="142"/>
    </row>
    <row r="77" s="30" customFormat="1" ht="24" spans="1:18">
      <c r="A77" s="268">
        <v>86</v>
      </c>
      <c r="B77" s="268" t="s">
        <v>15</v>
      </c>
      <c r="C77" s="268" t="s">
        <v>37</v>
      </c>
      <c r="D77" s="82" t="s">
        <v>675</v>
      </c>
      <c r="E77" s="29" t="s">
        <v>858</v>
      </c>
      <c r="F77" s="82"/>
      <c r="G77" s="31" t="s">
        <v>859</v>
      </c>
      <c r="H77" s="119" t="s">
        <v>860</v>
      </c>
      <c r="I77" s="31"/>
      <c r="J77" s="31" t="s">
        <v>42</v>
      </c>
      <c r="K77" s="31" t="s">
        <v>42</v>
      </c>
      <c r="L77" s="31" t="s">
        <v>667</v>
      </c>
      <c r="M77" s="29" t="s">
        <v>674</v>
      </c>
      <c r="N77" s="286">
        <v>45705</v>
      </c>
      <c r="O77" s="286">
        <v>46069</v>
      </c>
      <c r="P77" s="82">
        <v>600</v>
      </c>
      <c r="Q77" s="320"/>
      <c r="R77" s="321"/>
    </row>
    <row r="78" s="30" customFormat="1" spans="1:19">
      <c r="A78" s="268">
        <v>87</v>
      </c>
      <c r="B78" s="268" t="s">
        <v>14</v>
      </c>
      <c r="C78" s="268" t="s">
        <v>37</v>
      </c>
      <c r="D78" s="82" t="s">
        <v>262</v>
      </c>
      <c r="E78" s="29" t="s">
        <v>861</v>
      </c>
      <c r="F78" s="31"/>
      <c r="G78" s="31" t="s">
        <v>862</v>
      </c>
      <c r="H78" s="119" t="s">
        <v>863</v>
      </c>
      <c r="I78" s="32">
        <v>2020.5</v>
      </c>
      <c r="J78" s="31"/>
      <c r="K78" s="31"/>
      <c r="L78" s="31" t="s">
        <v>667</v>
      </c>
      <c r="M78" s="29" t="s">
        <v>674</v>
      </c>
      <c r="N78" s="94">
        <v>45707</v>
      </c>
      <c r="O78" s="94">
        <v>46071</v>
      </c>
      <c r="P78" s="29">
        <v>500</v>
      </c>
      <c r="Q78" s="251"/>
      <c r="R78" s="251"/>
      <c r="S78" s="267"/>
    </row>
    <row r="79" s="30" customFormat="1" spans="1:19">
      <c r="A79" s="268">
        <v>88</v>
      </c>
      <c r="B79" s="268" t="s">
        <v>13</v>
      </c>
      <c r="C79" s="268" t="s">
        <v>37</v>
      </c>
      <c r="D79" s="82" t="s">
        <v>330</v>
      </c>
      <c r="E79" s="29" t="s">
        <v>834</v>
      </c>
      <c r="F79" s="31" t="s">
        <v>42</v>
      </c>
      <c r="G79" s="31" t="s">
        <v>864</v>
      </c>
      <c r="H79" s="119" t="s">
        <v>865</v>
      </c>
      <c r="I79" s="32">
        <v>2018.12</v>
      </c>
      <c r="J79" s="31" t="s">
        <v>42</v>
      </c>
      <c r="K79" s="31" t="s">
        <v>42</v>
      </c>
      <c r="L79" s="31" t="s">
        <v>667</v>
      </c>
      <c r="M79" s="29" t="s">
        <v>674</v>
      </c>
      <c r="N79" s="94">
        <v>45707</v>
      </c>
      <c r="O79" s="94">
        <v>46071</v>
      </c>
      <c r="P79" s="29">
        <v>114</v>
      </c>
      <c r="Q79" s="294"/>
      <c r="R79" s="322"/>
      <c r="S79" s="267"/>
    </row>
    <row r="80" s="30" customFormat="1" spans="1:2575">
      <c r="A80" s="268">
        <v>89</v>
      </c>
      <c r="B80" s="268" t="s">
        <v>13</v>
      </c>
      <c r="C80" s="268" t="s">
        <v>37</v>
      </c>
      <c r="D80" s="82" t="s">
        <v>330</v>
      </c>
      <c r="E80" s="29" t="s">
        <v>720</v>
      </c>
      <c r="F80" s="31"/>
      <c r="G80" s="31" t="s">
        <v>866</v>
      </c>
      <c r="H80" s="32">
        <v>56150177</v>
      </c>
      <c r="I80" s="32"/>
      <c r="J80" s="31"/>
      <c r="K80" s="31"/>
      <c r="L80" s="31" t="s">
        <v>667</v>
      </c>
      <c r="M80" s="29" t="s">
        <v>674</v>
      </c>
      <c r="N80" s="94">
        <v>45713</v>
      </c>
      <c r="O80" s="94">
        <v>46077</v>
      </c>
      <c r="P80" s="29">
        <v>400</v>
      </c>
      <c r="Q80" s="85"/>
      <c r="R80" s="322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  <c r="AV80" s="266"/>
      <c r="AW80" s="266"/>
      <c r="AX80" s="266"/>
      <c r="AY80" s="266"/>
      <c r="AZ80" s="266"/>
      <c r="BA80" s="266"/>
      <c r="BB80" s="266"/>
      <c r="BC80" s="266"/>
      <c r="BD80" s="266"/>
      <c r="BE80" s="266"/>
      <c r="BF80" s="266"/>
      <c r="BG80" s="266"/>
      <c r="BH80" s="266"/>
      <c r="BI80" s="266"/>
      <c r="BJ80" s="266"/>
      <c r="BK80" s="266"/>
      <c r="BL80" s="266"/>
      <c r="BM80" s="266"/>
      <c r="BN80" s="266"/>
      <c r="BO80" s="266"/>
      <c r="BP80" s="266"/>
      <c r="BQ80" s="266"/>
      <c r="BR80" s="266"/>
      <c r="BS80" s="266"/>
      <c r="BT80" s="266"/>
      <c r="BU80" s="266"/>
      <c r="BV80" s="266"/>
      <c r="BW80" s="266"/>
      <c r="BX80" s="266"/>
      <c r="BY80" s="266"/>
      <c r="BZ80" s="266"/>
      <c r="CA80" s="266"/>
      <c r="CB80" s="266"/>
      <c r="CC80" s="266"/>
      <c r="CD80" s="266"/>
      <c r="CE80" s="266"/>
      <c r="CF80" s="266"/>
      <c r="CG80" s="266"/>
      <c r="CH80" s="266"/>
      <c r="CI80" s="266"/>
      <c r="CJ80" s="266"/>
      <c r="CK80" s="266"/>
      <c r="CL80" s="266"/>
      <c r="CM80" s="266"/>
      <c r="CN80" s="266"/>
      <c r="CO80" s="266"/>
      <c r="CP80" s="266"/>
      <c r="CQ80" s="266"/>
      <c r="CR80" s="266"/>
      <c r="CS80" s="266"/>
      <c r="CT80" s="266"/>
      <c r="CU80" s="266"/>
      <c r="CV80" s="266"/>
      <c r="CW80" s="266"/>
      <c r="CX80" s="266"/>
      <c r="CY80" s="266"/>
      <c r="CZ80" s="266"/>
      <c r="DA80" s="266"/>
      <c r="DB80" s="266"/>
      <c r="DC80" s="266"/>
      <c r="DD80" s="266"/>
      <c r="DE80" s="266"/>
      <c r="DF80" s="266"/>
      <c r="DG80" s="266"/>
      <c r="DH80" s="266"/>
      <c r="DI80" s="266"/>
      <c r="DJ80" s="266"/>
      <c r="DK80" s="266"/>
      <c r="DL80" s="266"/>
      <c r="DM80" s="266"/>
      <c r="DN80" s="266"/>
      <c r="DO80" s="266"/>
      <c r="DP80" s="266"/>
      <c r="DQ80" s="266"/>
      <c r="DR80" s="266"/>
      <c r="DS80" s="266"/>
      <c r="DT80" s="266"/>
      <c r="DU80" s="266"/>
      <c r="DV80" s="266"/>
      <c r="DW80" s="266"/>
      <c r="DX80" s="266"/>
      <c r="DY80" s="266"/>
      <c r="DZ80" s="266"/>
      <c r="EA80" s="266"/>
      <c r="EB80" s="266"/>
      <c r="EC80" s="266"/>
      <c r="ED80" s="266"/>
      <c r="EE80" s="266"/>
      <c r="EF80" s="266"/>
      <c r="EG80" s="266"/>
      <c r="EH80" s="266"/>
      <c r="EI80" s="266"/>
      <c r="EJ80" s="266"/>
      <c r="EK80" s="266"/>
      <c r="EL80" s="266"/>
      <c r="EM80" s="266"/>
      <c r="EN80" s="266"/>
      <c r="EO80" s="266"/>
      <c r="EP80" s="266"/>
      <c r="EQ80" s="266"/>
      <c r="ER80" s="266"/>
      <c r="ES80" s="266"/>
      <c r="ET80" s="266"/>
      <c r="EU80" s="266"/>
      <c r="EV80" s="266"/>
      <c r="EW80" s="266"/>
      <c r="EX80" s="266"/>
      <c r="EY80" s="266"/>
      <c r="EZ80" s="266"/>
      <c r="FA80" s="266"/>
      <c r="FB80" s="266"/>
      <c r="FC80" s="266"/>
      <c r="FD80" s="266"/>
      <c r="FE80" s="266"/>
      <c r="FF80" s="266"/>
      <c r="FG80" s="266"/>
      <c r="FH80" s="266"/>
      <c r="FI80" s="266"/>
      <c r="FJ80" s="266"/>
      <c r="FK80" s="266"/>
      <c r="FL80" s="266"/>
      <c r="FM80" s="266"/>
      <c r="FN80" s="266"/>
      <c r="FO80" s="266"/>
      <c r="FP80" s="266"/>
      <c r="FQ80" s="266"/>
      <c r="FR80" s="266"/>
      <c r="FS80" s="266"/>
      <c r="FT80" s="266"/>
      <c r="FU80" s="266"/>
      <c r="FV80" s="266"/>
      <c r="FW80" s="266"/>
      <c r="FX80" s="266"/>
      <c r="FY80" s="266"/>
      <c r="FZ80" s="266"/>
      <c r="GA80" s="266"/>
      <c r="GB80" s="266"/>
      <c r="GC80" s="266"/>
      <c r="GD80" s="266"/>
      <c r="GE80" s="266"/>
      <c r="GF80" s="266"/>
      <c r="GG80" s="266"/>
      <c r="GH80" s="266"/>
      <c r="GI80" s="266"/>
      <c r="GJ80" s="266"/>
      <c r="GK80" s="266"/>
      <c r="GL80" s="266"/>
      <c r="GM80" s="266"/>
      <c r="GN80" s="266"/>
      <c r="GO80" s="266"/>
      <c r="GP80" s="266"/>
      <c r="GQ80" s="266"/>
      <c r="GR80" s="266"/>
      <c r="GS80" s="266"/>
      <c r="GT80" s="266"/>
      <c r="GU80" s="266"/>
      <c r="GV80" s="266"/>
      <c r="GW80" s="266"/>
      <c r="GX80" s="266"/>
      <c r="GY80" s="266"/>
      <c r="GZ80" s="266"/>
      <c r="HA80" s="266"/>
      <c r="HB80" s="266"/>
      <c r="HC80" s="266"/>
      <c r="HD80" s="266"/>
      <c r="HE80" s="266"/>
      <c r="HF80" s="266"/>
      <c r="HG80" s="266"/>
      <c r="HH80" s="266"/>
      <c r="HI80" s="266"/>
      <c r="HJ80" s="266"/>
      <c r="HK80" s="266"/>
      <c r="HL80" s="266"/>
      <c r="HM80" s="266"/>
      <c r="HN80" s="266"/>
      <c r="HO80" s="266"/>
      <c r="HP80" s="266"/>
      <c r="HQ80" s="266"/>
      <c r="HR80" s="266"/>
      <c r="HS80" s="266"/>
      <c r="HT80" s="266"/>
      <c r="HU80" s="266"/>
      <c r="HV80" s="266"/>
      <c r="HW80" s="266"/>
      <c r="HX80" s="266"/>
      <c r="HY80" s="266"/>
      <c r="HZ80" s="266"/>
      <c r="IA80" s="266"/>
      <c r="IB80" s="266"/>
      <c r="IC80" s="266"/>
      <c r="ID80" s="266"/>
      <c r="IE80" s="266"/>
      <c r="IF80" s="266"/>
      <c r="IG80" s="266"/>
      <c r="IH80" s="266"/>
      <c r="II80" s="266"/>
      <c r="IJ80" s="266"/>
      <c r="IK80" s="266"/>
      <c r="IL80" s="266"/>
      <c r="IM80" s="266"/>
      <c r="IN80" s="266"/>
      <c r="IO80" s="266"/>
      <c r="IP80" s="266"/>
      <c r="IQ80" s="266"/>
      <c r="IR80" s="266"/>
      <c r="IS80" s="266"/>
      <c r="IT80" s="266"/>
      <c r="IU80" s="266"/>
      <c r="IV80" s="266"/>
      <c r="IW80" s="266"/>
      <c r="IX80" s="266"/>
      <c r="IY80" s="266"/>
      <c r="IZ80" s="266"/>
      <c r="JA80" s="266"/>
      <c r="JB80" s="266"/>
      <c r="JC80" s="266"/>
      <c r="JD80" s="266"/>
      <c r="JE80" s="266"/>
      <c r="JF80" s="266"/>
      <c r="JG80" s="266"/>
      <c r="JH80" s="266"/>
      <c r="JI80" s="266"/>
      <c r="JJ80" s="266"/>
      <c r="JK80" s="266"/>
      <c r="JL80" s="266"/>
      <c r="JM80" s="266"/>
      <c r="JN80" s="266"/>
      <c r="JO80" s="266"/>
      <c r="JP80" s="266"/>
      <c r="JQ80" s="266"/>
      <c r="JR80" s="266"/>
      <c r="JS80" s="266"/>
      <c r="JT80" s="266"/>
      <c r="JU80" s="266"/>
      <c r="JV80" s="266"/>
      <c r="JW80" s="266"/>
      <c r="JX80" s="266"/>
      <c r="JY80" s="266"/>
      <c r="JZ80" s="266"/>
      <c r="KA80" s="266"/>
      <c r="KB80" s="266"/>
      <c r="KC80" s="266"/>
      <c r="KD80" s="266"/>
      <c r="KE80" s="266"/>
      <c r="KF80" s="266"/>
      <c r="KG80" s="266"/>
      <c r="KH80" s="266"/>
      <c r="KI80" s="266"/>
      <c r="KJ80" s="266"/>
      <c r="KK80" s="266"/>
      <c r="KL80" s="266"/>
      <c r="KM80" s="266"/>
      <c r="KN80" s="266"/>
      <c r="KO80" s="266"/>
      <c r="KP80" s="266"/>
      <c r="KQ80" s="266"/>
      <c r="KR80" s="266"/>
      <c r="KS80" s="266"/>
      <c r="KT80" s="266"/>
      <c r="KU80" s="266"/>
      <c r="KV80" s="266"/>
      <c r="KW80" s="266"/>
      <c r="KX80" s="266"/>
      <c r="KY80" s="266"/>
      <c r="KZ80" s="266"/>
      <c r="LA80" s="266"/>
      <c r="LB80" s="266"/>
      <c r="LC80" s="266"/>
      <c r="LD80" s="266"/>
      <c r="LE80" s="266"/>
      <c r="LF80" s="266"/>
      <c r="LG80" s="266"/>
      <c r="LH80" s="266"/>
      <c r="LI80" s="266"/>
      <c r="LJ80" s="266"/>
      <c r="LK80" s="266"/>
      <c r="LL80" s="266"/>
      <c r="LM80" s="266"/>
      <c r="LN80" s="266"/>
      <c r="LO80" s="266"/>
      <c r="LP80" s="266"/>
      <c r="LQ80" s="266"/>
      <c r="LR80" s="266"/>
      <c r="LS80" s="266"/>
      <c r="LT80" s="266"/>
      <c r="LU80" s="266"/>
      <c r="LV80" s="266"/>
      <c r="LW80" s="266"/>
      <c r="LX80" s="266"/>
      <c r="LY80" s="266"/>
      <c r="LZ80" s="266"/>
      <c r="MA80" s="266"/>
      <c r="MB80" s="266"/>
      <c r="MC80" s="266"/>
      <c r="MD80" s="266"/>
      <c r="ME80" s="266"/>
      <c r="MF80" s="266"/>
      <c r="MG80" s="266"/>
      <c r="MH80" s="266"/>
      <c r="MI80" s="266"/>
      <c r="MJ80" s="266"/>
      <c r="MK80" s="266"/>
      <c r="ML80" s="266"/>
      <c r="MM80" s="266"/>
      <c r="MN80" s="266"/>
      <c r="MO80" s="266"/>
      <c r="MP80" s="266"/>
      <c r="MQ80" s="266"/>
      <c r="MR80" s="266"/>
      <c r="MS80" s="266"/>
      <c r="MT80" s="266"/>
      <c r="MU80" s="266"/>
      <c r="MV80" s="266"/>
      <c r="MW80" s="266"/>
      <c r="MX80" s="266"/>
      <c r="MY80" s="266"/>
      <c r="MZ80" s="266"/>
      <c r="NA80" s="266"/>
      <c r="NB80" s="266"/>
      <c r="NC80" s="266"/>
      <c r="ND80" s="266"/>
      <c r="NE80" s="266"/>
      <c r="NF80" s="266"/>
      <c r="NG80" s="266"/>
      <c r="NH80" s="266"/>
      <c r="NI80" s="266"/>
      <c r="NJ80" s="266"/>
      <c r="NK80" s="266"/>
      <c r="NL80" s="266"/>
      <c r="NM80" s="266"/>
      <c r="NN80" s="266"/>
      <c r="NO80" s="266"/>
      <c r="NP80" s="266"/>
      <c r="NQ80" s="266"/>
      <c r="NR80" s="266"/>
      <c r="NS80" s="266"/>
      <c r="NT80" s="266"/>
      <c r="NU80" s="266"/>
      <c r="NV80" s="266"/>
      <c r="NW80" s="266"/>
      <c r="NX80" s="266"/>
      <c r="NY80" s="266"/>
      <c r="NZ80" s="266"/>
      <c r="OA80" s="266"/>
      <c r="OB80" s="266"/>
      <c r="OC80" s="266"/>
      <c r="OD80" s="266"/>
      <c r="OE80" s="266"/>
      <c r="OF80" s="266"/>
      <c r="OG80" s="266"/>
      <c r="OH80" s="266"/>
      <c r="OI80" s="266"/>
      <c r="OJ80" s="266"/>
      <c r="OK80" s="266"/>
      <c r="OL80" s="266"/>
      <c r="OM80" s="266"/>
      <c r="ON80" s="266"/>
      <c r="OO80" s="266"/>
      <c r="OP80" s="266"/>
      <c r="OQ80" s="266"/>
      <c r="OR80" s="266"/>
      <c r="OS80" s="266"/>
      <c r="OT80" s="266"/>
      <c r="OU80" s="266"/>
      <c r="OV80" s="266"/>
      <c r="OW80" s="266"/>
      <c r="OX80" s="266"/>
      <c r="OY80" s="266"/>
      <c r="OZ80" s="266"/>
      <c r="PA80" s="266"/>
      <c r="PB80" s="266"/>
      <c r="PC80" s="266"/>
      <c r="PD80" s="266"/>
      <c r="PE80" s="266"/>
      <c r="PF80" s="266"/>
      <c r="PG80" s="266"/>
      <c r="PH80" s="266"/>
      <c r="PI80" s="266"/>
      <c r="PJ80" s="266"/>
      <c r="PK80" s="266"/>
      <c r="PL80" s="266"/>
      <c r="PM80" s="266"/>
      <c r="PN80" s="266"/>
      <c r="PO80" s="266"/>
      <c r="PP80" s="266"/>
      <c r="PQ80" s="266"/>
      <c r="PR80" s="266"/>
      <c r="PS80" s="266"/>
      <c r="PT80" s="266"/>
      <c r="PU80" s="266"/>
      <c r="PV80" s="266"/>
      <c r="PW80" s="266"/>
      <c r="PX80" s="266"/>
      <c r="PY80" s="266"/>
      <c r="PZ80" s="266"/>
      <c r="QA80" s="266"/>
      <c r="QB80" s="266"/>
      <c r="QC80" s="266"/>
      <c r="QD80" s="266"/>
      <c r="QE80" s="266"/>
      <c r="QF80" s="266"/>
      <c r="QG80" s="266"/>
      <c r="QH80" s="266"/>
      <c r="QI80" s="266"/>
      <c r="QJ80" s="266"/>
      <c r="QK80" s="266"/>
      <c r="QL80" s="266"/>
      <c r="QM80" s="266"/>
      <c r="QN80" s="266"/>
      <c r="QO80" s="266"/>
      <c r="QP80" s="266"/>
      <c r="QQ80" s="266"/>
      <c r="QR80" s="266"/>
      <c r="QS80" s="266"/>
      <c r="QT80" s="266"/>
      <c r="QU80" s="266"/>
      <c r="QV80" s="266"/>
      <c r="QW80" s="266"/>
      <c r="QX80" s="266"/>
      <c r="QY80" s="266"/>
      <c r="QZ80" s="266"/>
      <c r="RA80" s="266"/>
      <c r="RB80" s="266"/>
      <c r="RC80" s="266"/>
      <c r="RD80" s="266"/>
      <c r="RE80" s="266"/>
      <c r="RF80" s="266"/>
      <c r="RG80" s="266"/>
      <c r="RH80" s="266"/>
      <c r="RI80" s="266"/>
      <c r="RJ80" s="266"/>
      <c r="RK80" s="266"/>
      <c r="RL80" s="266"/>
      <c r="RM80" s="266"/>
      <c r="RN80" s="266"/>
      <c r="RO80" s="266"/>
      <c r="RP80" s="266"/>
      <c r="RQ80" s="266"/>
      <c r="RR80" s="266"/>
      <c r="RS80" s="266"/>
      <c r="RT80" s="266"/>
      <c r="RU80" s="266"/>
      <c r="RV80" s="266"/>
      <c r="RW80" s="266"/>
      <c r="RX80" s="266"/>
      <c r="RY80" s="266"/>
      <c r="RZ80" s="266"/>
      <c r="SA80" s="266"/>
      <c r="SB80" s="266"/>
      <c r="SC80" s="266"/>
      <c r="SD80" s="266"/>
      <c r="SE80" s="266"/>
      <c r="SF80" s="266"/>
      <c r="SG80" s="266"/>
      <c r="SH80" s="266"/>
      <c r="SI80" s="266"/>
      <c r="SJ80" s="266"/>
      <c r="SK80" s="266"/>
      <c r="SL80" s="266"/>
      <c r="SM80" s="266"/>
      <c r="SN80" s="266"/>
      <c r="SO80" s="266"/>
      <c r="SP80" s="266"/>
      <c r="SQ80" s="266"/>
      <c r="SR80" s="266"/>
      <c r="SS80" s="266"/>
      <c r="ST80" s="266"/>
      <c r="SU80" s="266"/>
      <c r="SV80" s="266"/>
      <c r="SW80" s="266"/>
      <c r="SX80" s="266"/>
      <c r="SY80" s="266"/>
      <c r="SZ80" s="266"/>
      <c r="TA80" s="266"/>
      <c r="TB80" s="266"/>
      <c r="TC80" s="266"/>
      <c r="TD80" s="266"/>
      <c r="TE80" s="266"/>
      <c r="TF80" s="266"/>
      <c r="TG80" s="266"/>
      <c r="TH80" s="266"/>
      <c r="TI80" s="266"/>
      <c r="TJ80" s="266"/>
      <c r="TK80" s="266"/>
      <c r="TL80" s="266"/>
      <c r="TM80" s="266"/>
      <c r="TN80" s="266"/>
      <c r="TO80" s="266"/>
      <c r="TP80" s="266"/>
      <c r="TQ80" s="266"/>
      <c r="TR80" s="266"/>
      <c r="TS80" s="266"/>
      <c r="TT80" s="266"/>
      <c r="TU80" s="266"/>
      <c r="TV80" s="266"/>
      <c r="TW80" s="266"/>
      <c r="TX80" s="266"/>
      <c r="TY80" s="266"/>
      <c r="TZ80" s="266"/>
      <c r="UA80" s="266"/>
      <c r="UB80" s="266"/>
      <c r="UC80" s="266"/>
      <c r="UD80" s="266"/>
      <c r="UE80" s="266"/>
      <c r="UF80" s="266"/>
      <c r="UG80" s="266"/>
      <c r="UH80" s="266"/>
      <c r="UI80" s="266"/>
      <c r="UJ80" s="266"/>
      <c r="UK80" s="266"/>
      <c r="UL80" s="266"/>
      <c r="UM80" s="266"/>
      <c r="UN80" s="266"/>
      <c r="UO80" s="266"/>
      <c r="UP80" s="266"/>
      <c r="UQ80" s="266"/>
      <c r="UR80" s="266"/>
      <c r="US80" s="266"/>
      <c r="UT80" s="266"/>
      <c r="UU80" s="266"/>
      <c r="UV80" s="266"/>
      <c r="UW80" s="266"/>
      <c r="UX80" s="266"/>
      <c r="UY80" s="266"/>
      <c r="UZ80" s="266"/>
      <c r="VA80" s="266"/>
      <c r="VB80" s="266"/>
      <c r="VC80" s="266"/>
      <c r="VD80" s="266"/>
      <c r="VE80" s="266"/>
      <c r="VF80" s="266"/>
      <c r="VG80" s="266"/>
      <c r="VH80" s="266"/>
      <c r="VI80" s="266"/>
      <c r="VJ80" s="266"/>
      <c r="VK80" s="266"/>
      <c r="VL80" s="266"/>
      <c r="VM80" s="266"/>
      <c r="VN80" s="266"/>
      <c r="VO80" s="266"/>
      <c r="VP80" s="266"/>
      <c r="VQ80" s="266"/>
      <c r="VR80" s="266"/>
      <c r="VS80" s="266"/>
      <c r="VT80" s="266"/>
      <c r="VU80" s="266"/>
      <c r="VV80" s="266"/>
      <c r="VW80" s="266"/>
      <c r="VX80" s="266"/>
      <c r="VY80" s="266"/>
      <c r="VZ80" s="266"/>
      <c r="WA80" s="266"/>
      <c r="WB80" s="266"/>
      <c r="WC80" s="266"/>
      <c r="WD80" s="266"/>
      <c r="WE80" s="266"/>
      <c r="WF80" s="266"/>
      <c r="WG80" s="266"/>
      <c r="WH80" s="266"/>
      <c r="WI80" s="266"/>
      <c r="WJ80" s="266"/>
      <c r="WK80" s="266"/>
      <c r="WL80" s="266"/>
      <c r="WM80" s="266"/>
      <c r="WN80" s="266"/>
      <c r="WO80" s="266"/>
      <c r="WP80" s="266"/>
      <c r="WQ80" s="266"/>
      <c r="WR80" s="266"/>
      <c r="WS80" s="266"/>
      <c r="WT80" s="266"/>
      <c r="WU80" s="266"/>
      <c r="WV80" s="266"/>
      <c r="WW80" s="266"/>
      <c r="WX80" s="266"/>
      <c r="WY80" s="266"/>
      <c r="WZ80" s="266"/>
      <c r="XA80" s="266"/>
      <c r="XB80" s="266"/>
      <c r="XC80" s="266"/>
      <c r="XD80" s="266"/>
      <c r="XE80" s="266"/>
      <c r="XF80" s="266"/>
      <c r="XG80" s="266"/>
      <c r="XH80" s="266"/>
      <c r="XI80" s="266"/>
      <c r="XJ80" s="266"/>
      <c r="XK80" s="266"/>
      <c r="XL80" s="266"/>
      <c r="XM80" s="266"/>
      <c r="XN80" s="266"/>
      <c r="XO80" s="266"/>
      <c r="XP80" s="266"/>
      <c r="XQ80" s="266"/>
      <c r="XR80" s="266"/>
      <c r="XS80" s="266"/>
      <c r="XT80" s="266"/>
      <c r="XU80" s="266"/>
      <c r="XV80" s="266"/>
      <c r="XW80" s="266"/>
      <c r="XX80" s="266"/>
      <c r="XY80" s="266"/>
      <c r="XZ80" s="266"/>
      <c r="YA80" s="266"/>
      <c r="YB80" s="266"/>
      <c r="YC80" s="266"/>
      <c r="YD80" s="266"/>
      <c r="YE80" s="266"/>
      <c r="YF80" s="266"/>
      <c r="YG80" s="266"/>
      <c r="YH80" s="266"/>
      <c r="YI80" s="266"/>
      <c r="YJ80" s="266"/>
      <c r="YK80" s="266"/>
      <c r="YL80" s="266"/>
      <c r="YM80" s="266"/>
      <c r="YN80" s="266"/>
      <c r="YO80" s="266"/>
      <c r="YP80" s="266"/>
      <c r="YQ80" s="266"/>
      <c r="YR80" s="266"/>
      <c r="YS80" s="266"/>
      <c r="YT80" s="266"/>
      <c r="YU80" s="266"/>
      <c r="YV80" s="266"/>
      <c r="YW80" s="266"/>
      <c r="YX80" s="266"/>
      <c r="YY80" s="266"/>
      <c r="YZ80" s="266"/>
      <c r="ZA80" s="266"/>
      <c r="ZB80" s="266"/>
      <c r="ZC80" s="266"/>
      <c r="ZD80" s="266"/>
      <c r="ZE80" s="266"/>
      <c r="ZF80" s="266"/>
      <c r="ZG80" s="266"/>
      <c r="ZH80" s="266"/>
      <c r="ZI80" s="266"/>
      <c r="ZJ80" s="266"/>
      <c r="ZK80" s="266"/>
      <c r="ZL80" s="266"/>
      <c r="ZM80" s="266"/>
      <c r="ZN80" s="266"/>
      <c r="ZO80" s="266"/>
      <c r="ZP80" s="266"/>
      <c r="ZQ80" s="266"/>
      <c r="ZR80" s="266"/>
      <c r="ZS80" s="266"/>
      <c r="ZT80" s="266"/>
      <c r="ZU80" s="266"/>
      <c r="ZV80" s="266"/>
      <c r="ZW80" s="266"/>
      <c r="ZX80" s="266"/>
      <c r="ZY80" s="266"/>
      <c r="ZZ80" s="266"/>
      <c r="AAA80" s="266"/>
      <c r="AAB80" s="266"/>
      <c r="AAC80" s="266"/>
      <c r="AAD80" s="266"/>
      <c r="AAE80" s="266"/>
      <c r="AAF80" s="266"/>
      <c r="AAG80" s="266"/>
      <c r="AAH80" s="266"/>
      <c r="AAI80" s="266"/>
      <c r="AAJ80" s="266"/>
      <c r="AAK80" s="266"/>
      <c r="AAL80" s="266"/>
      <c r="AAM80" s="266"/>
      <c r="AAN80" s="266"/>
      <c r="AAO80" s="266"/>
      <c r="AAP80" s="266"/>
      <c r="AAQ80" s="266"/>
      <c r="AAR80" s="266"/>
      <c r="AAS80" s="266"/>
      <c r="AAT80" s="266"/>
      <c r="AAU80" s="266"/>
      <c r="AAV80" s="266"/>
      <c r="AAW80" s="266"/>
      <c r="AAX80" s="266"/>
      <c r="AAY80" s="266"/>
      <c r="AAZ80" s="266"/>
      <c r="ABA80" s="266"/>
      <c r="ABB80" s="266"/>
      <c r="ABC80" s="266"/>
      <c r="ABD80" s="266"/>
      <c r="ABE80" s="266"/>
      <c r="ABF80" s="266"/>
      <c r="ABG80" s="266"/>
      <c r="ABH80" s="266"/>
      <c r="ABI80" s="266"/>
      <c r="ABJ80" s="266"/>
      <c r="ABK80" s="266"/>
      <c r="ABL80" s="266"/>
      <c r="ABM80" s="266"/>
      <c r="ABN80" s="266"/>
      <c r="ABO80" s="266"/>
      <c r="ABP80" s="266"/>
      <c r="ABQ80" s="266"/>
      <c r="ABR80" s="266"/>
      <c r="ABS80" s="266"/>
      <c r="ABT80" s="266"/>
      <c r="ABU80" s="266"/>
      <c r="ABV80" s="266"/>
      <c r="ABW80" s="266"/>
      <c r="ABX80" s="266"/>
      <c r="ABY80" s="266"/>
      <c r="ABZ80" s="266"/>
      <c r="ACA80" s="266"/>
      <c r="ACB80" s="266"/>
      <c r="ACC80" s="266"/>
      <c r="ACD80" s="266"/>
      <c r="ACE80" s="266"/>
      <c r="ACF80" s="266"/>
      <c r="ACG80" s="266"/>
      <c r="ACH80" s="266"/>
      <c r="ACI80" s="266"/>
      <c r="ACJ80" s="266"/>
      <c r="ACK80" s="266"/>
      <c r="ACL80" s="266"/>
      <c r="ACM80" s="266"/>
      <c r="ACN80" s="266"/>
      <c r="ACO80" s="266"/>
      <c r="ACP80" s="266"/>
      <c r="ACQ80" s="266"/>
      <c r="ACR80" s="266"/>
      <c r="ACS80" s="266"/>
      <c r="ACT80" s="266"/>
      <c r="ACU80" s="266"/>
      <c r="ACV80" s="266"/>
      <c r="ACW80" s="266"/>
      <c r="ACX80" s="266"/>
      <c r="ACY80" s="266"/>
      <c r="ACZ80" s="266"/>
      <c r="ADA80" s="266"/>
      <c r="ADB80" s="266"/>
      <c r="ADC80" s="266"/>
      <c r="ADD80" s="266"/>
      <c r="ADE80" s="266"/>
      <c r="ADF80" s="266"/>
      <c r="ADG80" s="266"/>
      <c r="ADH80" s="266"/>
      <c r="ADI80" s="266"/>
      <c r="ADJ80" s="266"/>
      <c r="ADK80" s="266"/>
      <c r="ADL80" s="266"/>
      <c r="ADM80" s="266"/>
      <c r="ADN80" s="266"/>
      <c r="ADO80" s="266"/>
      <c r="ADP80" s="266"/>
      <c r="ADQ80" s="266"/>
      <c r="ADR80" s="266"/>
      <c r="ADS80" s="266"/>
      <c r="ADT80" s="266"/>
      <c r="ADU80" s="266"/>
      <c r="ADV80" s="266"/>
      <c r="ADW80" s="266"/>
      <c r="ADX80" s="266"/>
      <c r="ADY80" s="266"/>
      <c r="ADZ80" s="266"/>
      <c r="AEA80" s="266"/>
      <c r="AEB80" s="266"/>
      <c r="AEC80" s="266"/>
      <c r="AED80" s="266"/>
      <c r="AEE80" s="266"/>
      <c r="AEF80" s="266"/>
      <c r="AEG80" s="266"/>
      <c r="AEH80" s="266"/>
      <c r="AEI80" s="266"/>
      <c r="AEJ80" s="266"/>
      <c r="AEK80" s="266"/>
      <c r="AEL80" s="266"/>
      <c r="AEM80" s="266"/>
      <c r="AEN80" s="266"/>
      <c r="AEO80" s="266"/>
      <c r="AEP80" s="266"/>
      <c r="AEQ80" s="266"/>
      <c r="AER80" s="266"/>
      <c r="AES80" s="266"/>
      <c r="AET80" s="266"/>
      <c r="AEU80" s="266"/>
      <c r="AEV80" s="266"/>
      <c r="AEW80" s="266"/>
      <c r="AEX80" s="266"/>
      <c r="AEY80" s="266"/>
      <c r="AEZ80" s="266"/>
      <c r="AFA80" s="266"/>
      <c r="AFB80" s="266"/>
      <c r="AFC80" s="266"/>
      <c r="AFD80" s="266"/>
      <c r="AFE80" s="266"/>
      <c r="AFF80" s="266"/>
      <c r="AFG80" s="266"/>
      <c r="AFH80" s="266"/>
      <c r="AFI80" s="266"/>
      <c r="AFJ80" s="266"/>
      <c r="AFK80" s="266"/>
      <c r="AFL80" s="266"/>
      <c r="AFM80" s="266"/>
      <c r="AFN80" s="266"/>
      <c r="AFO80" s="266"/>
      <c r="AFP80" s="266"/>
      <c r="AFQ80" s="266"/>
      <c r="AFR80" s="266"/>
      <c r="AFS80" s="266"/>
      <c r="AFT80" s="266"/>
      <c r="AFU80" s="266"/>
      <c r="AFV80" s="266"/>
      <c r="AFW80" s="266"/>
      <c r="AFX80" s="266"/>
      <c r="AFY80" s="266"/>
      <c r="AFZ80" s="266"/>
      <c r="AGA80" s="266"/>
      <c r="AGB80" s="266"/>
      <c r="AGC80" s="266"/>
      <c r="AGD80" s="266"/>
      <c r="AGE80" s="266"/>
      <c r="AGF80" s="266"/>
      <c r="AGG80" s="266"/>
      <c r="AGH80" s="266"/>
      <c r="AGI80" s="266"/>
      <c r="AGJ80" s="266"/>
      <c r="AGK80" s="266"/>
      <c r="AGL80" s="266"/>
      <c r="AGM80" s="266"/>
      <c r="AGN80" s="266"/>
      <c r="AGO80" s="266"/>
      <c r="AGP80" s="266"/>
      <c r="AGQ80" s="266"/>
      <c r="AGR80" s="266"/>
      <c r="AGS80" s="266"/>
      <c r="AGT80" s="266"/>
      <c r="AGU80" s="266"/>
      <c r="AGV80" s="266"/>
      <c r="AGW80" s="266"/>
      <c r="AGX80" s="266"/>
      <c r="AGY80" s="266"/>
      <c r="AGZ80" s="266"/>
      <c r="AHA80" s="266"/>
      <c r="AHB80" s="266"/>
      <c r="AHC80" s="266"/>
      <c r="AHD80" s="266"/>
      <c r="AHE80" s="266"/>
      <c r="AHF80" s="266"/>
      <c r="AHG80" s="266"/>
      <c r="AHH80" s="266"/>
      <c r="AHI80" s="266"/>
      <c r="AHJ80" s="266"/>
      <c r="AHK80" s="266"/>
      <c r="AHL80" s="266"/>
      <c r="AHM80" s="266"/>
      <c r="AHN80" s="266"/>
      <c r="AHO80" s="266"/>
      <c r="AHP80" s="266"/>
      <c r="AHQ80" s="266"/>
      <c r="AHR80" s="266"/>
      <c r="AHS80" s="266"/>
      <c r="AHT80" s="266"/>
      <c r="AHU80" s="266"/>
      <c r="AHV80" s="266"/>
      <c r="AHW80" s="266"/>
      <c r="AHX80" s="266"/>
      <c r="AHY80" s="266"/>
      <c r="AHZ80" s="266"/>
      <c r="AIA80" s="266"/>
      <c r="AIB80" s="266"/>
      <c r="AIC80" s="266"/>
      <c r="AID80" s="266"/>
      <c r="AIE80" s="266"/>
      <c r="AIF80" s="266"/>
      <c r="AIG80" s="266"/>
      <c r="AIH80" s="266"/>
      <c r="AII80" s="266"/>
      <c r="AIJ80" s="266"/>
      <c r="AIK80" s="266"/>
      <c r="AIL80" s="266"/>
      <c r="AIM80" s="266"/>
      <c r="AIN80" s="266"/>
      <c r="AIO80" s="266"/>
      <c r="AIP80" s="266"/>
      <c r="AIQ80" s="266"/>
      <c r="AIR80" s="266"/>
      <c r="AIS80" s="266"/>
      <c r="AIT80" s="266"/>
      <c r="AIU80" s="266"/>
      <c r="AIV80" s="266"/>
      <c r="AIW80" s="266"/>
      <c r="AIX80" s="266"/>
      <c r="AIY80" s="266"/>
      <c r="AIZ80" s="266"/>
      <c r="AJA80" s="266"/>
      <c r="AJB80" s="266"/>
      <c r="AJC80" s="266"/>
      <c r="AJD80" s="266"/>
      <c r="AJE80" s="266"/>
      <c r="AJF80" s="266"/>
      <c r="AJG80" s="266"/>
      <c r="AJH80" s="266"/>
      <c r="AJI80" s="266"/>
      <c r="AJJ80" s="266"/>
      <c r="AJK80" s="266"/>
      <c r="AJL80" s="266"/>
      <c r="AJM80" s="266"/>
      <c r="AJN80" s="266"/>
      <c r="AJO80" s="266"/>
      <c r="AJP80" s="266"/>
      <c r="AJQ80" s="266"/>
      <c r="AJR80" s="266"/>
      <c r="AJS80" s="266"/>
      <c r="AJT80" s="266"/>
      <c r="AJU80" s="266"/>
      <c r="AJV80" s="266"/>
      <c r="AJW80" s="266"/>
      <c r="AJX80" s="266"/>
      <c r="AJY80" s="266"/>
      <c r="AJZ80" s="266"/>
      <c r="AKA80" s="266"/>
      <c r="AKB80" s="266"/>
      <c r="AKC80" s="266"/>
      <c r="AKD80" s="266"/>
      <c r="AKE80" s="266"/>
      <c r="AKF80" s="266"/>
      <c r="AKG80" s="266"/>
      <c r="AKH80" s="266"/>
      <c r="AKI80" s="266"/>
      <c r="AKJ80" s="266"/>
      <c r="AKK80" s="266"/>
      <c r="AKL80" s="266"/>
      <c r="AKM80" s="266"/>
      <c r="AKN80" s="266"/>
      <c r="AKO80" s="266"/>
      <c r="AKP80" s="266"/>
      <c r="AKQ80" s="266"/>
      <c r="AKR80" s="266"/>
      <c r="AKS80" s="266"/>
      <c r="AKT80" s="266"/>
      <c r="AKU80" s="266"/>
      <c r="AKV80" s="266"/>
      <c r="AKW80" s="266"/>
      <c r="AKX80" s="266"/>
      <c r="AKY80" s="266"/>
      <c r="AKZ80" s="266"/>
      <c r="ALA80" s="266"/>
      <c r="ALB80" s="266"/>
      <c r="ALC80" s="266"/>
      <c r="ALD80" s="266"/>
      <c r="ALE80" s="266"/>
      <c r="ALF80" s="266"/>
      <c r="ALG80" s="266"/>
      <c r="ALH80" s="266"/>
      <c r="ALI80" s="266"/>
      <c r="ALJ80" s="266"/>
      <c r="ALK80" s="266"/>
      <c r="ALL80" s="266"/>
      <c r="ALM80" s="266"/>
      <c r="ALN80" s="266"/>
      <c r="ALO80" s="266"/>
      <c r="ALP80" s="266"/>
      <c r="ALQ80" s="266"/>
      <c r="ALR80" s="266"/>
      <c r="ALS80" s="266"/>
      <c r="ALT80" s="266"/>
      <c r="ALU80" s="266"/>
      <c r="ALV80" s="266"/>
      <c r="ALW80" s="266"/>
      <c r="ALX80" s="266"/>
      <c r="ALY80" s="266"/>
      <c r="ALZ80" s="266"/>
      <c r="AMA80" s="266"/>
      <c r="AMB80" s="266"/>
      <c r="AMC80" s="266"/>
      <c r="AMD80" s="266"/>
      <c r="AME80" s="266"/>
      <c r="AMF80" s="266"/>
      <c r="AMG80" s="266"/>
      <c r="AMH80" s="266"/>
      <c r="AMI80" s="266"/>
      <c r="AMJ80" s="266"/>
      <c r="AMK80" s="266"/>
      <c r="AML80" s="266"/>
      <c r="AMM80" s="266"/>
      <c r="AMN80" s="266"/>
      <c r="AMO80" s="266"/>
      <c r="AMP80" s="266"/>
      <c r="AMQ80" s="266"/>
      <c r="AMR80" s="266"/>
      <c r="AMS80" s="266"/>
      <c r="AMT80" s="266"/>
      <c r="AMU80" s="266"/>
      <c r="AMV80" s="266"/>
      <c r="AMW80" s="266"/>
      <c r="AMX80" s="266"/>
      <c r="AMY80" s="266"/>
      <c r="AMZ80" s="266"/>
      <c r="ANA80" s="266"/>
      <c r="ANB80" s="266"/>
      <c r="ANC80" s="266"/>
      <c r="AND80" s="266"/>
      <c r="ANE80" s="266"/>
      <c r="ANF80" s="266"/>
      <c r="ANG80" s="266"/>
      <c r="ANH80" s="266"/>
      <c r="ANI80" s="266"/>
      <c r="ANJ80" s="266"/>
      <c r="ANK80" s="266"/>
      <c r="ANL80" s="266"/>
      <c r="ANM80" s="266"/>
      <c r="ANN80" s="266"/>
      <c r="ANO80" s="266"/>
      <c r="ANP80" s="266"/>
      <c r="ANQ80" s="266"/>
      <c r="ANR80" s="266"/>
      <c r="ANS80" s="266"/>
      <c r="ANT80" s="266"/>
      <c r="ANU80" s="266"/>
      <c r="ANV80" s="266"/>
      <c r="ANW80" s="266"/>
      <c r="ANX80" s="266"/>
      <c r="ANY80" s="266"/>
      <c r="ANZ80" s="266"/>
      <c r="AOA80" s="266"/>
      <c r="AOB80" s="266"/>
      <c r="AOC80" s="266"/>
      <c r="AOD80" s="266"/>
      <c r="AOE80" s="266"/>
      <c r="AOF80" s="266"/>
      <c r="AOG80" s="266"/>
      <c r="AOH80" s="266"/>
      <c r="AOI80" s="266"/>
      <c r="AOJ80" s="266"/>
      <c r="AOK80" s="266"/>
      <c r="AOL80" s="266"/>
      <c r="AOM80" s="266"/>
      <c r="AON80" s="266"/>
      <c r="AOO80" s="266"/>
      <c r="AOP80" s="266"/>
      <c r="AOQ80" s="266"/>
      <c r="AOR80" s="266"/>
      <c r="AOS80" s="266"/>
      <c r="AOT80" s="266"/>
      <c r="AOU80" s="266"/>
      <c r="AOV80" s="266"/>
      <c r="AOW80" s="266"/>
      <c r="AOX80" s="266"/>
      <c r="AOY80" s="266"/>
      <c r="AOZ80" s="266"/>
      <c r="APA80" s="266"/>
      <c r="APB80" s="266"/>
      <c r="APC80" s="266"/>
      <c r="APD80" s="266"/>
      <c r="APE80" s="266"/>
      <c r="APF80" s="266"/>
      <c r="APG80" s="266"/>
      <c r="APH80" s="266"/>
      <c r="API80" s="266"/>
      <c r="APJ80" s="266"/>
      <c r="APK80" s="266"/>
      <c r="APL80" s="266"/>
      <c r="APM80" s="266"/>
      <c r="APN80" s="266"/>
      <c r="APO80" s="266"/>
      <c r="APP80" s="266"/>
      <c r="APQ80" s="266"/>
      <c r="APR80" s="266"/>
      <c r="APS80" s="266"/>
      <c r="APT80" s="266"/>
      <c r="APU80" s="266"/>
      <c r="APV80" s="266"/>
      <c r="APW80" s="266"/>
      <c r="APX80" s="266"/>
      <c r="APY80" s="266"/>
      <c r="APZ80" s="266"/>
      <c r="AQA80" s="266"/>
      <c r="AQB80" s="266"/>
      <c r="AQC80" s="266"/>
      <c r="AQD80" s="266"/>
      <c r="AQE80" s="266"/>
      <c r="AQF80" s="266"/>
      <c r="AQG80" s="266"/>
      <c r="AQH80" s="266"/>
      <c r="AQI80" s="266"/>
      <c r="AQJ80" s="266"/>
      <c r="AQK80" s="266"/>
      <c r="AQL80" s="266"/>
      <c r="AQM80" s="266"/>
      <c r="AQN80" s="266"/>
      <c r="AQO80" s="266"/>
      <c r="AQP80" s="266"/>
      <c r="AQQ80" s="266"/>
      <c r="AQR80" s="266"/>
      <c r="AQS80" s="266"/>
      <c r="AQT80" s="266"/>
      <c r="AQU80" s="266"/>
      <c r="AQV80" s="266"/>
      <c r="AQW80" s="266"/>
      <c r="AQX80" s="266"/>
      <c r="AQY80" s="266"/>
      <c r="AQZ80" s="266"/>
      <c r="ARA80" s="266"/>
      <c r="ARB80" s="266"/>
      <c r="ARC80" s="266"/>
      <c r="ARD80" s="266"/>
      <c r="ARE80" s="266"/>
      <c r="ARF80" s="266"/>
      <c r="ARG80" s="266"/>
      <c r="ARH80" s="266"/>
      <c r="ARI80" s="266"/>
      <c r="ARJ80" s="266"/>
      <c r="ARK80" s="266"/>
      <c r="ARL80" s="266"/>
      <c r="ARM80" s="266"/>
      <c r="ARN80" s="266"/>
      <c r="ARO80" s="266"/>
      <c r="ARP80" s="266"/>
      <c r="ARQ80" s="266"/>
      <c r="ARR80" s="266"/>
      <c r="ARS80" s="266"/>
      <c r="ART80" s="266"/>
      <c r="ARU80" s="266"/>
      <c r="ARV80" s="266"/>
      <c r="ARW80" s="266"/>
      <c r="ARX80" s="266"/>
      <c r="ARY80" s="266"/>
      <c r="ARZ80" s="266"/>
      <c r="ASA80" s="266"/>
      <c r="ASB80" s="266"/>
      <c r="ASC80" s="266"/>
      <c r="ASD80" s="266"/>
      <c r="ASE80" s="266"/>
      <c r="ASF80" s="266"/>
      <c r="ASG80" s="266"/>
      <c r="ASH80" s="266"/>
      <c r="ASI80" s="266"/>
      <c r="ASJ80" s="266"/>
      <c r="ASK80" s="266"/>
      <c r="ASL80" s="266"/>
      <c r="ASM80" s="266"/>
      <c r="ASN80" s="266"/>
      <c r="ASO80" s="266"/>
      <c r="ASP80" s="266"/>
      <c r="ASQ80" s="266"/>
      <c r="ASR80" s="266"/>
      <c r="ASS80" s="266"/>
      <c r="AST80" s="266"/>
      <c r="ASU80" s="266"/>
      <c r="ASV80" s="266"/>
      <c r="ASW80" s="266"/>
      <c r="ASX80" s="266"/>
      <c r="ASY80" s="266"/>
      <c r="ASZ80" s="266"/>
      <c r="ATA80" s="266"/>
      <c r="ATB80" s="266"/>
      <c r="ATC80" s="266"/>
      <c r="ATD80" s="266"/>
      <c r="ATE80" s="266"/>
      <c r="ATF80" s="266"/>
      <c r="ATG80" s="266"/>
      <c r="ATH80" s="266"/>
      <c r="ATI80" s="266"/>
      <c r="ATJ80" s="266"/>
      <c r="ATK80" s="266"/>
      <c r="ATL80" s="266"/>
      <c r="ATM80" s="266"/>
      <c r="ATN80" s="266"/>
      <c r="ATO80" s="266"/>
      <c r="ATP80" s="266"/>
      <c r="ATQ80" s="266"/>
      <c r="ATR80" s="266"/>
      <c r="ATS80" s="266"/>
      <c r="ATT80" s="266"/>
      <c r="ATU80" s="266"/>
      <c r="ATV80" s="266"/>
      <c r="ATW80" s="266"/>
      <c r="ATX80" s="266"/>
      <c r="ATY80" s="266"/>
      <c r="ATZ80" s="266"/>
      <c r="AUA80" s="266"/>
      <c r="AUB80" s="266"/>
      <c r="AUC80" s="266"/>
      <c r="AUD80" s="266"/>
      <c r="AUE80" s="266"/>
      <c r="AUF80" s="266"/>
      <c r="AUG80" s="266"/>
      <c r="AUH80" s="266"/>
      <c r="AUI80" s="266"/>
      <c r="AUJ80" s="266"/>
      <c r="AUK80" s="266"/>
      <c r="AUL80" s="266"/>
      <c r="AUM80" s="266"/>
      <c r="AUN80" s="266"/>
      <c r="AUO80" s="266"/>
      <c r="AUP80" s="266"/>
      <c r="AUQ80" s="266"/>
      <c r="AUR80" s="266"/>
      <c r="AUS80" s="266"/>
      <c r="AUT80" s="266"/>
      <c r="AUU80" s="266"/>
      <c r="AUV80" s="266"/>
      <c r="AUW80" s="266"/>
      <c r="AUX80" s="266"/>
      <c r="AUY80" s="266"/>
      <c r="AUZ80" s="266"/>
      <c r="AVA80" s="266"/>
      <c r="AVB80" s="266"/>
      <c r="AVC80" s="266"/>
      <c r="AVD80" s="266"/>
      <c r="AVE80" s="266"/>
      <c r="AVF80" s="266"/>
      <c r="AVG80" s="266"/>
      <c r="AVH80" s="266"/>
      <c r="AVI80" s="266"/>
      <c r="AVJ80" s="266"/>
      <c r="AVK80" s="266"/>
      <c r="AVL80" s="266"/>
      <c r="AVM80" s="266"/>
      <c r="AVN80" s="266"/>
      <c r="AVO80" s="266"/>
      <c r="AVP80" s="266"/>
      <c r="AVQ80" s="266"/>
      <c r="AVR80" s="266"/>
      <c r="AVS80" s="266"/>
      <c r="AVT80" s="266"/>
      <c r="AVU80" s="266"/>
      <c r="AVV80" s="266"/>
      <c r="AVW80" s="266"/>
      <c r="AVX80" s="266"/>
      <c r="AVY80" s="266"/>
      <c r="AVZ80" s="266"/>
      <c r="AWA80" s="266"/>
      <c r="AWB80" s="266"/>
      <c r="AWC80" s="266"/>
      <c r="AWD80" s="266"/>
      <c r="AWE80" s="266"/>
      <c r="AWF80" s="266"/>
      <c r="AWG80" s="266"/>
      <c r="AWH80" s="266"/>
      <c r="AWI80" s="266"/>
      <c r="AWJ80" s="266"/>
      <c r="AWK80" s="266"/>
      <c r="AWL80" s="266"/>
      <c r="AWM80" s="266"/>
      <c r="AWN80" s="266"/>
      <c r="AWO80" s="266"/>
      <c r="AWP80" s="266"/>
      <c r="AWQ80" s="266"/>
      <c r="AWR80" s="266"/>
      <c r="AWS80" s="266"/>
      <c r="AWT80" s="266"/>
      <c r="AWU80" s="266"/>
      <c r="AWV80" s="266"/>
      <c r="AWW80" s="266"/>
      <c r="AWX80" s="266"/>
      <c r="AWY80" s="266"/>
      <c r="AWZ80" s="266"/>
      <c r="AXA80" s="266"/>
      <c r="AXB80" s="266"/>
      <c r="AXC80" s="266"/>
      <c r="AXD80" s="266"/>
      <c r="AXE80" s="266"/>
      <c r="AXF80" s="266"/>
      <c r="AXG80" s="266"/>
      <c r="AXH80" s="266"/>
      <c r="AXI80" s="266"/>
      <c r="AXJ80" s="266"/>
      <c r="AXK80" s="266"/>
      <c r="AXL80" s="266"/>
      <c r="AXM80" s="266"/>
      <c r="AXN80" s="266"/>
      <c r="AXO80" s="266"/>
      <c r="AXP80" s="266"/>
      <c r="AXQ80" s="266"/>
      <c r="AXR80" s="266"/>
      <c r="AXS80" s="266"/>
      <c r="AXT80" s="266"/>
      <c r="AXU80" s="266"/>
      <c r="AXV80" s="266"/>
      <c r="AXW80" s="266"/>
      <c r="AXX80" s="266"/>
      <c r="AXY80" s="266"/>
      <c r="AXZ80" s="266"/>
      <c r="AYA80" s="266"/>
      <c r="AYB80" s="266"/>
      <c r="AYC80" s="266"/>
      <c r="AYD80" s="266"/>
      <c r="AYE80" s="266"/>
      <c r="AYF80" s="266"/>
      <c r="AYG80" s="266"/>
      <c r="AYH80" s="266"/>
      <c r="AYI80" s="266"/>
      <c r="AYJ80" s="266"/>
      <c r="AYK80" s="266"/>
      <c r="AYL80" s="266"/>
      <c r="AYM80" s="266"/>
      <c r="AYN80" s="266"/>
      <c r="AYO80" s="266"/>
      <c r="AYP80" s="266"/>
      <c r="AYQ80" s="266"/>
      <c r="AYR80" s="266"/>
      <c r="AYS80" s="266"/>
      <c r="AYT80" s="266"/>
      <c r="AYU80" s="266"/>
      <c r="AYV80" s="266"/>
      <c r="AYW80" s="266"/>
      <c r="AYX80" s="266"/>
      <c r="AYY80" s="266"/>
      <c r="AYZ80" s="266"/>
      <c r="AZA80" s="266"/>
      <c r="AZB80" s="266"/>
      <c r="AZC80" s="266"/>
      <c r="AZD80" s="266"/>
      <c r="AZE80" s="266"/>
      <c r="AZF80" s="266"/>
      <c r="AZG80" s="266"/>
      <c r="AZH80" s="266"/>
      <c r="AZI80" s="266"/>
      <c r="AZJ80" s="266"/>
      <c r="AZK80" s="266"/>
      <c r="AZL80" s="266"/>
      <c r="AZM80" s="266"/>
      <c r="AZN80" s="266"/>
      <c r="AZO80" s="266"/>
      <c r="AZP80" s="266"/>
      <c r="AZQ80" s="266"/>
      <c r="AZR80" s="266"/>
      <c r="AZS80" s="266"/>
      <c r="AZT80" s="266"/>
      <c r="AZU80" s="266"/>
      <c r="AZV80" s="266"/>
      <c r="AZW80" s="266"/>
      <c r="AZX80" s="266"/>
      <c r="AZY80" s="266"/>
      <c r="AZZ80" s="266"/>
      <c r="BAA80" s="266"/>
      <c r="BAB80" s="266"/>
      <c r="BAC80" s="266"/>
      <c r="BAD80" s="266"/>
      <c r="BAE80" s="266"/>
      <c r="BAF80" s="266"/>
      <c r="BAG80" s="266"/>
      <c r="BAH80" s="266"/>
      <c r="BAI80" s="266"/>
      <c r="BAJ80" s="266"/>
      <c r="BAK80" s="266"/>
      <c r="BAL80" s="266"/>
      <c r="BAM80" s="266"/>
      <c r="BAN80" s="266"/>
      <c r="BAO80" s="266"/>
      <c r="BAP80" s="266"/>
      <c r="BAQ80" s="266"/>
      <c r="BAR80" s="266"/>
      <c r="BAS80" s="266"/>
      <c r="BAT80" s="266"/>
      <c r="BAU80" s="266"/>
      <c r="BAV80" s="266"/>
      <c r="BAW80" s="266"/>
      <c r="BAX80" s="266"/>
      <c r="BAY80" s="266"/>
      <c r="BAZ80" s="266"/>
      <c r="BBA80" s="266"/>
      <c r="BBB80" s="266"/>
      <c r="BBC80" s="266"/>
      <c r="BBD80" s="266"/>
      <c r="BBE80" s="266"/>
      <c r="BBF80" s="266"/>
      <c r="BBG80" s="266"/>
      <c r="BBH80" s="266"/>
      <c r="BBI80" s="266"/>
      <c r="BBJ80" s="266"/>
      <c r="BBK80" s="266"/>
      <c r="BBL80" s="266"/>
      <c r="BBM80" s="266"/>
      <c r="BBN80" s="266"/>
      <c r="BBO80" s="266"/>
      <c r="BBP80" s="266"/>
      <c r="BBQ80" s="266"/>
      <c r="BBR80" s="266"/>
      <c r="BBS80" s="266"/>
      <c r="BBT80" s="266"/>
      <c r="BBU80" s="266"/>
      <c r="BBV80" s="266"/>
      <c r="BBW80" s="266"/>
      <c r="BBX80" s="266"/>
      <c r="BBY80" s="266"/>
      <c r="BBZ80" s="266"/>
      <c r="BCA80" s="266"/>
      <c r="BCB80" s="266"/>
      <c r="BCC80" s="266"/>
      <c r="BCD80" s="266"/>
      <c r="BCE80" s="266"/>
      <c r="BCF80" s="266"/>
      <c r="BCG80" s="266"/>
      <c r="BCH80" s="266"/>
      <c r="BCI80" s="266"/>
      <c r="BCJ80" s="266"/>
      <c r="BCK80" s="266"/>
      <c r="BCL80" s="266"/>
      <c r="BCM80" s="266"/>
      <c r="BCN80" s="266"/>
      <c r="BCO80" s="266"/>
      <c r="BCP80" s="266"/>
      <c r="BCQ80" s="266"/>
      <c r="BCR80" s="266"/>
      <c r="BCS80" s="266"/>
      <c r="BCT80" s="266"/>
      <c r="BCU80" s="266"/>
      <c r="BCV80" s="266"/>
      <c r="BCW80" s="266"/>
      <c r="BCX80" s="266"/>
      <c r="BCY80" s="266"/>
      <c r="BCZ80" s="266"/>
      <c r="BDA80" s="266"/>
      <c r="BDB80" s="266"/>
      <c r="BDC80" s="266"/>
      <c r="BDD80" s="266"/>
      <c r="BDE80" s="266"/>
      <c r="BDF80" s="266"/>
      <c r="BDG80" s="266"/>
      <c r="BDH80" s="266"/>
      <c r="BDI80" s="266"/>
      <c r="BDJ80" s="266"/>
      <c r="BDK80" s="266"/>
      <c r="BDL80" s="266"/>
      <c r="BDM80" s="266"/>
      <c r="BDN80" s="266"/>
      <c r="BDO80" s="266"/>
      <c r="BDP80" s="266"/>
      <c r="BDQ80" s="266"/>
      <c r="BDR80" s="266"/>
      <c r="BDS80" s="266"/>
      <c r="BDT80" s="266"/>
      <c r="BDU80" s="266"/>
      <c r="BDV80" s="266"/>
      <c r="BDW80" s="266"/>
      <c r="BDX80" s="266"/>
      <c r="BDY80" s="266"/>
      <c r="BDZ80" s="266"/>
      <c r="BEA80" s="266"/>
      <c r="BEB80" s="266"/>
      <c r="BEC80" s="266"/>
      <c r="BED80" s="266"/>
      <c r="BEE80" s="266"/>
      <c r="BEF80" s="266"/>
      <c r="BEG80" s="266"/>
      <c r="BEH80" s="266"/>
      <c r="BEI80" s="266"/>
      <c r="BEJ80" s="266"/>
      <c r="BEK80" s="266"/>
      <c r="BEL80" s="266"/>
      <c r="BEM80" s="266"/>
      <c r="BEN80" s="266"/>
      <c r="BEO80" s="266"/>
      <c r="BEP80" s="266"/>
      <c r="BEQ80" s="266"/>
      <c r="BER80" s="266"/>
      <c r="BES80" s="266"/>
      <c r="BET80" s="266"/>
      <c r="BEU80" s="266"/>
      <c r="BEV80" s="266"/>
      <c r="BEW80" s="266"/>
      <c r="BEX80" s="266"/>
      <c r="BEY80" s="266"/>
      <c r="BEZ80" s="266"/>
      <c r="BFA80" s="266"/>
      <c r="BFB80" s="266"/>
      <c r="BFC80" s="266"/>
      <c r="BFD80" s="266"/>
      <c r="BFE80" s="266"/>
      <c r="BFF80" s="266"/>
      <c r="BFG80" s="266"/>
      <c r="BFH80" s="266"/>
      <c r="BFI80" s="266"/>
      <c r="BFJ80" s="266"/>
      <c r="BFK80" s="266"/>
      <c r="BFL80" s="266"/>
      <c r="BFM80" s="266"/>
      <c r="BFN80" s="266"/>
      <c r="BFO80" s="266"/>
      <c r="BFP80" s="266"/>
      <c r="BFQ80" s="266"/>
      <c r="BFR80" s="266"/>
      <c r="BFS80" s="266"/>
      <c r="BFT80" s="266"/>
      <c r="BFU80" s="266"/>
      <c r="BFV80" s="266"/>
      <c r="BFW80" s="266"/>
      <c r="BFX80" s="266"/>
      <c r="BFY80" s="266"/>
      <c r="BFZ80" s="266"/>
      <c r="BGA80" s="266"/>
      <c r="BGB80" s="266"/>
      <c r="BGC80" s="266"/>
      <c r="BGD80" s="266"/>
      <c r="BGE80" s="266"/>
      <c r="BGF80" s="266"/>
      <c r="BGG80" s="266"/>
      <c r="BGH80" s="266"/>
      <c r="BGI80" s="266"/>
      <c r="BGJ80" s="266"/>
      <c r="BGK80" s="266"/>
      <c r="BGL80" s="266"/>
      <c r="BGM80" s="266"/>
      <c r="BGN80" s="266"/>
      <c r="BGO80" s="266"/>
      <c r="BGP80" s="266"/>
      <c r="BGQ80" s="266"/>
      <c r="BGR80" s="266"/>
      <c r="BGS80" s="266"/>
      <c r="BGT80" s="266"/>
      <c r="BGU80" s="266"/>
      <c r="BGV80" s="266"/>
      <c r="BGW80" s="266"/>
      <c r="BGX80" s="266"/>
      <c r="BGY80" s="266"/>
      <c r="BGZ80" s="266"/>
      <c r="BHA80" s="266"/>
      <c r="BHB80" s="266"/>
      <c r="BHC80" s="266"/>
      <c r="BHD80" s="266"/>
      <c r="BHE80" s="266"/>
      <c r="BHF80" s="266"/>
      <c r="BHG80" s="266"/>
      <c r="BHH80" s="266"/>
      <c r="BHI80" s="266"/>
      <c r="BHJ80" s="266"/>
      <c r="BHK80" s="266"/>
      <c r="BHL80" s="266"/>
      <c r="BHM80" s="266"/>
      <c r="BHN80" s="266"/>
      <c r="BHO80" s="266"/>
      <c r="BHP80" s="266"/>
      <c r="BHQ80" s="266"/>
      <c r="BHR80" s="266"/>
      <c r="BHS80" s="266"/>
      <c r="BHT80" s="266"/>
      <c r="BHU80" s="266"/>
      <c r="BHV80" s="266"/>
      <c r="BHW80" s="266"/>
      <c r="BHX80" s="266"/>
      <c r="BHY80" s="266"/>
      <c r="BHZ80" s="266"/>
      <c r="BIA80" s="266"/>
      <c r="BIB80" s="266"/>
      <c r="BIC80" s="266"/>
      <c r="BID80" s="266"/>
      <c r="BIE80" s="266"/>
      <c r="BIF80" s="266"/>
      <c r="BIG80" s="266"/>
      <c r="BIH80" s="266"/>
      <c r="BII80" s="266"/>
      <c r="BIJ80" s="266"/>
      <c r="BIK80" s="266"/>
      <c r="BIL80" s="266"/>
      <c r="BIM80" s="266"/>
      <c r="BIN80" s="266"/>
      <c r="BIO80" s="266"/>
      <c r="BIP80" s="266"/>
      <c r="BIQ80" s="266"/>
      <c r="BIR80" s="266"/>
      <c r="BIS80" s="266"/>
      <c r="BIT80" s="266"/>
      <c r="BIU80" s="266"/>
      <c r="BIV80" s="266"/>
      <c r="BIW80" s="266"/>
      <c r="BIX80" s="266"/>
      <c r="BIY80" s="266"/>
      <c r="BIZ80" s="266"/>
      <c r="BJA80" s="266"/>
      <c r="BJB80" s="266"/>
      <c r="BJC80" s="266"/>
      <c r="BJD80" s="266"/>
      <c r="BJE80" s="266"/>
      <c r="BJF80" s="266"/>
      <c r="BJG80" s="266"/>
      <c r="BJH80" s="266"/>
      <c r="BJI80" s="266"/>
      <c r="BJJ80" s="266"/>
      <c r="BJK80" s="266"/>
      <c r="BJL80" s="266"/>
      <c r="BJM80" s="266"/>
      <c r="BJN80" s="266"/>
      <c r="BJO80" s="266"/>
      <c r="BJP80" s="266"/>
      <c r="BJQ80" s="266"/>
      <c r="BJR80" s="266"/>
      <c r="BJS80" s="266"/>
      <c r="BJT80" s="266"/>
      <c r="BJU80" s="266"/>
      <c r="BJV80" s="266"/>
      <c r="BJW80" s="266"/>
      <c r="BJX80" s="266"/>
      <c r="BJY80" s="266"/>
      <c r="BJZ80" s="266"/>
      <c r="BKA80" s="266"/>
      <c r="BKB80" s="266"/>
      <c r="BKC80" s="266"/>
      <c r="BKD80" s="266"/>
      <c r="BKE80" s="266"/>
      <c r="BKF80" s="266"/>
      <c r="BKG80" s="266"/>
      <c r="BKH80" s="266"/>
      <c r="BKI80" s="266"/>
      <c r="BKJ80" s="266"/>
      <c r="BKK80" s="266"/>
      <c r="BKL80" s="266"/>
      <c r="BKM80" s="266"/>
      <c r="BKN80" s="266"/>
      <c r="BKO80" s="266"/>
      <c r="BKP80" s="266"/>
      <c r="BKQ80" s="266"/>
      <c r="BKR80" s="266"/>
      <c r="BKS80" s="266"/>
      <c r="BKT80" s="266"/>
      <c r="BKU80" s="266"/>
      <c r="BKV80" s="266"/>
      <c r="BKW80" s="266"/>
      <c r="BKX80" s="266"/>
      <c r="BKY80" s="266"/>
      <c r="BKZ80" s="266"/>
      <c r="BLA80" s="266"/>
      <c r="BLB80" s="266"/>
      <c r="BLC80" s="266"/>
      <c r="BLD80" s="266"/>
      <c r="BLE80" s="266"/>
      <c r="BLF80" s="266"/>
      <c r="BLG80" s="266"/>
      <c r="BLH80" s="266"/>
      <c r="BLI80" s="266"/>
      <c r="BLJ80" s="266"/>
      <c r="BLK80" s="266"/>
      <c r="BLL80" s="266"/>
      <c r="BLM80" s="266"/>
      <c r="BLN80" s="266"/>
      <c r="BLO80" s="266"/>
      <c r="BLP80" s="266"/>
      <c r="BLQ80" s="266"/>
      <c r="BLR80" s="266"/>
      <c r="BLS80" s="266"/>
      <c r="BLT80" s="266"/>
      <c r="BLU80" s="266"/>
      <c r="BLV80" s="266"/>
      <c r="BLW80" s="266"/>
      <c r="BLX80" s="266"/>
      <c r="BLY80" s="266"/>
      <c r="BLZ80" s="266"/>
      <c r="BMA80" s="266"/>
      <c r="BMB80" s="266"/>
      <c r="BMC80" s="266"/>
      <c r="BMD80" s="266"/>
      <c r="BME80" s="266"/>
      <c r="BMF80" s="266"/>
      <c r="BMG80" s="266"/>
      <c r="BMH80" s="266"/>
      <c r="BMI80" s="266"/>
      <c r="BMJ80" s="266"/>
      <c r="BMK80" s="266"/>
      <c r="BML80" s="266"/>
      <c r="BMM80" s="266"/>
      <c r="BMN80" s="266"/>
      <c r="BMO80" s="266"/>
      <c r="BMP80" s="266"/>
      <c r="BMQ80" s="266"/>
      <c r="BMR80" s="266"/>
      <c r="BMS80" s="266"/>
      <c r="BMT80" s="266"/>
      <c r="BMU80" s="266"/>
      <c r="BMV80" s="266"/>
      <c r="BMW80" s="266"/>
      <c r="BMX80" s="266"/>
      <c r="BMY80" s="266"/>
      <c r="BMZ80" s="266"/>
      <c r="BNA80" s="266"/>
      <c r="BNB80" s="266"/>
      <c r="BNC80" s="266"/>
      <c r="BND80" s="266"/>
      <c r="BNE80" s="266"/>
      <c r="BNF80" s="266"/>
      <c r="BNG80" s="266"/>
      <c r="BNH80" s="266"/>
      <c r="BNI80" s="266"/>
      <c r="BNJ80" s="266"/>
      <c r="BNK80" s="266"/>
      <c r="BNL80" s="266"/>
      <c r="BNM80" s="266"/>
      <c r="BNN80" s="266"/>
      <c r="BNO80" s="266"/>
      <c r="BNP80" s="266"/>
      <c r="BNQ80" s="266"/>
      <c r="BNR80" s="266"/>
      <c r="BNS80" s="266"/>
      <c r="BNT80" s="266"/>
      <c r="BNU80" s="266"/>
      <c r="BNV80" s="266"/>
      <c r="BNW80" s="266"/>
      <c r="BNX80" s="266"/>
      <c r="BNY80" s="266"/>
      <c r="BNZ80" s="266"/>
      <c r="BOA80" s="266"/>
      <c r="BOB80" s="266"/>
      <c r="BOC80" s="266"/>
      <c r="BOD80" s="266"/>
      <c r="BOE80" s="266"/>
      <c r="BOF80" s="266"/>
      <c r="BOG80" s="266"/>
      <c r="BOH80" s="266"/>
      <c r="BOI80" s="266"/>
      <c r="BOJ80" s="266"/>
      <c r="BOK80" s="266"/>
      <c r="BOL80" s="266"/>
      <c r="BOM80" s="266"/>
      <c r="BON80" s="266"/>
      <c r="BOO80" s="266"/>
      <c r="BOP80" s="266"/>
      <c r="BOQ80" s="266"/>
      <c r="BOR80" s="266"/>
      <c r="BOS80" s="266"/>
      <c r="BOT80" s="266"/>
      <c r="BOU80" s="266"/>
      <c r="BOV80" s="266"/>
      <c r="BOW80" s="266"/>
      <c r="BOX80" s="266"/>
      <c r="BOY80" s="266"/>
      <c r="BOZ80" s="266"/>
      <c r="BPA80" s="266"/>
      <c r="BPB80" s="266"/>
      <c r="BPC80" s="266"/>
      <c r="BPD80" s="266"/>
      <c r="BPE80" s="266"/>
      <c r="BPF80" s="266"/>
      <c r="BPG80" s="266"/>
      <c r="BPH80" s="266"/>
      <c r="BPI80" s="266"/>
      <c r="BPJ80" s="266"/>
      <c r="BPK80" s="266"/>
      <c r="BPL80" s="266"/>
      <c r="BPM80" s="266"/>
      <c r="BPN80" s="266"/>
      <c r="BPO80" s="266"/>
      <c r="BPP80" s="266"/>
      <c r="BPQ80" s="266"/>
      <c r="BPR80" s="266"/>
      <c r="BPS80" s="266"/>
      <c r="BPT80" s="266"/>
      <c r="BPU80" s="266"/>
      <c r="BPV80" s="266"/>
      <c r="BPW80" s="266"/>
      <c r="BPX80" s="266"/>
      <c r="BPY80" s="266"/>
      <c r="BPZ80" s="266"/>
      <c r="BQA80" s="266"/>
      <c r="BQB80" s="266"/>
      <c r="BQC80" s="266"/>
      <c r="BQD80" s="266"/>
      <c r="BQE80" s="266"/>
      <c r="BQF80" s="266"/>
      <c r="BQG80" s="266"/>
      <c r="BQH80" s="266"/>
      <c r="BQI80" s="266"/>
      <c r="BQJ80" s="266"/>
      <c r="BQK80" s="266"/>
      <c r="BQL80" s="266"/>
      <c r="BQM80" s="266"/>
      <c r="BQN80" s="266"/>
      <c r="BQO80" s="266"/>
      <c r="BQP80" s="266"/>
      <c r="BQQ80" s="266"/>
      <c r="BQR80" s="266"/>
      <c r="BQS80" s="266"/>
      <c r="BQT80" s="266"/>
      <c r="BQU80" s="266"/>
      <c r="BQV80" s="266"/>
      <c r="BQW80" s="266"/>
      <c r="BQX80" s="266"/>
      <c r="BQY80" s="266"/>
      <c r="BQZ80" s="266"/>
      <c r="BRA80" s="266"/>
      <c r="BRB80" s="266"/>
      <c r="BRC80" s="266"/>
      <c r="BRD80" s="266"/>
      <c r="BRE80" s="266"/>
      <c r="BRF80" s="266"/>
      <c r="BRG80" s="266"/>
      <c r="BRH80" s="266"/>
      <c r="BRI80" s="266"/>
      <c r="BRJ80" s="266"/>
      <c r="BRK80" s="266"/>
      <c r="BRL80" s="266"/>
      <c r="BRM80" s="266"/>
      <c r="BRN80" s="266"/>
      <c r="BRO80" s="266"/>
      <c r="BRP80" s="266"/>
      <c r="BRQ80" s="266"/>
      <c r="BRR80" s="266"/>
      <c r="BRS80" s="266"/>
      <c r="BRT80" s="266"/>
      <c r="BRU80" s="266"/>
      <c r="BRV80" s="266"/>
      <c r="BRW80" s="266"/>
      <c r="BRX80" s="266"/>
      <c r="BRY80" s="266"/>
      <c r="BRZ80" s="266"/>
      <c r="BSA80" s="266"/>
      <c r="BSB80" s="266"/>
      <c r="BSC80" s="266"/>
      <c r="BSD80" s="266"/>
      <c r="BSE80" s="266"/>
      <c r="BSF80" s="266"/>
      <c r="BSG80" s="266"/>
      <c r="BSH80" s="266"/>
      <c r="BSI80" s="266"/>
      <c r="BSJ80" s="266"/>
      <c r="BSK80" s="266"/>
      <c r="BSL80" s="266"/>
      <c r="BSM80" s="266"/>
      <c r="BSN80" s="266"/>
      <c r="BSO80" s="266"/>
      <c r="BSP80" s="266"/>
      <c r="BSQ80" s="266"/>
      <c r="BSR80" s="266"/>
      <c r="BSS80" s="266"/>
      <c r="BST80" s="266"/>
      <c r="BSU80" s="266"/>
      <c r="BSV80" s="266"/>
      <c r="BSW80" s="266"/>
      <c r="BSX80" s="266"/>
      <c r="BSY80" s="266"/>
      <c r="BSZ80" s="266"/>
      <c r="BTA80" s="266"/>
      <c r="BTB80" s="266"/>
      <c r="BTC80" s="266"/>
      <c r="BTD80" s="266"/>
      <c r="BTE80" s="266"/>
      <c r="BTF80" s="266"/>
      <c r="BTG80" s="266"/>
      <c r="BTH80" s="266"/>
      <c r="BTI80" s="266"/>
      <c r="BTJ80" s="266"/>
      <c r="BTK80" s="266"/>
      <c r="BTL80" s="266"/>
      <c r="BTM80" s="266"/>
      <c r="BTN80" s="266"/>
      <c r="BTO80" s="266"/>
      <c r="BTP80" s="266"/>
      <c r="BTQ80" s="266"/>
      <c r="BTR80" s="266"/>
      <c r="BTS80" s="266"/>
      <c r="BTT80" s="266"/>
      <c r="BTU80" s="266"/>
      <c r="BTV80" s="266"/>
      <c r="BTW80" s="266"/>
      <c r="BTX80" s="266"/>
      <c r="BTY80" s="266"/>
      <c r="BTZ80" s="266"/>
      <c r="BUA80" s="266"/>
      <c r="BUB80" s="266"/>
      <c r="BUC80" s="266"/>
      <c r="BUD80" s="266"/>
      <c r="BUE80" s="266"/>
      <c r="BUF80" s="266"/>
      <c r="BUG80" s="266"/>
      <c r="BUH80" s="266"/>
      <c r="BUI80" s="266"/>
      <c r="BUJ80" s="266"/>
      <c r="BUK80" s="266"/>
      <c r="BUL80" s="266"/>
      <c r="BUM80" s="266"/>
      <c r="BUN80" s="266"/>
      <c r="BUO80" s="266"/>
      <c r="BUP80" s="266"/>
      <c r="BUQ80" s="266"/>
      <c r="BUR80" s="266"/>
      <c r="BUS80" s="266"/>
      <c r="BUT80" s="266"/>
      <c r="BUU80" s="266"/>
      <c r="BUV80" s="266"/>
      <c r="BUW80" s="266"/>
      <c r="BUX80" s="266"/>
      <c r="BUY80" s="266"/>
      <c r="BUZ80" s="266"/>
      <c r="BVA80" s="266"/>
      <c r="BVB80" s="266"/>
      <c r="BVC80" s="266"/>
      <c r="BVD80" s="266"/>
      <c r="BVE80" s="266"/>
      <c r="BVF80" s="266"/>
      <c r="BVG80" s="266"/>
      <c r="BVH80" s="266"/>
      <c r="BVI80" s="266"/>
      <c r="BVJ80" s="266"/>
      <c r="BVK80" s="266"/>
      <c r="BVL80" s="266"/>
      <c r="BVM80" s="266"/>
      <c r="BVN80" s="266"/>
      <c r="BVO80" s="266"/>
      <c r="BVP80" s="266"/>
      <c r="BVQ80" s="266"/>
      <c r="BVR80" s="266"/>
      <c r="BVS80" s="266"/>
      <c r="BVT80" s="266"/>
      <c r="BVU80" s="266"/>
      <c r="BVV80" s="266"/>
      <c r="BVW80" s="266"/>
      <c r="BVX80" s="266"/>
      <c r="BVY80" s="266"/>
      <c r="BVZ80" s="266"/>
      <c r="BWA80" s="266"/>
      <c r="BWB80" s="266"/>
      <c r="BWC80" s="266"/>
      <c r="BWD80" s="266"/>
      <c r="BWE80" s="266"/>
      <c r="BWF80" s="266"/>
      <c r="BWG80" s="266"/>
      <c r="BWH80" s="266"/>
      <c r="BWI80" s="266"/>
      <c r="BWJ80" s="266"/>
      <c r="BWK80" s="266"/>
      <c r="BWL80" s="266"/>
      <c r="BWM80" s="266"/>
      <c r="BWN80" s="266"/>
      <c r="BWO80" s="266"/>
      <c r="BWP80" s="266"/>
      <c r="BWQ80" s="266"/>
      <c r="BWR80" s="266"/>
      <c r="BWS80" s="266"/>
      <c r="BWT80" s="266"/>
      <c r="BWU80" s="266"/>
      <c r="BWV80" s="266"/>
      <c r="BWW80" s="266"/>
      <c r="BWX80" s="266"/>
      <c r="BWY80" s="266"/>
      <c r="BWZ80" s="266"/>
      <c r="BXA80" s="266"/>
      <c r="BXB80" s="266"/>
      <c r="BXC80" s="266"/>
      <c r="BXD80" s="266"/>
      <c r="BXE80" s="266"/>
      <c r="BXF80" s="266"/>
      <c r="BXG80" s="266"/>
      <c r="BXH80" s="266"/>
      <c r="BXI80" s="266"/>
      <c r="BXJ80" s="266"/>
      <c r="BXK80" s="266"/>
      <c r="BXL80" s="266"/>
      <c r="BXM80" s="266"/>
      <c r="BXN80" s="266"/>
      <c r="BXO80" s="266"/>
      <c r="BXP80" s="266"/>
      <c r="BXQ80" s="266"/>
      <c r="BXR80" s="266"/>
      <c r="BXS80" s="266"/>
      <c r="BXT80" s="266"/>
      <c r="BXU80" s="266"/>
      <c r="BXV80" s="266"/>
      <c r="BXW80" s="266"/>
      <c r="BXX80" s="266"/>
      <c r="BXY80" s="266"/>
      <c r="BXZ80" s="266"/>
      <c r="BYA80" s="266"/>
      <c r="BYB80" s="266"/>
      <c r="BYC80" s="266"/>
      <c r="BYD80" s="266"/>
      <c r="BYE80" s="266"/>
      <c r="BYF80" s="266"/>
      <c r="BYG80" s="266"/>
      <c r="BYH80" s="266"/>
      <c r="BYI80" s="266"/>
      <c r="BYJ80" s="266"/>
      <c r="BYK80" s="266"/>
      <c r="BYL80" s="266"/>
      <c r="BYM80" s="266"/>
      <c r="BYN80" s="266"/>
      <c r="BYO80" s="266"/>
      <c r="BYP80" s="266"/>
      <c r="BYQ80" s="266"/>
      <c r="BYR80" s="266"/>
      <c r="BYS80" s="266"/>
      <c r="BYT80" s="266"/>
      <c r="BYU80" s="266"/>
      <c r="BYV80" s="266"/>
      <c r="BYW80" s="266"/>
      <c r="BYX80" s="266"/>
      <c r="BYY80" s="266"/>
      <c r="BYZ80" s="266"/>
      <c r="BZA80" s="266"/>
      <c r="BZB80" s="266"/>
      <c r="BZC80" s="266"/>
      <c r="BZD80" s="266"/>
      <c r="BZE80" s="266"/>
      <c r="BZF80" s="266"/>
      <c r="BZG80" s="266"/>
      <c r="BZH80" s="266"/>
      <c r="BZI80" s="266"/>
      <c r="BZJ80" s="266"/>
      <c r="BZK80" s="266"/>
      <c r="BZL80" s="266"/>
      <c r="BZM80" s="266"/>
      <c r="BZN80" s="266"/>
      <c r="BZO80" s="266"/>
      <c r="BZP80" s="266"/>
      <c r="BZQ80" s="266"/>
      <c r="BZR80" s="266"/>
      <c r="BZS80" s="266"/>
      <c r="BZT80" s="266"/>
      <c r="BZU80" s="266"/>
      <c r="BZV80" s="266"/>
      <c r="BZW80" s="266"/>
      <c r="BZX80" s="266"/>
      <c r="BZY80" s="266"/>
      <c r="BZZ80" s="266"/>
      <c r="CAA80" s="266"/>
      <c r="CAB80" s="266"/>
      <c r="CAC80" s="266"/>
      <c r="CAD80" s="266"/>
      <c r="CAE80" s="266"/>
      <c r="CAF80" s="266"/>
      <c r="CAG80" s="266"/>
      <c r="CAH80" s="266"/>
      <c r="CAI80" s="266"/>
      <c r="CAJ80" s="266"/>
      <c r="CAK80" s="266"/>
      <c r="CAL80" s="266"/>
      <c r="CAM80" s="266"/>
      <c r="CAN80" s="266"/>
      <c r="CAO80" s="266"/>
      <c r="CAP80" s="266"/>
      <c r="CAQ80" s="266"/>
      <c r="CAR80" s="266"/>
      <c r="CAS80" s="266"/>
      <c r="CAT80" s="266"/>
      <c r="CAU80" s="266"/>
      <c r="CAV80" s="266"/>
      <c r="CAW80" s="266"/>
      <c r="CAX80" s="266"/>
      <c r="CAY80" s="266"/>
      <c r="CAZ80" s="266"/>
      <c r="CBA80" s="266"/>
      <c r="CBB80" s="266"/>
      <c r="CBC80" s="266"/>
      <c r="CBD80" s="266"/>
      <c r="CBE80" s="266"/>
      <c r="CBF80" s="266"/>
      <c r="CBG80" s="266"/>
      <c r="CBH80" s="266"/>
      <c r="CBI80" s="266"/>
      <c r="CBJ80" s="266"/>
      <c r="CBK80" s="266"/>
      <c r="CBL80" s="266"/>
      <c r="CBM80" s="266"/>
      <c r="CBN80" s="266"/>
      <c r="CBO80" s="266"/>
      <c r="CBP80" s="266"/>
      <c r="CBQ80" s="266"/>
      <c r="CBR80" s="266"/>
      <c r="CBS80" s="266"/>
      <c r="CBT80" s="266"/>
      <c r="CBU80" s="266"/>
      <c r="CBV80" s="266"/>
      <c r="CBW80" s="266"/>
      <c r="CBX80" s="266"/>
      <c r="CBY80" s="266"/>
      <c r="CBZ80" s="266"/>
      <c r="CCA80" s="266"/>
      <c r="CCB80" s="266"/>
      <c r="CCC80" s="266"/>
      <c r="CCD80" s="266"/>
      <c r="CCE80" s="266"/>
      <c r="CCF80" s="266"/>
      <c r="CCG80" s="266"/>
      <c r="CCH80" s="266"/>
      <c r="CCI80" s="266"/>
      <c r="CCJ80" s="266"/>
      <c r="CCK80" s="266"/>
      <c r="CCL80" s="266"/>
      <c r="CCM80" s="266"/>
      <c r="CCN80" s="266"/>
      <c r="CCO80" s="266"/>
      <c r="CCP80" s="266"/>
      <c r="CCQ80" s="266"/>
      <c r="CCR80" s="266"/>
      <c r="CCS80" s="266"/>
      <c r="CCT80" s="266"/>
      <c r="CCU80" s="266"/>
      <c r="CCV80" s="266"/>
      <c r="CCW80" s="266"/>
      <c r="CCX80" s="266"/>
      <c r="CCY80" s="266"/>
      <c r="CCZ80" s="266"/>
      <c r="CDA80" s="266"/>
      <c r="CDB80" s="266"/>
      <c r="CDC80" s="266"/>
      <c r="CDD80" s="266"/>
      <c r="CDE80" s="266"/>
      <c r="CDF80" s="266"/>
      <c r="CDG80" s="266"/>
      <c r="CDH80" s="266"/>
      <c r="CDI80" s="266"/>
      <c r="CDJ80" s="266"/>
      <c r="CDK80" s="266"/>
      <c r="CDL80" s="266"/>
      <c r="CDM80" s="266"/>
      <c r="CDN80" s="266"/>
      <c r="CDO80" s="266"/>
      <c r="CDP80" s="266"/>
      <c r="CDQ80" s="266"/>
      <c r="CDR80" s="266"/>
      <c r="CDS80" s="266"/>
      <c r="CDT80" s="266"/>
      <c r="CDU80" s="266"/>
      <c r="CDV80" s="266"/>
      <c r="CDW80" s="266"/>
      <c r="CDX80" s="266"/>
      <c r="CDY80" s="266"/>
      <c r="CDZ80" s="266"/>
      <c r="CEA80" s="266"/>
      <c r="CEB80" s="266"/>
      <c r="CEC80" s="266"/>
      <c r="CED80" s="266"/>
      <c r="CEE80" s="266"/>
      <c r="CEF80" s="266"/>
      <c r="CEG80" s="266"/>
      <c r="CEH80" s="266"/>
      <c r="CEI80" s="266"/>
      <c r="CEJ80" s="266"/>
      <c r="CEK80" s="266"/>
      <c r="CEL80" s="266"/>
      <c r="CEM80" s="266"/>
      <c r="CEN80" s="266"/>
      <c r="CEO80" s="266"/>
      <c r="CEP80" s="266"/>
      <c r="CEQ80" s="266"/>
      <c r="CER80" s="266"/>
      <c r="CES80" s="266"/>
      <c r="CET80" s="266"/>
      <c r="CEU80" s="266"/>
      <c r="CEV80" s="266"/>
      <c r="CEW80" s="266"/>
      <c r="CEX80" s="266"/>
      <c r="CEY80" s="266"/>
      <c r="CEZ80" s="266"/>
      <c r="CFA80" s="266"/>
      <c r="CFB80" s="266"/>
      <c r="CFC80" s="266"/>
      <c r="CFD80" s="266"/>
      <c r="CFE80" s="266"/>
      <c r="CFF80" s="266"/>
      <c r="CFG80" s="266"/>
      <c r="CFH80" s="266"/>
      <c r="CFI80" s="266"/>
      <c r="CFJ80" s="266"/>
      <c r="CFK80" s="266"/>
      <c r="CFL80" s="266"/>
      <c r="CFM80" s="266"/>
      <c r="CFN80" s="266"/>
      <c r="CFO80" s="266"/>
      <c r="CFP80" s="266"/>
      <c r="CFQ80" s="266"/>
      <c r="CFR80" s="266"/>
      <c r="CFS80" s="266"/>
      <c r="CFT80" s="266"/>
      <c r="CFU80" s="266"/>
      <c r="CFV80" s="266"/>
      <c r="CFW80" s="266"/>
      <c r="CFX80" s="266"/>
      <c r="CFY80" s="266"/>
      <c r="CFZ80" s="266"/>
      <c r="CGA80" s="266"/>
      <c r="CGB80" s="266"/>
      <c r="CGC80" s="266"/>
      <c r="CGD80" s="266"/>
      <c r="CGE80" s="266"/>
      <c r="CGF80" s="266"/>
      <c r="CGG80" s="266"/>
      <c r="CGH80" s="266"/>
      <c r="CGI80" s="266"/>
      <c r="CGJ80" s="266"/>
      <c r="CGK80" s="266"/>
      <c r="CGL80" s="266"/>
      <c r="CGM80" s="266"/>
      <c r="CGN80" s="266"/>
      <c r="CGO80" s="266"/>
      <c r="CGP80" s="266"/>
      <c r="CGQ80" s="266"/>
      <c r="CGR80" s="266"/>
      <c r="CGS80" s="266"/>
      <c r="CGT80" s="266"/>
      <c r="CGU80" s="266"/>
      <c r="CGV80" s="266"/>
      <c r="CGW80" s="266"/>
      <c r="CGX80" s="266"/>
      <c r="CGY80" s="266"/>
      <c r="CGZ80" s="266"/>
      <c r="CHA80" s="266"/>
      <c r="CHB80" s="266"/>
      <c r="CHC80" s="266"/>
      <c r="CHD80" s="266"/>
      <c r="CHE80" s="266"/>
      <c r="CHF80" s="266"/>
      <c r="CHG80" s="266"/>
      <c r="CHH80" s="266"/>
      <c r="CHI80" s="266"/>
      <c r="CHJ80" s="266"/>
      <c r="CHK80" s="266"/>
      <c r="CHL80" s="266"/>
      <c r="CHM80" s="266"/>
      <c r="CHN80" s="266"/>
      <c r="CHO80" s="266"/>
      <c r="CHP80" s="266"/>
      <c r="CHQ80" s="266"/>
      <c r="CHR80" s="266"/>
      <c r="CHS80" s="266"/>
      <c r="CHT80" s="266"/>
      <c r="CHU80" s="266"/>
      <c r="CHV80" s="266"/>
      <c r="CHW80" s="266"/>
      <c r="CHX80" s="266"/>
      <c r="CHY80" s="266"/>
      <c r="CHZ80" s="266"/>
      <c r="CIA80" s="266"/>
      <c r="CIB80" s="266"/>
      <c r="CIC80" s="266"/>
      <c r="CID80" s="266"/>
      <c r="CIE80" s="266"/>
      <c r="CIF80" s="266"/>
      <c r="CIG80" s="266"/>
      <c r="CIH80" s="266"/>
      <c r="CII80" s="266"/>
      <c r="CIJ80" s="266"/>
      <c r="CIK80" s="266"/>
      <c r="CIL80" s="266"/>
      <c r="CIM80" s="266"/>
      <c r="CIN80" s="266"/>
      <c r="CIO80" s="266"/>
      <c r="CIP80" s="266"/>
      <c r="CIQ80" s="266"/>
      <c r="CIR80" s="266"/>
      <c r="CIS80" s="266"/>
      <c r="CIT80" s="266"/>
      <c r="CIU80" s="266"/>
      <c r="CIV80" s="266"/>
      <c r="CIW80" s="266"/>
      <c r="CIX80" s="266"/>
      <c r="CIY80" s="266"/>
      <c r="CIZ80" s="266"/>
      <c r="CJA80" s="266"/>
      <c r="CJB80" s="266"/>
      <c r="CJC80" s="266"/>
      <c r="CJD80" s="266"/>
      <c r="CJE80" s="266"/>
      <c r="CJF80" s="266"/>
      <c r="CJG80" s="266"/>
      <c r="CJH80" s="266"/>
      <c r="CJI80" s="266"/>
      <c r="CJJ80" s="266"/>
      <c r="CJK80" s="266"/>
      <c r="CJL80" s="266"/>
      <c r="CJM80" s="266"/>
      <c r="CJN80" s="266"/>
      <c r="CJO80" s="266"/>
      <c r="CJP80" s="266"/>
      <c r="CJQ80" s="266"/>
      <c r="CJR80" s="266"/>
      <c r="CJS80" s="266"/>
      <c r="CJT80" s="266"/>
      <c r="CJU80" s="266"/>
      <c r="CJV80" s="266"/>
      <c r="CJW80" s="266"/>
      <c r="CJX80" s="266"/>
      <c r="CJY80" s="266"/>
      <c r="CJZ80" s="266"/>
      <c r="CKA80" s="266"/>
      <c r="CKB80" s="266"/>
      <c r="CKC80" s="266"/>
      <c r="CKD80" s="266"/>
      <c r="CKE80" s="266"/>
      <c r="CKF80" s="266"/>
      <c r="CKG80" s="266"/>
      <c r="CKH80" s="266"/>
      <c r="CKI80" s="266"/>
      <c r="CKJ80" s="266"/>
      <c r="CKK80" s="266"/>
      <c r="CKL80" s="266"/>
      <c r="CKM80" s="266"/>
      <c r="CKN80" s="266"/>
      <c r="CKO80" s="266"/>
      <c r="CKP80" s="266"/>
      <c r="CKQ80" s="266"/>
      <c r="CKR80" s="266"/>
      <c r="CKS80" s="266"/>
      <c r="CKT80" s="266"/>
      <c r="CKU80" s="266"/>
      <c r="CKV80" s="266"/>
      <c r="CKW80" s="266"/>
      <c r="CKX80" s="266"/>
      <c r="CKY80" s="266"/>
      <c r="CKZ80" s="266"/>
      <c r="CLA80" s="266"/>
      <c r="CLB80" s="266"/>
      <c r="CLC80" s="266"/>
      <c r="CLD80" s="266"/>
      <c r="CLE80" s="266"/>
      <c r="CLF80" s="266"/>
      <c r="CLG80" s="266"/>
      <c r="CLH80" s="266"/>
      <c r="CLI80" s="266"/>
      <c r="CLJ80" s="266"/>
      <c r="CLK80" s="266"/>
      <c r="CLL80" s="266"/>
      <c r="CLM80" s="266"/>
      <c r="CLN80" s="266"/>
      <c r="CLO80" s="266"/>
      <c r="CLP80" s="266"/>
      <c r="CLQ80" s="266"/>
      <c r="CLR80" s="266"/>
      <c r="CLS80" s="266"/>
      <c r="CLT80" s="266"/>
      <c r="CLU80" s="266"/>
      <c r="CLV80" s="266"/>
      <c r="CLW80" s="266"/>
      <c r="CLX80" s="266"/>
      <c r="CLY80" s="266"/>
      <c r="CLZ80" s="266"/>
      <c r="CMA80" s="266"/>
      <c r="CMB80" s="266"/>
      <c r="CMC80" s="266"/>
      <c r="CMD80" s="266"/>
      <c r="CME80" s="266"/>
      <c r="CMF80" s="266"/>
      <c r="CMG80" s="266"/>
      <c r="CMH80" s="266"/>
      <c r="CMI80" s="266"/>
      <c r="CMJ80" s="266"/>
      <c r="CMK80" s="266"/>
      <c r="CML80" s="266"/>
      <c r="CMM80" s="266"/>
      <c r="CMN80" s="266"/>
      <c r="CMO80" s="266"/>
      <c r="CMP80" s="266"/>
      <c r="CMQ80" s="266"/>
      <c r="CMR80" s="266"/>
      <c r="CMS80" s="266"/>
      <c r="CMT80" s="266"/>
      <c r="CMU80" s="266"/>
      <c r="CMV80" s="266"/>
      <c r="CMW80" s="266"/>
      <c r="CMX80" s="266"/>
      <c r="CMY80" s="266"/>
      <c r="CMZ80" s="266"/>
      <c r="CNA80" s="266"/>
      <c r="CNB80" s="266"/>
      <c r="CNC80" s="266"/>
      <c r="CND80" s="266"/>
      <c r="CNE80" s="266"/>
      <c r="CNF80" s="266"/>
      <c r="CNG80" s="266"/>
      <c r="CNH80" s="266"/>
      <c r="CNI80" s="266"/>
      <c r="CNJ80" s="266"/>
      <c r="CNK80" s="266"/>
      <c r="CNL80" s="266"/>
      <c r="CNM80" s="266"/>
      <c r="CNN80" s="266"/>
      <c r="CNO80" s="266"/>
      <c r="CNP80" s="266"/>
      <c r="CNQ80" s="266"/>
      <c r="CNR80" s="266"/>
      <c r="CNS80" s="266"/>
      <c r="CNT80" s="266"/>
      <c r="CNU80" s="266"/>
      <c r="CNV80" s="266"/>
      <c r="CNW80" s="266"/>
      <c r="CNX80" s="266"/>
      <c r="CNY80" s="266"/>
      <c r="CNZ80" s="266"/>
      <c r="COA80" s="266"/>
      <c r="COB80" s="266"/>
      <c r="COC80" s="266"/>
      <c r="COD80" s="266"/>
      <c r="COE80" s="266"/>
      <c r="COF80" s="266"/>
      <c r="COG80" s="266"/>
      <c r="COH80" s="266"/>
      <c r="COI80" s="266"/>
      <c r="COJ80" s="266"/>
      <c r="COK80" s="266"/>
      <c r="COL80" s="266"/>
      <c r="COM80" s="266"/>
      <c r="CON80" s="266"/>
      <c r="COO80" s="266"/>
      <c r="COP80" s="266"/>
      <c r="COQ80" s="266"/>
      <c r="COR80" s="266"/>
      <c r="COS80" s="266"/>
      <c r="COT80" s="266"/>
      <c r="COU80" s="266"/>
      <c r="COV80" s="266"/>
      <c r="COW80" s="266"/>
      <c r="COX80" s="266"/>
      <c r="COY80" s="266"/>
      <c r="COZ80" s="266"/>
      <c r="CPA80" s="266"/>
      <c r="CPB80" s="266"/>
      <c r="CPC80" s="266"/>
      <c r="CPD80" s="266"/>
      <c r="CPE80" s="266"/>
      <c r="CPF80" s="266"/>
      <c r="CPG80" s="266"/>
      <c r="CPH80" s="266"/>
      <c r="CPI80" s="266"/>
      <c r="CPJ80" s="266"/>
      <c r="CPK80" s="266"/>
      <c r="CPL80" s="266"/>
      <c r="CPM80" s="266"/>
      <c r="CPN80" s="266"/>
      <c r="CPO80" s="266"/>
      <c r="CPP80" s="266"/>
      <c r="CPQ80" s="266"/>
      <c r="CPR80" s="266"/>
      <c r="CPS80" s="266"/>
      <c r="CPT80" s="266"/>
      <c r="CPU80" s="266"/>
      <c r="CPV80" s="266"/>
      <c r="CPW80" s="266"/>
      <c r="CPX80" s="266"/>
      <c r="CPY80" s="266"/>
      <c r="CPZ80" s="266"/>
      <c r="CQA80" s="266"/>
      <c r="CQB80" s="266"/>
      <c r="CQC80" s="266"/>
      <c r="CQD80" s="266"/>
      <c r="CQE80" s="266"/>
      <c r="CQF80" s="266"/>
      <c r="CQG80" s="266"/>
      <c r="CQH80" s="266"/>
      <c r="CQI80" s="266"/>
      <c r="CQJ80" s="266"/>
      <c r="CQK80" s="266"/>
      <c r="CQL80" s="266"/>
      <c r="CQM80" s="266"/>
      <c r="CQN80" s="266"/>
      <c r="CQO80" s="266"/>
      <c r="CQP80" s="266"/>
      <c r="CQQ80" s="266"/>
      <c r="CQR80" s="266"/>
      <c r="CQS80" s="266"/>
      <c r="CQT80" s="266"/>
      <c r="CQU80" s="266"/>
      <c r="CQV80" s="266"/>
      <c r="CQW80" s="266"/>
      <c r="CQX80" s="266"/>
      <c r="CQY80" s="266"/>
      <c r="CQZ80" s="266"/>
      <c r="CRA80" s="266"/>
      <c r="CRB80" s="266"/>
      <c r="CRC80" s="266"/>
      <c r="CRD80" s="266"/>
      <c r="CRE80" s="266"/>
      <c r="CRF80" s="266"/>
      <c r="CRG80" s="266"/>
      <c r="CRH80" s="266"/>
      <c r="CRI80" s="266"/>
      <c r="CRJ80" s="266"/>
      <c r="CRK80" s="266"/>
      <c r="CRL80" s="266"/>
      <c r="CRM80" s="266"/>
      <c r="CRN80" s="266"/>
      <c r="CRO80" s="266"/>
      <c r="CRP80" s="266"/>
      <c r="CRQ80" s="266"/>
      <c r="CRR80" s="266"/>
      <c r="CRS80" s="266"/>
      <c r="CRT80" s="266"/>
      <c r="CRU80" s="266"/>
      <c r="CRV80" s="266"/>
      <c r="CRW80" s="266"/>
      <c r="CRX80" s="266"/>
      <c r="CRY80" s="266"/>
      <c r="CRZ80" s="266"/>
      <c r="CSA80" s="266"/>
      <c r="CSB80" s="266"/>
      <c r="CSC80" s="266"/>
      <c r="CSD80" s="266"/>
      <c r="CSE80" s="266"/>
      <c r="CSF80" s="266"/>
      <c r="CSG80" s="266"/>
      <c r="CSH80" s="266"/>
      <c r="CSI80" s="266"/>
      <c r="CSJ80" s="266"/>
      <c r="CSK80" s="266"/>
      <c r="CSL80" s="266"/>
      <c r="CSM80" s="266"/>
      <c r="CSN80" s="266"/>
      <c r="CSO80" s="266"/>
      <c r="CSP80" s="266"/>
      <c r="CSQ80" s="266"/>
      <c r="CSR80" s="266"/>
      <c r="CSS80" s="266"/>
      <c r="CST80" s="266"/>
      <c r="CSU80" s="266"/>
      <c r="CSV80" s="266"/>
      <c r="CSW80" s="266"/>
      <c r="CSX80" s="266"/>
      <c r="CSY80" s="266"/>
      <c r="CSZ80" s="266"/>
      <c r="CTA80" s="266"/>
      <c r="CTB80" s="266"/>
      <c r="CTC80" s="266"/>
      <c r="CTD80" s="266"/>
      <c r="CTE80" s="266"/>
      <c r="CTF80" s="266"/>
      <c r="CTG80" s="266"/>
      <c r="CTH80" s="266"/>
      <c r="CTI80" s="266"/>
      <c r="CTJ80" s="266"/>
      <c r="CTK80" s="266"/>
      <c r="CTL80" s="266"/>
      <c r="CTM80" s="266"/>
      <c r="CTN80" s="266"/>
      <c r="CTO80" s="266"/>
      <c r="CTP80" s="266"/>
      <c r="CTQ80" s="266"/>
      <c r="CTR80" s="266"/>
      <c r="CTS80" s="266"/>
      <c r="CTT80" s="266"/>
      <c r="CTU80" s="266"/>
      <c r="CTV80" s="266"/>
      <c r="CTW80" s="266"/>
      <c r="CTX80" s="266"/>
      <c r="CTY80" s="266"/>
      <c r="CTZ80" s="266"/>
      <c r="CUA80" s="266"/>
    </row>
    <row r="81" s="30" customFormat="1" spans="1:18">
      <c r="A81" s="268">
        <v>5</v>
      </c>
      <c r="B81" s="268" t="s">
        <v>14</v>
      </c>
      <c r="C81" s="268" t="s">
        <v>54</v>
      </c>
      <c r="D81" s="161" t="s">
        <v>262</v>
      </c>
      <c r="E81" s="29" t="s">
        <v>139</v>
      </c>
      <c r="F81" s="161"/>
      <c r="G81" s="379" t="s">
        <v>768</v>
      </c>
      <c r="H81" s="161" t="s">
        <v>867</v>
      </c>
      <c r="I81" s="161"/>
      <c r="J81" s="161"/>
      <c r="K81" s="161"/>
      <c r="L81" s="31" t="s">
        <v>667</v>
      </c>
      <c r="M81" s="29" t="s">
        <v>44</v>
      </c>
      <c r="N81" s="313">
        <v>45897</v>
      </c>
      <c r="O81" s="177">
        <v>46080</v>
      </c>
      <c r="P81" s="287">
        <v>100</v>
      </c>
      <c r="Q81" s="294"/>
      <c r="R81" s="295" t="s">
        <v>145</v>
      </c>
    </row>
    <row r="82" s="30" customFormat="1" spans="1:18">
      <c r="A82" s="268">
        <v>6</v>
      </c>
      <c r="B82" s="268" t="s">
        <v>14</v>
      </c>
      <c r="C82" s="268" t="s">
        <v>54</v>
      </c>
      <c r="D82" s="161" t="s">
        <v>262</v>
      </c>
      <c r="E82" s="29" t="s">
        <v>139</v>
      </c>
      <c r="F82" s="31"/>
      <c r="G82" s="379" t="s">
        <v>768</v>
      </c>
      <c r="H82" s="31" t="s">
        <v>868</v>
      </c>
      <c r="I82" s="119" t="s">
        <v>869</v>
      </c>
      <c r="J82" s="31"/>
      <c r="K82" s="31"/>
      <c r="L82" s="31" t="s">
        <v>667</v>
      </c>
      <c r="M82" s="29" t="s">
        <v>44</v>
      </c>
      <c r="N82" s="313">
        <v>45897</v>
      </c>
      <c r="O82" s="177">
        <v>46080</v>
      </c>
      <c r="P82" s="287">
        <v>100</v>
      </c>
      <c r="Q82" s="294"/>
      <c r="R82" s="295" t="s">
        <v>145</v>
      </c>
    </row>
    <row r="83" s="30" customFormat="1" spans="1:18">
      <c r="A83" s="268">
        <v>7</v>
      </c>
      <c r="B83" s="268" t="s">
        <v>14</v>
      </c>
      <c r="C83" s="268" t="s">
        <v>54</v>
      </c>
      <c r="D83" s="161" t="s">
        <v>262</v>
      </c>
      <c r="E83" s="29" t="s">
        <v>139</v>
      </c>
      <c r="F83" s="31"/>
      <c r="G83" s="379" t="s">
        <v>768</v>
      </c>
      <c r="H83" s="31" t="s">
        <v>870</v>
      </c>
      <c r="I83" s="119"/>
      <c r="J83" s="31"/>
      <c r="K83" s="31"/>
      <c r="L83" s="31" t="s">
        <v>667</v>
      </c>
      <c r="M83" s="29" t="s">
        <v>44</v>
      </c>
      <c r="N83" s="313">
        <v>45897</v>
      </c>
      <c r="O83" s="177">
        <v>46080</v>
      </c>
      <c r="P83" s="287">
        <v>100</v>
      </c>
      <c r="Q83" s="294"/>
      <c r="R83" s="295" t="s">
        <v>145</v>
      </c>
    </row>
    <row r="84" s="30" customFormat="1" spans="1:18">
      <c r="A84" s="268">
        <v>90</v>
      </c>
      <c r="B84" s="268" t="s">
        <v>13</v>
      </c>
      <c r="C84" s="268" t="s">
        <v>37</v>
      </c>
      <c r="D84" s="82" t="s">
        <v>330</v>
      </c>
      <c r="E84" s="302" t="s">
        <v>669</v>
      </c>
      <c r="F84" s="273" t="s">
        <v>871</v>
      </c>
      <c r="G84" s="273" t="s">
        <v>670</v>
      </c>
      <c r="H84" s="303" t="s">
        <v>872</v>
      </c>
      <c r="I84" s="274">
        <v>2017.3</v>
      </c>
      <c r="J84" s="273" t="s">
        <v>873</v>
      </c>
      <c r="K84" s="273">
        <v>0.001</v>
      </c>
      <c r="L84" s="31" t="s">
        <v>667</v>
      </c>
      <c r="M84" s="261" t="s">
        <v>674</v>
      </c>
      <c r="N84" s="94">
        <v>45735</v>
      </c>
      <c r="O84" s="94">
        <v>46099</v>
      </c>
      <c r="P84" s="29">
        <v>336</v>
      </c>
      <c r="Q84" s="85" t="s">
        <v>874</v>
      </c>
      <c r="R84" s="251"/>
    </row>
    <row r="85" s="30" customFormat="1" spans="1:18">
      <c r="A85" s="268">
        <v>91</v>
      </c>
      <c r="B85" s="268" t="s">
        <v>13</v>
      </c>
      <c r="C85" s="268" t="s">
        <v>37</v>
      </c>
      <c r="D85" s="82" t="s">
        <v>330</v>
      </c>
      <c r="E85" s="304" t="s">
        <v>669</v>
      </c>
      <c r="F85" s="257" t="s">
        <v>875</v>
      </c>
      <c r="G85" s="305" t="s">
        <v>670</v>
      </c>
      <c r="H85" s="306" t="s">
        <v>876</v>
      </c>
      <c r="I85" s="314">
        <v>2017.3</v>
      </c>
      <c r="J85" s="305" t="s">
        <v>672</v>
      </c>
      <c r="K85" s="305">
        <v>0.001</v>
      </c>
      <c r="L85" s="257" t="s">
        <v>667</v>
      </c>
      <c r="M85" s="161" t="s">
        <v>674</v>
      </c>
      <c r="N85" s="94">
        <v>45735</v>
      </c>
      <c r="O85" s="94">
        <v>46099</v>
      </c>
      <c r="P85" s="29">
        <v>336</v>
      </c>
      <c r="Q85" s="85" t="s">
        <v>877</v>
      </c>
      <c r="R85" s="251"/>
    </row>
    <row r="86" s="30" customFormat="1" spans="1:2575">
      <c r="A86" s="268">
        <v>92</v>
      </c>
      <c r="B86" s="268" t="s">
        <v>15</v>
      </c>
      <c r="C86" s="268" t="s">
        <v>37</v>
      </c>
      <c r="D86" s="82" t="s">
        <v>675</v>
      </c>
      <c r="E86" s="29" t="s">
        <v>665</v>
      </c>
      <c r="F86" s="264"/>
      <c r="G86" s="264"/>
      <c r="H86" s="119" t="s">
        <v>878</v>
      </c>
      <c r="I86" s="264"/>
      <c r="J86" s="264"/>
      <c r="K86" s="264"/>
      <c r="L86" s="31" t="s">
        <v>667</v>
      </c>
      <c r="M86" s="29" t="s">
        <v>44</v>
      </c>
      <c r="N86" s="289">
        <v>45741</v>
      </c>
      <c r="O86" s="289">
        <v>46105</v>
      </c>
      <c r="P86" s="29">
        <v>300</v>
      </c>
      <c r="Q86" s="300" t="s">
        <v>879</v>
      </c>
      <c r="R86" s="291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  <c r="AW86" s="266"/>
      <c r="AX86" s="266"/>
      <c r="AY86" s="266"/>
      <c r="AZ86" s="266"/>
      <c r="BA86" s="266"/>
      <c r="BB86" s="266"/>
      <c r="BC86" s="266"/>
      <c r="BD86" s="266"/>
      <c r="BE86" s="266"/>
      <c r="BF86" s="266"/>
      <c r="BG86" s="266"/>
      <c r="BH86" s="266"/>
      <c r="BI86" s="266"/>
      <c r="BJ86" s="266"/>
      <c r="BK86" s="266"/>
      <c r="BL86" s="266"/>
      <c r="BM86" s="266"/>
      <c r="BN86" s="266"/>
      <c r="BO86" s="266"/>
      <c r="BP86" s="266"/>
      <c r="BQ86" s="266"/>
      <c r="BR86" s="266"/>
      <c r="BS86" s="266"/>
      <c r="BT86" s="266"/>
      <c r="BU86" s="266"/>
      <c r="BV86" s="266"/>
      <c r="BW86" s="266"/>
      <c r="BX86" s="266"/>
      <c r="BY86" s="266"/>
      <c r="BZ86" s="266"/>
      <c r="CA86" s="266"/>
      <c r="CB86" s="266"/>
      <c r="CC86" s="266"/>
      <c r="CD86" s="266"/>
      <c r="CE86" s="266"/>
      <c r="CF86" s="266"/>
      <c r="CG86" s="266"/>
      <c r="CH86" s="266"/>
      <c r="CI86" s="266"/>
      <c r="CJ86" s="266"/>
      <c r="CK86" s="266"/>
      <c r="CL86" s="266"/>
      <c r="CM86" s="266"/>
      <c r="CN86" s="266"/>
      <c r="CO86" s="266"/>
      <c r="CP86" s="266"/>
      <c r="CQ86" s="266"/>
      <c r="CR86" s="266"/>
      <c r="CS86" s="266"/>
      <c r="CT86" s="266"/>
      <c r="CU86" s="266"/>
      <c r="CV86" s="266"/>
      <c r="CW86" s="266"/>
      <c r="CX86" s="266"/>
      <c r="CY86" s="266"/>
      <c r="CZ86" s="266"/>
      <c r="DA86" s="266"/>
      <c r="DB86" s="266"/>
      <c r="DC86" s="266"/>
      <c r="DD86" s="266"/>
      <c r="DE86" s="266"/>
      <c r="DF86" s="266"/>
      <c r="DG86" s="266"/>
      <c r="DH86" s="266"/>
      <c r="DI86" s="266"/>
      <c r="DJ86" s="266"/>
      <c r="DK86" s="266"/>
      <c r="DL86" s="266"/>
      <c r="DM86" s="266"/>
      <c r="DN86" s="266"/>
      <c r="DO86" s="266"/>
      <c r="DP86" s="266"/>
      <c r="DQ86" s="266"/>
      <c r="DR86" s="266"/>
      <c r="DS86" s="266"/>
      <c r="DT86" s="266"/>
      <c r="DU86" s="266"/>
      <c r="DV86" s="266"/>
      <c r="DW86" s="266"/>
      <c r="DX86" s="266"/>
      <c r="DY86" s="266"/>
      <c r="DZ86" s="266"/>
      <c r="EA86" s="266"/>
      <c r="EB86" s="266"/>
      <c r="EC86" s="266"/>
      <c r="ED86" s="266"/>
      <c r="EE86" s="266"/>
      <c r="EF86" s="266"/>
      <c r="EG86" s="266"/>
      <c r="EH86" s="266"/>
      <c r="EI86" s="266"/>
      <c r="EJ86" s="266"/>
      <c r="EK86" s="266"/>
      <c r="EL86" s="266"/>
      <c r="EM86" s="266"/>
      <c r="EN86" s="266"/>
      <c r="EO86" s="266"/>
      <c r="EP86" s="266"/>
      <c r="EQ86" s="266"/>
      <c r="ER86" s="266"/>
      <c r="ES86" s="266"/>
      <c r="ET86" s="266"/>
      <c r="EU86" s="266"/>
      <c r="EV86" s="266"/>
      <c r="EW86" s="266"/>
      <c r="EX86" s="266"/>
      <c r="EY86" s="266"/>
      <c r="EZ86" s="266"/>
      <c r="FA86" s="266"/>
      <c r="FB86" s="266"/>
      <c r="FC86" s="266"/>
      <c r="FD86" s="266"/>
      <c r="FE86" s="266"/>
      <c r="FF86" s="266"/>
      <c r="FG86" s="266"/>
      <c r="FH86" s="266"/>
      <c r="FI86" s="266"/>
      <c r="FJ86" s="266"/>
      <c r="FK86" s="266"/>
      <c r="FL86" s="266"/>
      <c r="FM86" s="266"/>
      <c r="FN86" s="266"/>
      <c r="FO86" s="266"/>
      <c r="FP86" s="266"/>
      <c r="FQ86" s="266"/>
      <c r="FR86" s="266"/>
      <c r="FS86" s="266"/>
      <c r="FT86" s="266"/>
      <c r="FU86" s="266"/>
      <c r="FV86" s="266"/>
      <c r="FW86" s="266"/>
      <c r="FX86" s="266"/>
      <c r="FY86" s="266"/>
      <c r="FZ86" s="266"/>
      <c r="GA86" s="266"/>
      <c r="GB86" s="266"/>
      <c r="GC86" s="266"/>
      <c r="GD86" s="266"/>
      <c r="GE86" s="266"/>
      <c r="GF86" s="266"/>
      <c r="GG86" s="266"/>
      <c r="GH86" s="266"/>
      <c r="GI86" s="266"/>
      <c r="GJ86" s="266"/>
      <c r="GK86" s="266"/>
      <c r="GL86" s="266"/>
      <c r="GM86" s="266"/>
      <c r="GN86" s="266"/>
      <c r="GO86" s="266"/>
      <c r="GP86" s="266"/>
      <c r="GQ86" s="266"/>
      <c r="GR86" s="266"/>
      <c r="GS86" s="266"/>
      <c r="GT86" s="266"/>
      <c r="GU86" s="266"/>
      <c r="GV86" s="266"/>
      <c r="GW86" s="266"/>
      <c r="GX86" s="266"/>
      <c r="GY86" s="266"/>
      <c r="GZ86" s="266"/>
      <c r="HA86" s="266"/>
      <c r="HB86" s="266"/>
      <c r="HC86" s="266"/>
      <c r="HD86" s="266"/>
      <c r="HE86" s="266"/>
      <c r="HF86" s="266"/>
      <c r="HG86" s="266"/>
      <c r="HH86" s="266"/>
      <c r="HI86" s="266"/>
      <c r="HJ86" s="266"/>
      <c r="HK86" s="266"/>
      <c r="HL86" s="266"/>
      <c r="HM86" s="266"/>
      <c r="HN86" s="266"/>
      <c r="HO86" s="266"/>
      <c r="HP86" s="266"/>
      <c r="HQ86" s="266"/>
      <c r="HR86" s="266"/>
      <c r="HS86" s="266"/>
      <c r="HT86" s="266"/>
      <c r="HU86" s="266"/>
      <c r="HV86" s="266"/>
      <c r="HW86" s="266"/>
      <c r="HX86" s="266"/>
      <c r="HY86" s="266"/>
      <c r="HZ86" s="266"/>
      <c r="IA86" s="266"/>
      <c r="IB86" s="266"/>
      <c r="IC86" s="266"/>
      <c r="ID86" s="266"/>
      <c r="IE86" s="266"/>
      <c r="IF86" s="266"/>
      <c r="IG86" s="266"/>
      <c r="IH86" s="266"/>
      <c r="II86" s="266"/>
      <c r="IJ86" s="266"/>
      <c r="IK86" s="266"/>
      <c r="IL86" s="266"/>
      <c r="IM86" s="266"/>
      <c r="IN86" s="266"/>
      <c r="IO86" s="266"/>
      <c r="IP86" s="266"/>
      <c r="IQ86" s="266"/>
      <c r="IR86" s="266"/>
      <c r="IS86" s="266"/>
      <c r="IT86" s="266"/>
      <c r="IU86" s="266"/>
      <c r="IV86" s="266"/>
      <c r="IW86" s="266"/>
      <c r="IX86" s="266"/>
      <c r="IY86" s="266"/>
      <c r="IZ86" s="266"/>
      <c r="JA86" s="266"/>
      <c r="JB86" s="266"/>
      <c r="JC86" s="266"/>
      <c r="JD86" s="266"/>
      <c r="JE86" s="266"/>
      <c r="JF86" s="266"/>
      <c r="JG86" s="266"/>
      <c r="JH86" s="266"/>
      <c r="JI86" s="266"/>
      <c r="JJ86" s="266"/>
      <c r="JK86" s="266"/>
      <c r="JL86" s="266"/>
      <c r="JM86" s="266"/>
      <c r="JN86" s="266"/>
      <c r="JO86" s="266"/>
      <c r="JP86" s="266"/>
      <c r="JQ86" s="266"/>
      <c r="JR86" s="266"/>
      <c r="JS86" s="266"/>
      <c r="JT86" s="266"/>
      <c r="JU86" s="266"/>
      <c r="JV86" s="266"/>
      <c r="JW86" s="266"/>
      <c r="JX86" s="266"/>
      <c r="JY86" s="266"/>
      <c r="JZ86" s="266"/>
      <c r="KA86" s="266"/>
      <c r="KB86" s="266"/>
      <c r="KC86" s="266"/>
      <c r="KD86" s="266"/>
      <c r="KE86" s="266"/>
      <c r="KF86" s="266"/>
      <c r="KG86" s="266"/>
      <c r="KH86" s="266"/>
      <c r="KI86" s="266"/>
      <c r="KJ86" s="266"/>
      <c r="KK86" s="266"/>
      <c r="KL86" s="266"/>
      <c r="KM86" s="266"/>
      <c r="KN86" s="266"/>
      <c r="KO86" s="266"/>
      <c r="KP86" s="266"/>
      <c r="KQ86" s="266"/>
      <c r="KR86" s="266"/>
      <c r="KS86" s="266"/>
      <c r="KT86" s="266"/>
      <c r="KU86" s="266"/>
      <c r="KV86" s="266"/>
      <c r="KW86" s="266"/>
      <c r="KX86" s="266"/>
      <c r="KY86" s="266"/>
      <c r="KZ86" s="266"/>
      <c r="LA86" s="266"/>
      <c r="LB86" s="266"/>
      <c r="LC86" s="266"/>
      <c r="LD86" s="266"/>
      <c r="LE86" s="266"/>
      <c r="LF86" s="266"/>
      <c r="LG86" s="266"/>
      <c r="LH86" s="266"/>
      <c r="LI86" s="266"/>
      <c r="LJ86" s="266"/>
      <c r="LK86" s="266"/>
      <c r="LL86" s="266"/>
      <c r="LM86" s="266"/>
      <c r="LN86" s="266"/>
      <c r="LO86" s="266"/>
      <c r="LP86" s="266"/>
      <c r="LQ86" s="266"/>
      <c r="LR86" s="266"/>
      <c r="LS86" s="266"/>
      <c r="LT86" s="266"/>
      <c r="LU86" s="266"/>
      <c r="LV86" s="266"/>
      <c r="LW86" s="266"/>
      <c r="LX86" s="266"/>
      <c r="LY86" s="266"/>
      <c r="LZ86" s="266"/>
      <c r="MA86" s="266"/>
      <c r="MB86" s="266"/>
      <c r="MC86" s="266"/>
      <c r="MD86" s="266"/>
      <c r="ME86" s="266"/>
      <c r="MF86" s="266"/>
      <c r="MG86" s="266"/>
      <c r="MH86" s="266"/>
      <c r="MI86" s="266"/>
      <c r="MJ86" s="266"/>
      <c r="MK86" s="266"/>
      <c r="ML86" s="266"/>
      <c r="MM86" s="266"/>
      <c r="MN86" s="266"/>
      <c r="MO86" s="266"/>
      <c r="MP86" s="266"/>
      <c r="MQ86" s="266"/>
      <c r="MR86" s="266"/>
      <c r="MS86" s="266"/>
      <c r="MT86" s="266"/>
      <c r="MU86" s="266"/>
      <c r="MV86" s="266"/>
      <c r="MW86" s="266"/>
      <c r="MX86" s="266"/>
      <c r="MY86" s="266"/>
      <c r="MZ86" s="266"/>
      <c r="NA86" s="266"/>
      <c r="NB86" s="266"/>
      <c r="NC86" s="266"/>
      <c r="ND86" s="266"/>
      <c r="NE86" s="266"/>
      <c r="NF86" s="266"/>
      <c r="NG86" s="266"/>
      <c r="NH86" s="266"/>
      <c r="NI86" s="266"/>
      <c r="NJ86" s="266"/>
      <c r="NK86" s="266"/>
      <c r="NL86" s="266"/>
      <c r="NM86" s="266"/>
      <c r="NN86" s="266"/>
      <c r="NO86" s="266"/>
      <c r="NP86" s="266"/>
      <c r="NQ86" s="266"/>
      <c r="NR86" s="266"/>
      <c r="NS86" s="266"/>
      <c r="NT86" s="266"/>
      <c r="NU86" s="266"/>
      <c r="NV86" s="266"/>
      <c r="NW86" s="266"/>
      <c r="NX86" s="266"/>
      <c r="NY86" s="266"/>
      <c r="NZ86" s="266"/>
      <c r="OA86" s="266"/>
      <c r="OB86" s="266"/>
      <c r="OC86" s="266"/>
      <c r="OD86" s="266"/>
      <c r="OE86" s="266"/>
      <c r="OF86" s="266"/>
      <c r="OG86" s="266"/>
      <c r="OH86" s="266"/>
      <c r="OI86" s="266"/>
      <c r="OJ86" s="266"/>
      <c r="OK86" s="266"/>
      <c r="OL86" s="266"/>
      <c r="OM86" s="266"/>
      <c r="ON86" s="266"/>
      <c r="OO86" s="266"/>
      <c r="OP86" s="266"/>
      <c r="OQ86" s="266"/>
      <c r="OR86" s="266"/>
      <c r="OS86" s="266"/>
      <c r="OT86" s="266"/>
      <c r="OU86" s="266"/>
      <c r="OV86" s="266"/>
      <c r="OW86" s="266"/>
      <c r="OX86" s="266"/>
      <c r="OY86" s="266"/>
      <c r="OZ86" s="266"/>
      <c r="PA86" s="266"/>
      <c r="PB86" s="266"/>
      <c r="PC86" s="266"/>
      <c r="PD86" s="266"/>
      <c r="PE86" s="266"/>
      <c r="PF86" s="266"/>
      <c r="PG86" s="266"/>
      <c r="PH86" s="266"/>
      <c r="PI86" s="266"/>
      <c r="PJ86" s="266"/>
      <c r="PK86" s="266"/>
      <c r="PL86" s="266"/>
      <c r="PM86" s="266"/>
      <c r="PN86" s="266"/>
      <c r="PO86" s="266"/>
      <c r="PP86" s="266"/>
      <c r="PQ86" s="266"/>
      <c r="PR86" s="266"/>
      <c r="PS86" s="266"/>
      <c r="PT86" s="266"/>
      <c r="PU86" s="266"/>
      <c r="PV86" s="266"/>
      <c r="PW86" s="266"/>
      <c r="PX86" s="266"/>
      <c r="PY86" s="266"/>
      <c r="PZ86" s="266"/>
      <c r="QA86" s="266"/>
      <c r="QB86" s="266"/>
      <c r="QC86" s="266"/>
      <c r="QD86" s="266"/>
      <c r="QE86" s="266"/>
      <c r="QF86" s="266"/>
      <c r="QG86" s="266"/>
      <c r="QH86" s="266"/>
      <c r="QI86" s="266"/>
      <c r="QJ86" s="266"/>
      <c r="QK86" s="266"/>
      <c r="QL86" s="266"/>
      <c r="QM86" s="266"/>
      <c r="QN86" s="266"/>
      <c r="QO86" s="266"/>
      <c r="QP86" s="266"/>
      <c r="QQ86" s="266"/>
      <c r="QR86" s="266"/>
      <c r="QS86" s="266"/>
      <c r="QT86" s="266"/>
      <c r="QU86" s="266"/>
      <c r="QV86" s="266"/>
      <c r="QW86" s="266"/>
      <c r="QX86" s="266"/>
      <c r="QY86" s="266"/>
      <c r="QZ86" s="266"/>
      <c r="RA86" s="266"/>
      <c r="RB86" s="266"/>
      <c r="RC86" s="266"/>
      <c r="RD86" s="266"/>
      <c r="RE86" s="266"/>
      <c r="RF86" s="266"/>
      <c r="RG86" s="266"/>
      <c r="RH86" s="266"/>
      <c r="RI86" s="266"/>
      <c r="RJ86" s="266"/>
      <c r="RK86" s="266"/>
      <c r="RL86" s="266"/>
      <c r="RM86" s="266"/>
      <c r="RN86" s="266"/>
      <c r="RO86" s="266"/>
      <c r="RP86" s="266"/>
      <c r="RQ86" s="266"/>
      <c r="RR86" s="266"/>
      <c r="RS86" s="266"/>
      <c r="RT86" s="266"/>
      <c r="RU86" s="266"/>
      <c r="RV86" s="266"/>
      <c r="RW86" s="266"/>
      <c r="RX86" s="266"/>
      <c r="RY86" s="266"/>
      <c r="RZ86" s="266"/>
      <c r="SA86" s="266"/>
      <c r="SB86" s="266"/>
      <c r="SC86" s="266"/>
      <c r="SD86" s="266"/>
      <c r="SE86" s="266"/>
      <c r="SF86" s="266"/>
      <c r="SG86" s="266"/>
      <c r="SH86" s="266"/>
      <c r="SI86" s="266"/>
      <c r="SJ86" s="266"/>
      <c r="SK86" s="266"/>
      <c r="SL86" s="266"/>
      <c r="SM86" s="266"/>
      <c r="SN86" s="266"/>
      <c r="SO86" s="266"/>
      <c r="SP86" s="266"/>
      <c r="SQ86" s="266"/>
      <c r="SR86" s="266"/>
      <c r="SS86" s="266"/>
      <c r="ST86" s="266"/>
      <c r="SU86" s="266"/>
      <c r="SV86" s="266"/>
      <c r="SW86" s="266"/>
      <c r="SX86" s="266"/>
      <c r="SY86" s="266"/>
      <c r="SZ86" s="266"/>
      <c r="TA86" s="266"/>
      <c r="TB86" s="266"/>
      <c r="TC86" s="266"/>
      <c r="TD86" s="266"/>
      <c r="TE86" s="266"/>
      <c r="TF86" s="266"/>
      <c r="TG86" s="266"/>
      <c r="TH86" s="266"/>
      <c r="TI86" s="266"/>
      <c r="TJ86" s="266"/>
      <c r="TK86" s="266"/>
      <c r="TL86" s="266"/>
      <c r="TM86" s="266"/>
      <c r="TN86" s="266"/>
      <c r="TO86" s="266"/>
      <c r="TP86" s="266"/>
      <c r="TQ86" s="266"/>
      <c r="TR86" s="266"/>
      <c r="TS86" s="266"/>
      <c r="TT86" s="266"/>
      <c r="TU86" s="266"/>
      <c r="TV86" s="266"/>
      <c r="TW86" s="266"/>
      <c r="TX86" s="266"/>
      <c r="TY86" s="266"/>
      <c r="TZ86" s="266"/>
      <c r="UA86" s="266"/>
      <c r="UB86" s="266"/>
      <c r="UC86" s="266"/>
      <c r="UD86" s="266"/>
      <c r="UE86" s="266"/>
      <c r="UF86" s="266"/>
      <c r="UG86" s="266"/>
      <c r="UH86" s="266"/>
      <c r="UI86" s="266"/>
      <c r="UJ86" s="266"/>
      <c r="UK86" s="266"/>
      <c r="UL86" s="266"/>
      <c r="UM86" s="266"/>
      <c r="UN86" s="266"/>
      <c r="UO86" s="266"/>
      <c r="UP86" s="266"/>
      <c r="UQ86" s="266"/>
      <c r="UR86" s="266"/>
      <c r="US86" s="266"/>
      <c r="UT86" s="266"/>
      <c r="UU86" s="266"/>
      <c r="UV86" s="266"/>
      <c r="UW86" s="266"/>
      <c r="UX86" s="266"/>
      <c r="UY86" s="266"/>
      <c r="UZ86" s="266"/>
      <c r="VA86" s="266"/>
      <c r="VB86" s="266"/>
      <c r="VC86" s="266"/>
      <c r="VD86" s="266"/>
      <c r="VE86" s="266"/>
      <c r="VF86" s="266"/>
      <c r="VG86" s="266"/>
      <c r="VH86" s="266"/>
      <c r="VI86" s="266"/>
      <c r="VJ86" s="266"/>
      <c r="VK86" s="266"/>
      <c r="VL86" s="266"/>
      <c r="VM86" s="266"/>
      <c r="VN86" s="266"/>
      <c r="VO86" s="266"/>
      <c r="VP86" s="266"/>
      <c r="VQ86" s="266"/>
      <c r="VR86" s="266"/>
      <c r="VS86" s="266"/>
      <c r="VT86" s="266"/>
      <c r="VU86" s="266"/>
      <c r="VV86" s="266"/>
      <c r="VW86" s="266"/>
      <c r="VX86" s="266"/>
      <c r="VY86" s="266"/>
      <c r="VZ86" s="266"/>
      <c r="WA86" s="266"/>
      <c r="WB86" s="266"/>
      <c r="WC86" s="266"/>
      <c r="WD86" s="266"/>
      <c r="WE86" s="266"/>
      <c r="WF86" s="266"/>
      <c r="WG86" s="266"/>
      <c r="WH86" s="266"/>
      <c r="WI86" s="266"/>
      <c r="WJ86" s="266"/>
      <c r="WK86" s="266"/>
      <c r="WL86" s="266"/>
      <c r="WM86" s="266"/>
      <c r="WN86" s="266"/>
      <c r="WO86" s="266"/>
      <c r="WP86" s="266"/>
      <c r="WQ86" s="266"/>
      <c r="WR86" s="266"/>
      <c r="WS86" s="266"/>
      <c r="WT86" s="266"/>
      <c r="WU86" s="266"/>
      <c r="WV86" s="266"/>
      <c r="WW86" s="266"/>
      <c r="WX86" s="266"/>
      <c r="WY86" s="266"/>
      <c r="WZ86" s="266"/>
      <c r="XA86" s="266"/>
      <c r="XB86" s="266"/>
      <c r="XC86" s="266"/>
      <c r="XD86" s="266"/>
      <c r="XE86" s="266"/>
      <c r="XF86" s="266"/>
      <c r="XG86" s="266"/>
      <c r="XH86" s="266"/>
      <c r="XI86" s="266"/>
      <c r="XJ86" s="266"/>
      <c r="XK86" s="266"/>
      <c r="XL86" s="266"/>
      <c r="XM86" s="266"/>
      <c r="XN86" s="266"/>
      <c r="XO86" s="266"/>
      <c r="XP86" s="266"/>
      <c r="XQ86" s="266"/>
      <c r="XR86" s="266"/>
      <c r="XS86" s="266"/>
      <c r="XT86" s="266"/>
      <c r="XU86" s="266"/>
      <c r="XV86" s="266"/>
      <c r="XW86" s="266"/>
      <c r="XX86" s="266"/>
      <c r="XY86" s="266"/>
      <c r="XZ86" s="266"/>
      <c r="YA86" s="266"/>
      <c r="YB86" s="266"/>
      <c r="YC86" s="266"/>
      <c r="YD86" s="266"/>
      <c r="YE86" s="266"/>
      <c r="YF86" s="266"/>
      <c r="YG86" s="266"/>
      <c r="YH86" s="266"/>
      <c r="YI86" s="266"/>
      <c r="YJ86" s="266"/>
      <c r="YK86" s="266"/>
      <c r="YL86" s="266"/>
      <c r="YM86" s="266"/>
      <c r="YN86" s="266"/>
      <c r="YO86" s="266"/>
      <c r="YP86" s="266"/>
      <c r="YQ86" s="266"/>
      <c r="YR86" s="266"/>
      <c r="YS86" s="266"/>
      <c r="YT86" s="266"/>
      <c r="YU86" s="266"/>
      <c r="YV86" s="266"/>
      <c r="YW86" s="266"/>
      <c r="YX86" s="266"/>
      <c r="YY86" s="266"/>
      <c r="YZ86" s="266"/>
      <c r="ZA86" s="266"/>
      <c r="ZB86" s="266"/>
      <c r="ZC86" s="266"/>
      <c r="ZD86" s="266"/>
      <c r="ZE86" s="266"/>
      <c r="ZF86" s="266"/>
      <c r="ZG86" s="266"/>
      <c r="ZH86" s="266"/>
      <c r="ZI86" s="266"/>
      <c r="ZJ86" s="266"/>
      <c r="ZK86" s="266"/>
      <c r="ZL86" s="266"/>
      <c r="ZM86" s="266"/>
      <c r="ZN86" s="266"/>
      <c r="ZO86" s="266"/>
      <c r="ZP86" s="266"/>
      <c r="ZQ86" s="266"/>
      <c r="ZR86" s="266"/>
      <c r="ZS86" s="266"/>
      <c r="ZT86" s="266"/>
      <c r="ZU86" s="266"/>
      <c r="ZV86" s="266"/>
      <c r="ZW86" s="266"/>
      <c r="ZX86" s="266"/>
      <c r="ZY86" s="266"/>
      <c r="ZZ86" s="266"/>
      <c r="AAA86" s="266"/>
      <c r="AAB86" s="266"/>
      <c r="AAC86" s="266"/>
      <c r="AAD86" s="266"/>
      <c r="AAE86" s="266"/>
      <c r="AAF86" s="266"/>
      <c r="AAG86" s="266"/>
      <c r="AAH86" s="266"/>
      <c r="AAI86" s="266"/>
      <c r="AAJ86" s="266"/>
      <c r="AAK86" s="266"/>
      <c r="AAL86" s="266"/>
      <c r="AAM86" s="266"/>
      <c r="AAN86" s="266"/>
      <c r="AAO86" s="266"/>
      <c r="AAP86" s="266"/>
      <c r="AAQ86" s="266"/>
      <c r="AAR86" s="266"/>
      <c r="AAS86" s="266"/>
      <c r="AAT86" s="266"/>
      <c r="AAU86" s="266"/>
      <c r="AAV86" s="266"/>
      <c r="AAW86" s="266"/>
      <c r="AAX86" s="266"/>
      <c r="AAY86" s="266"/>
      <c r="AAZ86" s="266"/>
      <c r="ABA86" s="266"/>
      <c r="ABB86" s="266"/>
      <c r="ABC86" s="266"/>
      <c r="ABD86" s="266"/>
      <c r="ABE86" s="266"/>
      <c r="ABF86" s="266"/>
      <c r="ABG86" s="266"/>
      <c r="ABH86" s="266"/>
      <c r="ABI86" s="266"/>
      <c r="ABJ86" s="266"/>
      <c r="ABK86" s="266"/>
      <c r="ABL86" s="266"/>
      <c r="ABM86" s="266"/>
      <c r="ABN86" s="266"/>
      <c r="ABO86" s="266"/>
      <c r="ABP86" s="266"/>
      <c r="ABQ86" s="266"/>
      <c r="ABR86" s="266"/>
      <c r="ABS86" s="266"/>
      <c r="ABT86" s="266"/>
      <c r="ABU86" s="266"/>
      <c r="ABV86" s="266"/>
      <c r="ABW86" s="266"/>
      <c r="ABX86" s="266"/>
      <c r="ABY86" s="266"/>
      <c r="ABZ86" s="266"/>
      <c r="ACA86" s="266"/>
      <c r="ACB86" s="266"/>
      <c r="ACC86" s="266"/>
      <c r="ACD86" s="266"/>
      <c r="ACE86" s="266"/>
      <c r="ACF86" s="266"/>
      <c r="ACG86" s="266"/>
      <c r="ACH86" s="266"/>
      <c r="ACI86" s="266"/>
      <c r="ACJ86" s="266"/>
      <c r="ACK86" s="266"/>
      <c r="ACL86" s="266"/>
      <c r="ACM86" s="266"/>
      <c r="ACN86" s="266"/>
      <c r="ACO86" s="266"/>
      <c r="ACP86" s="266"/>
      <c r="ACQ86" s="266"/>
      <c r="ACR86" s="266"/>
      <c r="ACS86" s="266"/>
      <c r="ACT86" s="266"/>
      <c r="ACU86" s="266"/>
      <c r="ACV86" s="266"/>
      <c r="ACW86" s="266"/>
      <c r="ACX86" s="266"/>
      <c r="ACY86" s="266"/>
      <c r="ACZ86" s="266"/>
      <c r="ADA86" s="266"/>
      <c r="ADB86" s="266"/>
      <c r="ADC86" s="266"/>
      <c r="ADD86" s="266"/>
      <c r="ADE86" s="266"/>
      <c r="ADF86" s="266"/>
      <c r="ADG86" s="266"/>
      <c r="ADH86" s="266"/>
      <c r="ADI86" s="266"/>
      <c r="ADJ86" s="266"/>
      <c r="ADK86" s="266"/>
      <c r="ADL86" s="266"/>
      <c r="ADM86" s="266"/>
      <c r="ADN86" s="266"/>
      <c r="ADO86" s="266"/>
      <c r="ADP86" s="266"/>
      <c r="ADQ86" s="266"/>
      <c r="ADR86" s="266"/>
      <c r="ADS86" s="266"/>
      <c r="ADT86" s="266"/>
      <c r="ADU86" s="266"/>
      <c r="ADV86" s="266"/>
      <c r="ADW86" s="266"/>
      <c r="ADX86" s="266"/>
      <c r="ADY86" s="266"/>
      <c r="ADZ86" s="266"/>
      <c r="AEA86" s="266"/>
      <c r="AEB86" s="266"/>
      <c r="AEC86" s="266"/>
      <c r="AED86" s="266"/>
      <c r="AEE86" s="266"/>
      <c r="AEF86" s="266"/>
      <c r="AEG86" s="266"/>
      <c r="AEH86" s="266"/>
      <c r="AEI86" s="266"/>
      <c r="AEJ86" s="266"/>
      <c r="AEK86" s="266"/>
      <c r="AEL86" s="266"/>
      <c r="AEM86" s="266"/>
      <c r="AEN86" s="266"/>
      <c r="AEO86" s="266"/>
      <c r="AEP86" s="266"/>
      <c r="AEQ86" s="266"/>
      <c r="AER86" s="266"/>
      <c r="AES86" s="266"/>
      <c r="AET86" s="266"/>
      <c r="AEU86" s="266"/>
      <c r="AEV86" s="266"/>
      <c r="AEW86" s="266"/>
      <c r="AEX86" s="266"/>
      <c r="AEY86" s="266"/>
      <c r="AEZ86" s="266"/>
      <c r="AFA86" s="266"/>
      <c r="AFB86" s="266"/>
      <c r="AFC86" s="266"/>
      <c r="AFD86" s="266"/>
      <c r="AFE86" s="266"/>
      <c r="AFF86" s="266"/>
      <c r="AFG86" s="266"/>
      <c r="AFH86" s="266"/>
      <c r="AFI86" s="266"/>
      <c r="AFJ86" s="266"/>
      <c r="AFK86" s="266"/>
      <c r="AFL86" s="266"/>
      <c r="AFM86" s="266"/>
      <c r="AFN86" s="266"/>
      <c r="AFO86" s="266"/>
      <c r="AFP86" s="266"/>
      <c r="AFQ86" s="266"/>
      <c r="AFR86" s="266"/>
      <c r="AFS86" s="266"/>
      <c r="AFT86" s="266"/>
      <c r="AFU86" s="266"/>
      <c r="AFV86" s="266"/>
      <c r="AFW86" s="266"/>
      <c r="AFX86" s="266"/>
      <c r="AFY86" s="266"/>
      <c r="AFZ86" s="266"/>
      <c r="AGA86" s="266"/>
      <c r="AGB86" s="266"/>
      <c r="AGC86" s="266"/>
      <c r="AGD86" s="266"/>
      <c r="AGE86" s="266"/>
      <c r="AGF86" s="266"/>
      <c r="AGG86" s="266"/>
      <c r="AGH86" s="266"/>
      <c r="AGI86" s="266"/>
      <c r="AGJ86" s="266"/>
      <c r="AGK86" s="266"/>
      <c r="AGL86" s="266"/>
      <c r="AGM86" s="266"/>
      <c r="AGN86" s="266"/>
      <c r="AGO86" s="266"/>
      <c r="AGP86" s="266"/>
      <c r="AGQ86" s="266"/>
      <c r="AGR86" s="266"/>
      <c r="AGS86" s="266"/>
      <c r="AGT86" s="266"/>
      <c r="AGU86" s="266"/>
      <c r="AGV86" s="266"/>
      <c r="AGW86" s="266"/>
      <c r="AGX86" s="266"/>
      <c r="AGY86" s="266"/>
      <c r="AGZ86" s="266"/>
      <c r="AHA86" s="266"/>
      <c r="AHB86" s="266"/>
      <c r="AHC86" s="266"/>
      <c r="AHD86" s="266"/>
      <c r="AHE86" s="266"/>
      <c r="AHF86" s="266"/>
      <c r="AHG86" s="266"/>
      <c r="AHH86" s="266"/>
      <c r="AHI86" s="266"/>
      <c r="AHJ86" s="266"/>
      <c r="AHK86" s="266"/>
      <c r="AHL86" s="266"/>
      <c r="AHM86" s="266"/>
      <c r="AHN86" s="266"/>
      <c r="AHO86" s="266"/>
      <c r="AHP86" s="266"/>
      <c r="AHQ86" s="266"/>
      <c r="AHR86" s="266"/>
      <c r="AHS86" s="266"/>
      <c r="AHT86" s="266"/>
      <c r="AHU86" s="266"/>
      <c r="AHV86" s="266"/>
      <c r="AHW86" s="266"/>
      <c r="AHX86" s="266"/>
      <c r="AHY86" s="266"/>
      <c r="AHZ86" s="266"/>
      <c r="AIA86" s="266"/>
      <c r="AIB86" s="266"/>
      <c r="AIC86" s="266"/>
      <c r="AID86" s="266"/>
      <c r="AIE86" s="266"/>
      <c r="AIF86" s="266"/>
      <c r="AIG86" s="266"/>
      <c r="AIH86" s="266"/>
      <c r="AII86" s="266"/>
      <c r="AIJ86" s="266"/>
      <c r="AIK86" s="266"/>
      <c r="AIL86" s="266"/>
      <c r="AIM86" s="266"/>
      <c r="AIN86" s="266"/>
      <c r="AIO86" s="266"/>
      <c r="AIP86" s="266"/>
      <c r="AIQ86" s="266"/>
      <c r="AIR86" s="266"/>
      <c r="AIS86" s="266"/>
      <c r="AIT86" s="266"/>
      <c r="AIU86" s="266"/>
      <c r="AIV86" s="266"/>
      <c r="AIW86" s="266"/>
      <c r="AIX86" s="266"/>
      <c r="AIY86" s="266"/>
      <c r="AIZ86" s="266"/>
      <c r="AJA86" s="266"/>
      <c r="AJB86" s="266"/>
      <c r="AJC86" s="266"/>
      <c r="AJD86" s="266"/>
      <c r="AJE86" s="266"/>
      <c r="AJF86" s="266"/>
      <c r="AJG86" s="266"/>
      <c r="AJH86" s="266"/>
      <c r="AJI86" s="266"/>
      <c r="AJJ86" s="266"/>
      <c r="AJK86" s="266"/>
      <c r="AJL86" s="266"/>
      <c r="AJM86" s="266"/>
      <c r="AJN86" s="266"/>
      <c r="AJO86" s="266"/>
      <c r="AJP86" s="266"/>
      <c r="AJQ86" s="266"/>
      <c r="AJR86" s="266"/>
      <c r="AJS86" s="266"/>
      <c r="AJT86" s="266"/>
      <c r="AJU86" s="266"/>
      <c r="AJV86" s="266"/>
      <c r="AJW86" s="266"/>
      <c r="AJX86" s="266"/>
      <c r="AJY86" s="266"/>
      <c r="AJZ86" s="266"/>
      <c r="AKA86" s="266"/>
      <c r="AKB86" s="266"/>
      <c r="AKC86" s="266"/>
      <c r="AKD86" s="266"/>
      <c r="AKE86" s="266"/>
      <c r="AKF86" s="266"/>
      <c r="AKG86" s="266"/>
      <c r="AKH86" s="266"/>
      <c r="AKI86" s="266"/>
      <c r="AKJ86" s="266"/>
      <c r="AKK86" s="266"/>
      <c r="AKL86" s="266"/>
      <c r="AKM86" s="266"/>
      <c r="AKN86" s="266"/>
      <c r="AKO86" s="266"/>
      <c r="AKP86" s="266"/>
      <c r="AKQ86" s="266"/>
      <c r="AKR86" s="266"/>
      <c r="AKS86" s="266"/>
      <c r="AKT86" s="266"/>
      <c r="AKU86" s="266"/>
      <c r="AKV86" s="266"/>
      <c r="AKW86" s="266"/>
      <c r="AKX86" s="266"/>
      <c r="AKY86" s="266"/>
      <c r="AKZ86" s="266"/>
      <c r="ALA86" s="266"/>
      <c r="ALB86" s="266"/>
      <c r="ALC86" s="266"/>
      <c r="ALD86" s="266"/>
      <c r="ALE86" s="266"/>
      <c r="ALF86" s="266"/>
      <c r="ALG86" s="266"/>
      <c r="ALH86" s="266"/>
      <c r="ALI86" s="266"/>
      <c r="ALJ86" s="266"/>
      <c r="ALK86" s="266"/>
      <c r="ALL86" s="266"/>
      <c r="ALM86" s="266"/>
      <c r="ALN86" s="266"/>
      <c r="ALO86" s="266"/>
      <c r="ALP86" s="266"/>
      <c r="ALQ86" s="266"/>
      <c r="ALR86" s="266"/>
      <c r="ALS86" s="266"/>
      <c r="ALT86" s="266"/>
      <c r="ALU86" s="266"/>
      <c r="ALV86" s="266"/>
      <c r="ALW86" s="266"/>
      <c r="ALX86" s="266"/>
      <c r="ALY86" s="266"/>
      <c r="ALZ86" s="266"/>
      <c r="AMA86" s="266"/>
      <c r="AMB86" s="266"/>
      <c r="AMC86" s="266"/>
      <c r="AMD86" s="266"/>
      <c r="AME86" s="266"/>
      <c r="AMF86" s="266"/>
      <c r="AMG86" s="266"/>
      <c r="AMH86" s="266"/>
      <c r="AMI86" s="266"/>
      <c r="AMJ86" s="266"/>
      <c r="AMK86" s="266"/>
      <c r="AML86" s="266"/>
      <c r="AMM86" s="266"/>
      <c r="AMN86" s="266"/>
      <c r="AMO86" s="266"/>
      <c r="AMP86" s="266"/>
      <c r="AMQ86" s="266"/>
      <c r="AMR86" s="266"/>
      <c r="AMS86" s="266"/>
      <c r="AMT86" s="266"/>
      <c r="AMU86" s="266"/>
      <c r="AMV86" s="266"/>
      <c r="AMW86" s="266"/>
      <c r="AMX86" s="266"/>
      <c r="AMY86" s="266"/>
      <c r="AMZ86" s="266"/>
      <c r="ANA86" s="266"/>
      <c r="ANB86" s="266"/>
      <c r="ANC86" s="266"/>
      <c r="AND86" s="266"/>
      <c r="ANE86" s="266"/>
      <c r="ANF86" s="266"/>
      <c r="ANG86" s="266"/>
      <c r="ANH86" s="266"/>
      <c r="ANI86" s="266"/>
      <c r="ANJ86" s="266"/>
      <c r="ANK86" s="266"/>
      <c r="ANL86" s="266"/>
      <c r="ANM86" s="266"/>
      <c r="ANN86" s="266"/>
      <c r="ANO86" s="266"/>
      <c r="ANP86" s="266"/>
      <c r="ANQ86" s="266"/>
      <c r="ANR86" s="266"/>
      <c r="ANS86" s="266"/>
      <c r="ANT86" s="266"/>
      <c r="ANU86" s="266"/>
      <c r="ANV86" s="266"/>
      <c r="ANW86" s="266"/>
      <c r="ANX86" s="266"/>
      <c r="ANY86" s="266"/>
      <c r="ANZ86" s="266"/>
      <c r="AOA86" s="266"/>
      <c r="AOB86" s="266"/>
      <c r="AOC86" s="266"/>
      <c r="AOD86" s="266"/>
      <c r="AOE86" s="266"/>
      <c r="AOF86" s="266"/>
      <c r="AOG86" s="266"/>
      <c r="AOH86" s="266"/>
      <c r="AOI86" s="266"/>
      <c r="AOJ86" s="266"/>
      <c r="AOK86" s="266"/>
      <c r="AOL86" s="266"/>
      <c r="AOM86" s="266"/>
      <c r="AON86" s="266"/>
      <c r="AOO86" s="266"/>
      <c r="AOP86" s="266"/>
      <c r="AOQ86" s="266"/>
      <c r="AOR86" s="266"/>
      <c r="AOS86" s="266"/>
      <c r="AOT86" s="266"/>
      <c r="AOU86" s="266"/>
      <c r="AOV86" s="266"/>
      <c r="AOW86" s="266"/>
      <c r="AOX86" s="266"/>
      <c r="AOY86" s="266"/>
      <c r="AOZ86" s="266"/>
      <c r="APA86" s="266"/>
      <c r="APB86" s="266"/>
      <c r="APC86" s="266"/>
      <c r="APD86" s="266"/>
      <c r="APE86" s="266"/>
      <c r="APF86" s="266"/>
      <c r="APG86" s="266"/>
      <c r="APH86" s="266"/>
      <c r="API86" s="266"/>
      <c r="APJ86" s="266"/>
      <c r="APK86" s="266"/>
      <c r="APL86" s="266"/>
      <c r="APM86" s="266"/>
      <c r="APN86" s="266"/>
      <c r="APO86" s="266"/>
      <c r="APP86" s="266"/>
      <c r="APQ86" s="266"/>
      <c r="APR86" s="266"/>
      <c r="APS86" s="266"/>
      <c r="APT86" s="266"/>
      <c r="APU86" s="266"/>
      <c r="APV86" s="266"/>
      <c r="APW86" s="266"/>
      <c r="APX86" s="266"/>
      <c r="APY86" s="266"/>
      <c r="APZ86" s="266"/>
      <c r="AQA86" s="266"/>
      <c r="AQB86" s="266"/>
      <c r="AQC86" s="266"/>
      <c r="AQD86" s="266"/>
      <c r="AQE86" s="266"/>
      <c r="AQF86" s="266"/>
      <c r="AQG86" s="266"/>
      <c r="AQH86" s="266"/>
      <c r="AQI86" s="266"/>
      <c r="AQJ86" s="266"/>
      <c r="AQK86" s="266"/>
      <c r="AQL86" s="266"/>
      <c r="AQM86" s="266"/>
      <c r="AQN86" s="266"/>
      <c r="AQO86" s="266"/>
      <c r="AQP86" s="266"/>
      <c r="AQQ86" s="266"/>
      <c r="AQR86" s="266"/>
      <c r="AQS86" s="266"/>
      <c r="AQT86" s="266"/>
      <c r="AQU86" s="266"/>
      <c r="AQV86" s="266"/>
      <c r="AQW86" s="266"/>
      <c r="AQX86" s="266"/>
      <c r="AQY86" s="266"/>
      <c r="AQZ86" s="266"/>
      <c r="ARA86" s="266"/>
      <c r="ARB86" s="266"/>
      <c r="ARC86" s="266"/>
      <c r="ARD86" s="266"/>
      <c r="ARE86" s="266"/>
      <c r="ARF86" s="266"/>
      <c r="ARG86" s="266"/>
      <c r="ARH86" s="266"/>
      <c r="ARI86" s="266"/>
      <c r="ARJ86" s="266"/>
      <c r="ARK86" s="266"/>
      <c r="ARL86" s="266"/>
      <c r="ARM86" s="266"/>
      <c r="ARN86" s="266"/>
      <c r="ARO86" s="266"/>
      <c r="ARP86" s="266"/>
      <c r="ARQ86" s="266"/>
      <c r="ARR86" s="266"/>
      <c r="ARS86" s="266"/>
      <c r="ART86" s="266"/>
      <c r="ARU86" s="266"/>
      <c r="ARV86" s="266"/>
      <c r="ARW86" s="266"/>
      <c r="ARX86" s="266"/>
      <c r="ARY86" s="266"/>
      <c r="ARZ86" s="266"/>
      <c r="ASA86" s="266"/>
      <c r="ASB86" s="266"/>
      <c r="ASC86" s="266"/>
      <c r="ASD86" s="266"/>
      <c r="ASE86" s="266"/>
      <c r="ASF86" s="266"/>
      <c r="ASG86" s="266"/>
      <c r="ASH86" s="266"/>
      <c r="ASI86" s="266"/>
      <c r="ASJ86" s="266"/>
      <c r="ASK86" s="266"/>
      <c r="ASL86" s="266"/>
      <c r="ASM86" s="266"/>
      <c r="ASN86" s="266"/>
      <c r="ASO86" s="266"/>
      <c r="ASP86" s="266"/>
      <c r="ASQ86" s="266"/>
      <c r="ASR86" s="266"/>
      <c r="ASS86" s="266"/>
      <c r="AST86" s="266"/>
      <c r="ASU86" s="266"/>
      <c r="ASV86" s="266"/>
      <c r="ASW86" s="266"/>
      <c r="ASX86" s="266"/>
      <c r="ASY86" s="266"/>
      <c r="ASZ86" s="266"/>
      <c r="ATA86" s="266"/>
      <c r="ATB86" s="266"/>
      <c r="ATC86" s="266"/>
      <c r="ATD86" s="266"/>
      <c r="ATE86" s="266"/>
      <c r="ATF86" s="266"/>
      <c r="ATG86" s="266"/>
      <c r="ATH86" s="266"/>
      <c r="ATI86" s="266"/>
      <c r="ATJ86" s="266"/>
      <c r="ATK86" s="266"/>
      <c r="ATL86" s="266"/>
      <c r="ATM86" s="266"/>
      <c r="ATN86" s="266"/>
      <c r="ATO86" s="266"/>
      <c r="ATP86" s="266"/>
      <c r="ATQ86" s="266"/>
      <c r="ATR86" s="266"/>
      <c r="ATS86" s="266"/>
      <c r="ATT86" s="266"/>
      <c r="ATU86" s="266"/>
      <c r="ATV86" s="266"/>
      <c r="ATW86" s="266"/>
      <c r="ATX86" s="266"/>
      <c r="ATY86" s="266"/>
      <c r="ATZ86" s="266"/>
      <c r="AUA86" s="266"/>
      <c r="AUB86" s="266"/>
      <c r="AUC86" s="266"/>
      <c r="AUD86" s="266"/>
      <c r="AUE86" s="266"/>
      <c r="AUF86" s="266"/>
      <c r="AUG86" s="266"/>
      <c r="AUH86" s="266"/>
      <c r="AUI86" s="266"/>
      <c r="AUJ86" s="266"/>
      <c r="AUK86" s="266"/>
      <c r="AUL86" s="266"/>
      <c r="AUM86" s="266"/>
      <c r="AUN86" s="266"/>
      <c r="AUO86" s="266"/>
      <c r="AUP86" s="266"/>
      <c r="AUQ86" s="266"/>
      <c r="AUR86" s="266"/>
      <c r="AUS86" s="266"/>
      <c r="AUT86" s="266"/>
      <c r="AUU86" s="266"/>
      <c r="AUV86" s="266"/>
      <c r="AUW86" s="266"/>
      <c r="AUX86" s="266"/>
      <c r="AUY86" s="266"/>
      <c r="AUZ86" s="266"/>
      <c r="AVA86" s="266"/>
      <c r="AVB86" s="266"/>
      <c r="AVC86" s="266"/>
      <c r="AVD86" s="266"/>
      <c r="AVE86" s="266"/>
      <c r="AVF86" s="266"/>
      <c r="AVG86" s="266"/>
      <c r="AVH86" s="266"/>
      <c r="AVI86" s="266"/>
      <c r="AVJ86" s="266"/>
      <c r="AVK86" s="266"/>
      <c r="AVL86" s="266"/>
      <c r="AVM86" s="266"/>
      <c r="AVN86" s="266"/>
      <c r="AVO86" s="266"/>
      <c r="AVP86" s="266"/>
      <c r="AVQ86" s="266"/>
      <c r="AVR86" s="266"/>
      <c r="AVS86" s="266"/>
      <c r="AVT86" s="266"/>
      <c r="AVU86" s="266"/>
      <c r="AVV86" s="266"/>
      <c r="AVW86" s="266"/>
      <c r="AVX86" s="266"/>
      <c r="AVY86" s="266"/>
      <c r="AVZ86" s="266"/>
      <c r="AWA86" s="266"/>
      <c r="AWB86" s="266"/>
      <c r="AWC86" s="266"/>
      <c r="AWD86" s="266"/>
      <c r="AWE86" s="266"/>
      <c r="AWF86" s="266"/>
      <c r="AWG86" s="266"/>
      <c r="AWH86" s="266"/>
      <c r="AWI86" s="266"/>
      <c r="AWJ86" s="266"/>
      <c r="AWK86" s="266"/>
      <c r="AWL86" s="266"/>
      <c r="AWM86" s="266"/>
      <c r="AWN86" s="266"/>
      <c r="AWO86" s="266"/>
      <c r="AWP86" s="266"/>
      <c r="AWQ86" s="266"/>
      <c r="AWR86" s="266"/>
      <c r="AWS86" s="266"/>
      <c r="AWT86" s="266"/>
      <c r="AWU86" s="266"/>
      <c r="AWV86" s="266"/>
      <c r="AWW86" s="266"/>
      <c r="AWX86" s="266"/>
      <c r="AWY86" s="266"/>
      <c r="AWZ86" s="266"/>
      <c r="AXA86" s="266"/>
      <c r="AXB86" s="266"/>
      <c r="AXC86" s="266"/>
      <c r="AXD86" s="266"/>
      <c r="AXE86" s="266"/>
      <c r="AXF86" s="266"/>
      <c r="AXG86" s="266"/>
      <c r="AXH86" s="266"/>
      <c r="AXI86" s="266"/>
      <c r="AXJ86" s="266"/>
      <c r="AXK86" s="266"/>
      <c r="AXL86" s="266"/>
      <c r="AXM86" s="266"/>
      <c r="AXN86" s="266"/>
      <c r="AXO86" s="266"/>
      <c r="AXP86" s="266"/>
      <c r="AXQ86" s="266"/>
      <c r="AXR86" s="266"/>
      <c r="AXS86" s="266"/>
      <c r="AXT86" s="266"/>
      <c r="AXU86" s="266"/>
      <c r="AXV86" s="266"/>
      <c r="AXW86" s="266"/>
      <c r="AXX86" s="266"/>
      <c r="AXY86" s="266"/>
      <c r="AXZ86" s="266"/>
      <c r="AYA86" s="266"/>
      <c r="AYB86" s="266"/>
      <c r="AYC86" s="266"/>
      <c r="AYD86" s="266"/>
      <c r="AYE86" s="266"/>
      <c r="AYF86" s="266"/>
      <c r="AYG86" s="266"/>
      <c r="AYH86" s="266"/>
      <c r="AYI86" s="266"/>
      <c r="AYJ86" s="266"/>
      <c r="AYK86" s="266"/>
      <c r="AYL86" s="266"/>
      <c r="AYM86" s="266"/>
      <c r="AYN86" s="266"/>
      <c r="AYO86" s="266"/>
      <c r="AYP86" s="266"/>
      <c r="AYQ86" s="266"/>
      <c r="AYR86" s="266"/>
      <c r="AYS86" s="266"/>
      <c r="AYT86" s="266"/>
      <c r="AYU86" s="266"/>
      <c r="AYV86" s="266"/>
      <c r="AYW86" s="266"/>
      <c r="AYX86" s="266"/>
      <c r="AYY86" s="266"/>
      <c r="AYZ86" s="266"/>
      <c r="AZA86" s="266"/>
      <c r="AZB86" s="266"/>
      <c r="AZC86" s="266"/>
      <c r="AZD86" s="266"/>
      <c r="AZE86" s="266"/>
      <c r="AZF86" s="266"/>
      <c r="AZG86" s="266"/>
      <c r="AZH86" s="266"/>
      <c r="AZI86" s="266"/>
      <c r="AZJ86" s="266"/>
      <c r="AZK86" s="266"/>
      <c r="AZL86" s="266"/>
      <c r="AZM86" s="266"/>
      <c r="AZN86" s="266"/>
      <c r="AZO86" s="266"/>
      <c r="AZP86" s="266"/>
      <c r="AZQ86" s="266"/>
      <c r="AZR86" s="266"/>
      <c r="AZS86" s="266"/>
      <c r="AZT86" s="266"/>
      <c r="AZU86" s="266"/>
      <c r="AZV86" s="266"/>
      <c r="AZW86" s="266"/>
      <c r="AZX86" s="266"/>
      <c r="AZY86" s="266"/>
      <c r="AZZ86" s="266"/>
      <c r="BAA86" s="266"/>
      <c r="BAB86" s="266"/>
      <c r="BAC86" s="266"/>
      <c r="BAD86" s="266"/>
      <c r="BAE86" s="266"/>
      <c r="BAF86" s="266"/>
      <c r="BAG86" s="266"/>
      <c r="BAH86" s="266"/>
      <c r="BAI86" s="266"/>
      <c r="BAJ86" s="266"/>
      <c r="BAK86" s="266"/>
      <c r="BAL86" s="266"/>
      <c r="BAM86" s="266"/>
      <c r="BAN86" s="266"/>
      <c r="BAO86" s="266"/>
      <c r="BAP86" s="266"/>
      <c r="BAQ86" s="266"/>
      <c r="BAR86" s="266"/>
      <c r="BAS86" s="266"/>
      <c r="BAT86" s="266"/>
      <c r="BAU86" s="266"/>
      <c r="BAV86" s="266"/>
      <c r="BAW86" s="266"/>
      <c r="BAX86" s="266"/>
      <c r="BAY86" s="266"/>
      <c r="BAZ86" s="266"/>
      <c r="BBA86" s="266"/>
      <c r="BBB86" s="266"/>
      <c r="BBC86" s="266"/>
      <c r="BBD86" s="266"/>
      <c r="BBE86" s="266"/>
      <c r="BBF86" s="266"/>
      <c r="BBG86" s="266"/>
      <c r="BBH86" s="266"/>
      <c r="BBI86" s="266"/>
      <c r="BBJ86" s="266"/>
      <c r="BBK86" s="266"/>
      <c r="BBL86" s="266"/>
      <c r="BBM86" s="266"/>
      <c r="BBN86" s="266"/>
      <c r="BBO86" s="266"/>
      <c r="BBP86" s="266"/>
      <c r="BBQ86" s="266"/>
      <c r="BBR86" s="266"/>
      <c r="BBS86" s="266"/>
      <c r="BBT86" s="266"/>
      <c r="BBU86" s="266"/>
      <c r="BBV86" s="266"/>
      <c r="BBW86" s="266"/>
      <c r="BBX86" s="266"/>
      <c r="BBY86" s="266"/>
      <c r="BBZ86" s="266"/>
      <c r="BCA86" s="266"/>
      <c r="BCB86" s="266"/>
      <c r="BCC86" s="266"/>
      <c r="BCD86" s="266"/>
      <c r="BCE86" s="266"/>
      <c r="BCF86" s="266"/>
      <c r="BCG86" s="266"/>
      <c r="BCH86" s="266"/>
      <c r="BCI86" s="266"/>
      <c r="BCJ86" s="266"/>
      <c r="BCK86" s="266"/>
      <c r="BCL86" s="266"/>
      <c r="BCM86" s="266"/>
      <c r="BCN86" s="266"/>
      <c r="BCO86" s="266"/>
      <c r="BCP86" s="266"/>
      <c r="BCQ86" s="266"/>
      <c r="BCR86" s="266"/>
      <c r="BCS86" s="266"/>
      <c r="BCT86" s="266"/>
      <c r="BCU86" s="266"/>
      <c r="BCV86" s="266"/>
      <c r="BCW86" s="266"/>
      <c r="BCX86" s="266"/>
      <c r="BCY86" s="266"/>
      <c r="BCZ86" s="266"/>
      <c r="BDA86" s="266"/>
      <c r="BDB86" s="266"/>
      <c r="BDC86" s="266"/>
      <c r="BDD86" s="266"/>
      <c r="BDE86" s="266"/>
      <c r="BDF86" s="266"/>
      <c r="BDG86" s="266"/>
      <c r="BDH86" s="266"/>
      <c r="BDI86" s="266"/>
      <c r="BDJ86" s="266"/>
      <c r="BDK86" s="266"/>
      <c r="BDL86" s="266"/>
      <c r="BDM86" s="266"/>
      <c r="BDN86" s="266"/>
      <c r="BDO86" s="266"/>
      <c r="BDP86" s="266"/>
      <c r="BDQ86" s="266"/>
      <c r="BDR86" s="266"/>
      <c r="BDS86" s="266"/>
      <c r="BDT86" s="266"/>
      <c r="BDU86" s="266"/>
      <c r="BDV86" s="266"/>
      <c r="BDW86" s="266"/>
      <c r="BDX86" s="266"/>
      <c r="BDY86" s="266"/>
      <c r="BDZ86" s="266"/>
      <c r="BEA86" s="266"/>
      <c r="BEB86" s="266"/>
      <c r="BEC86" s="266"/>
      <c r="BED86" s="266"/>
      <c r="BEE86" s="266"/>
      <c r="BEF86" s="266"/>
      <c r="BEG86" s="266"/>
      <c r="BEH86" s="266"/>
      <c r="BEI86" s="266"/>
      <c r="BEJ86" s="266"/>
      <c r="BEK86" s="266"/>
      <c r="BEL86" s="266"/>
      <c r="BEM86" s="266"/>
      <c r="BEN86" s="266"/>
      <c r="BEO86" s="266"/>
      <c r="BEP86" s="266"/>
      <c r="BEQ86" s="266"/>
      <c r="BER86" s="266"/>
      <c r="BES86" s="266"/>
      <c r="BET86" s="266"/>
      <c r="BEU86" s="266"/>
      <c r="BEV86" s="266"/>
      <c r="BEW86" s="266"/>
      <c r="BEX86" s="266"/>
      <c r="BEY86" s="266"/>
      <c r="BEZ86" s="266"/>
      <c r="BFA86" s="266"/>
      <c r="BFB86" s="266"/>
      <c r="BFC86" s="266"/>
      <c r="BFD86" s="266"/>
      <c r="BFE86" s="266"/>
      <c r="BFF86" s="266"/>
      <c r="BFG86" s="266"/>
      <c r="BFH86" s="266"/>
      <c r="BFI86" s="266"/>
      <c r="BFJ86" s="266"/>
      <c r="BFK86" s="266"/>
      <c r="BFL86" s="266"/>
      <c r="BFM86" s="266"/>
      <c r="BFN86" s="266"/>
      <c r="BFO86" s="266"/>
      <c r="BFP86" s="266"/>
      <c r="BFQ86" s="266"/>
      <c r="BFR86" s="266"/>
      <c r="BFS86" s="266"/>
      <c r="BFT86" s="266"/>
      <c r="BFU86" s="266"/>
      <c r="BFV86" s="266"/>
      <c r="BFW86" s="266"/>
      <c r="BFX86" s="266"/>
      <c r="BFY86" s="266"/>
      <c r="BFZ86" s="266"/>
      <c r="BGA86" s="266"/>
      <c r="BGB86" s="266"/>
      <c r="BGC86" s="266"/>
      <c r="BGD86" s="266"/>
      <c r="BGE86" s="266"/>
      <c r="BGF86" s="266"/>
      <c r="BGG86" s="266"/>
      <c r="BGH86" s="266"/>
      <c r="BGI86" s="266"/>
      <c r="BGJ86" s="266"/>
      <c r="BGK86" s="266"/>
      <c r="BGL86" s="266"/>
      <c r="BGM86" s="266"/>
      <c r="BGN86" s="266"/>
      <c r="BGO86" s="266"/>
      <c r="BGP86" s="266"/>
      <c r="BGQ86" s="266"/>
      <c r="BGR86" s="266"/>
      <c r="BGS86" s="266"/>
      <c r="BGT86" s="266"/>
      <c r="BGU86" s="266"/>
      <c r="BGV86" s="266"/>
      <c r="BGW86" s="266"/>
      <c r="BGX86" s="266"/>
      <c r="BGY86" s="266"/>
      <c r="BGZ86" s="266"/>
      <c r="BHA86" s="266"/>
      <c r="BHB86" s="266"/>
      <c r="BHC86" s="266"/>
      <c r="BHD86" s="266"/>
      <c r="BHE86" s="266"/>
      <c r="BHF86" s="266"/>
      <c r="BHG86" s="266"/>
      <c r="BHH86" s="266"/>
      <c r="BHI86" s="266"/>
      <c r="BHJ86" s="266"/>
      <c r="BHK86" s="266"/>
      <c r="BHL86" s="266"/>
      <c r="BHM86" s="266"/>
      <c r="BHN86" s="266"/>
      <c r="BHO86" s="266"/>
      <c r="BHP86" s="266"/>
      <c r="BHQ86" s="266"/>
      <c r="BHR86" s="266"/>
      <c r="BHS86" s="266"/>
      <c r="BHT86" s="266"/>
      <c r="BHU86" s="266"/>
      <c r="BHV86" s="266"/>
      <c r="BHW86" s="266"/>
      <c r="BHX86" s="266"/>
      <c r="BHY86" s="266"/>
      <c r="BHZ86" s="266"/>
      <c r="BIA86" s="266"/>
      <c r="BIB86" s="266"/>
      <c r="BIC86" s="266"/>
      <c r="BID86" s="266"/>
      <c r="BIE86" s="266"/>
      <c r="BIF86" s="266"/>
      <c r="BIG86" s="266"/>
      <c r="BIH86" s="266"/>
      <c r="BII86" s="266"/>
      <c r="BIJ86" s="266"/>
      <c r="BIK86" s="266"/>
      <c r="BIL86" s="266"/>
      <c r="BIM86" s="266"/>
      <c r="BIN86" s="266"/>
      <c r="BIO86" s="266"/>
      <c r="BIP86" s="266"/>
      <c r="BIQ86" s="266"/>
      <c r="BIR86" s="266"/>
      <c r="BIS86" s="266"/>
      <c r="BIT86" s="266"/>
      <c r="BIU86" s="266"/>
      <c r="BIV86" s="266"/>
      <c r="BIW86" s="266"/>
      <c r="BIX86" s="266"/>
      <c r="BIY86" s="266"/>
      <c r="BIZ86" s="266"/>
      <c r="BJA86" s="266"/>
      <c r="BJB86" s="266"/>
      <c r="BJC86" s="266"/>
      <c r="BJD86" s="266"/>
      <c r="BJE86" s="266"/>
      <c r="BJF86" s="266"/>
      <c r="BJG86" s="266"/>
      <c r="BJH86" s="266"/>
      <c r="BJI86" s="266"/>
      <c r="BJJ86" s="266"/>
      <c r="BJK86" s="266"/>
      <c r="BJL86" s="266"/>
      <c r="BJM86" s="266"/>
      <c r="BJN86" s="266"/>
      <c r="BJO86" s="266"/>
      <c r="BJP86" s="266"/>
      <c r="BJQ86" s="266"/>
      <c r="BJR86" s="266"/>
      <c r="BJS86" s="266"/>
      <c r="BJT86" s="266"/>
      <c r="BJU86" s="266"/>
      <c r="BJV86" s="266"/>
      <c r="BJW86" s="266"/>
      <c r="BJX86" s="266"/>
      <c r="BJY86" s="266"/>
      <c r="BJZ86" s="266"/>
      <c r="BKA86" s="266"/>
      <c r="BKB86" s="266"/>
      <c r="BKC86" s="266"/>
      <c r="BKD86" s="266"/>
      <c r="BKE86" s="266"/>
      <c r="BKF86" s="266"/>
      <c r="BKG86" s="266"/>
      <c r="BKH86" s="266"/>
      <c r="BKI86" s="266"/>
      <c r="BKJ86" s="266"/>
      <c r="BKK86" s="266"/>
      <c r="BKL86" s="266"/>
      <c r="BKM86" s="266"/>
      <c r="BKN86" s="266"/>
      <c r="BKO86" s="266"/>
      <c r="BKP86" s="266"/>
      <c r="BKQ86" s="266"/>
      <c r="BKR86" s="266"/>
      <c r="BKS86" s="266"/>
      <c r="BKT86" s="266"/>
      <c r="BKU86" s="266"/>
      <c r="BKV86" s="266"/>
      <c r="BKW86" s="266"/>
      <c r="BKX86" s="266"/>
      <c r="BKY86" s="266"/>
      <c r="BKZ86" s="266"/>
      <c r="BLA86" s="266"/>
      <c r="BLB86" s="266"/>
      <c r="BLC86" s="266"/>
      <c r="BLD86" s="266"/>
      <c r="BLE86" s="266"/>
      <c r="BLF86" s="266"/>
      <c r="BLG86" s="266"/>
      <c r="BLH86" s="266"/>
      <c r="BLI86" s="266"/>
      <c r="BLJ86" s="266"/>
      <c r="BLK86" s="266"/>
      <c r="BLL86" s="266"/>
      <c r="BLM86" s="266"/>
      <c r="BLN86" s="266"/>
      <c r="BLO86" s="266"/>
      <c r="BLP86" s="266"/>
      <c r="BLQ86" s="266"/>
      <c r="BLR86" s="266"/>
      <c r="BLS86" s="266"/>
      <c r="BLT86" s="266"/>
      <c r="BLU86" s="266"/>
      <c r="BLV86" s="266"/>
      <c r="BLW86" s="266"/>
      <c r="BLX86" s="266"/>
      <c r="BLY86" s="266"/>
      <c r="BLZ86" s="266"/>
      <c r="BMA86" s="266"/>
      <c r="BMB86" s="266"/>
      <c r="BMC86" s="266"/>
      <c r="BMD86" s="266"/>
      <c r="BME86" s="266"/>
      <c r="BMF86" s="266"/>
      <c r="BMG86" s="266"/>
      <c r="BMH86" s="266"/>
      <c r="BMI86" s="266"/>
      <c r="BMJ86" s="266"/>
      <c r="BMK86" s="266"/>
      <c r="BML86" s="266"/>
      <c r="BMM86" s="266"/>
      <c r="BMN86" s="266"/>
      <c r="BMO86" s="266"/>
      <c r="BMP86" s="266"/>
      <c r="BMQ86" s="266"/>
      <c r="BMR86" s="266"/>
      <c r="BMS86" s="266"/>
      <c r="BMT86" s="266"/>
      <c r="BMU86" s="266"/>
      <c r="BMV86" s="266"/>
      <c r="BMW86" s="266"/>
      <c r="BMX86" s="266"/>
      <c r="BMY86" s="266"/>
      <c r="BMZ86" s="266"/>
      <c r="BNA86" s="266"/>
      <c r="BNB86" s="266"/>
      <c r="BNC86" s="266"/>
      <c r="BND86" s="266"/>
      <c r="BNE86" s="266"/>
      <c r="BNF86" s="266"/>
      <c r="BNG86" s="266"/>
      <c r="BNH86" s="266"/>
      <c r="BNI86" s="266"/>
      <c r="BNJ86" s="266"/>
      <c r="BNK86" s="266"/>
      <c r="BNL86" s="266"/>
      <c r="BNM86" s="266"/>
      <c r="BNN86" s="266"/>
      <c r="BNO86" s="266"/>
      <c r="BNP86" s="266"/>
      <c r="BNQ86" s="266"/>
      <c r="BNR86" s="266"/>
      <c r="BNS86" s="266"/>
      <c r="BNT86" s="266"/>
      <c r="BNU86" s="266"/>
      <c r="BNV86" s="266"/>
      <c r="BNW86" s="266"/>
      <c r="BNX86" s="266"/>
      <c r="BNY86" s="266"/>
      <c r="BNZ86" s="266"/>
      <c r="BOA86" s="266"/>
      <c r="BOB86" s="266"/>
      <c r="BOC86" s="266"/>
      <c r="BOD86" s="266"/>
      <c r="BOE86" s="266"/>
      <c r="BOF86" s="266"/>
      <c r="BOG86" s="266"/>
      <c r="BOH86" s="266"/>
      <c r="BOI86" s="266"/>
      <c r="BOJ86" s="266"/>
      <c r="BOK86" s="266"/>
      <c r="BOL86" s="266"/>
      <c r="BOM86" s="266"/>
      <c r="BON86" s="266"/>
      <c r="BOO86" s="266"/>
      <c r="BOP86" s="266"/>
      <c r="BOQ86" s="266"/>
      <c r="BOR86" s="266"/>
      <c r="BOS86" s="266"/>
      <c r="BOT86" s="266"/>
      <c r="BOU86" s="266"/>
      <c r="BOV86" s="266"/>
      <c r="BOW86" s="266"/>
      <c r="BOX86" s="266"/>
      <c r="BOY86" s="266"/>
      <c r="BOZ86" s="266"/>
      <c r="BPA86" s="266"/>
      <c r="BPB86" s="266"/>
      <c r="BPC86" s="266"/>
      <c r="BPD86" s="266"/>
      <c r="BPE86" s="266"/>
      <c r="BPF86" s="266"/>
      <c r="BPG86" s="266"/>
      <c r="BPH86" s="266"/>
      <c r="BPI86" s="266"/>
      <c r="BPJ86" s="266"/>
      <c r="BPK86" s="266"/>
      <c r="BPL86" s="266"/>
      <c r="BPM86" s="266"/>
      <c r="BPN86" s="266"/>
      <c r="BPO86" s="266"/>
      <c r="BPP86" s="266"/>
      <c r="BPQ86" s="266"/>
      <c r="BPR86" s="266"/>
      <c r="BPS86" s="266"/>
      <c r="BPT86" s="266"/>
      <c r="BPU86" s="266"/>
      <c r="BPV86" s="266"/>
      <c r="BPW86" s="266"/>
      <c r="BPX86" s="266"/>
      <c r="BPY86" s="266"/>
      <c r="BPZ86" s="266"/>
      <c r="BQA86" s="266"/>
      <c r="BQB86" s="266"/>
      <c r="BQC86" s="266"/>
      <c r="BQD86" s="266"/>
      <c r="BQE86" s="266"/>
      <c r="BQF86" s="266"/>
      <c r="BQG86" s="266"/>
      <c r="BQH86" s="266"/>
      <c r="BQI86" s="266"/>
      <c r="BQJ86" s="266"/>
      <c r="BQK86" s="266"/>
      <c r="BQL86" s="266"/>
      <c r="BQM86" s="266"/>
      <c r="BQN86" s="266"/>
      <c r="BQO86" s="266"/>
      <c r="BQP86" s="266"/>
      <c r="BQQ86" s="266"/>
      <c r="BQR86" s="266"/>
      <c r="BQS86" s="266"/>
      <c r="BQT86" s="266"/>
      <c r="BQU86" s="266"/>
      <c r="BQV86" s="266"/>
      <c r="BQW86" s="266"/>
      <c r="BQX86" s="266"/>
      <c r="BQY86" s="266"/>
      <c r="BQZ86" s="266"/>
      <c r="BRA86" s="266"/>
      <c r="BRB86" s="266"/>
      <c r="BRC86" s="266"/>
      <c r="BRD86" s="266"/>
      <c r="BRE86" s="266"/>
      <c r="BRF86" s="266"/>
      <c r="BRG86" s="266"/>
      <c r="BRH86" s="266"/>
      <c r="BRI86" s="266"/>
      <c r="BRJ86" s="266"/>
      <c r="BRK86" s="266"/>
      <c r="BRL86" s="266"/>
      <c r="BRM86" s="266"/>
      <c r="BRN86" s="266"/>
      <c r="BRO86" s="266"/>
      <c r="BRP86" s="266"/>
      <c r="BRQ86" s="266"/>
      <c r="BRR86" s="266"/>
      <c r="BRS86" s="266"/>
      <c r="BRT86" s="266"/>
      <c r="BRU86" s="266"/>
      <c r="BRV86" s="266"/>
      <c r="BRW86" s="266"/>
      <c r="BRX86" s="266"/>
      <c r="BRY86" s="266"/>
      <c r="BRZ86" s="266"/>
      <c r="BSA86" s="266"/>
      <c r="BSB86" s="266"/>
      <c r="BSC86" s="266"/>
      <c r="BSD86" s="266"/>
      <c r="BSE86" s="266"/>
      <c r="BSF86" s="266"/>
      <c r="BSG86" s="266"/>
      <c r="BSH86" s="266"/>
      <c r="BSI86" s="266"/>
      <c r="BSJ86" s="266"/>
      <c r="BSK86" s="266"/>
      <c r="BSL86" s="266"/>
      <c r="BSM86" s="266"/>
      <c r="BSN86" s="266"/>
      <c r="BSO86" s="266"/>
      <c r="BSP86" s="266"/>
      <c r="BSQ86" s="266"/>
      <c r="BSR86" s="266"/>
      <c r="BSS86" s="266"/>
      <c r="BST86" s="266"/>
      <c r="BSU86" s="266"/>
      <c r="BSV86" s="266"/>
      <c r="BSW86" s="266"/>
      <c r="BSX86" s="266"/>
      <c r="BSY86" s="266"/>
      <c r="BSZ86" s="266"/>
      <c r="BTA86" s="266"/>
      <c r="BTB86" s="266"/>
      <c r="BTC86" s="266"/>
      <c r="BTD86" s="266"/>
      <c r="BTE86" s="266"/>
      <c r="BTF86" s="266"/>
      <c r="BTG86" s="266"/>
      <c r="BTH86" s="266"/>
      <c r="BTI86" s="266"/>
      <c r="BTJ86" s="266"/>
      <c r="BTK86" s="266"/>
      <c r="BTL86" s="266"/>
      <c r="BTM86" s="266"/>
      <c r="BTN86" s="266"/>
      <c r="BTO86" s="266"/>
      <c r="BTP86" s="266"/>
      <c r="BTQ86" s="266"/>
      <c r="BTR86" s="266"/>
      <c r="BTS86" s="266"/>
      <c r="BTT86" s="266"/>
      <c r="BTU86" s="266"/>
      <c r="BTV86" s="266"/>
      <c r="BTW86" s="266"/>
      <c r="BTX86" s="266"/>
      <c r="BTY86" s="266"/>
      <c r="BTZ86" s="266"/>
      <c r="BUA86" s="266"/>
      <c r="BUB86" s="266"/>
      <c r="BUC86" s="266"/>
      <c r="BUD86" s="266"/>
      <c r="BUE86" s="266"/>
      <c r="BUF86" s="266"/>
      <c r="BUG86" s="266"/>
      <c r="BUH86" s="266"/>
      <c r="BUI86" s="266"/>
      <c r="BUJ86" s="266"/>
      <c r="BUK86" s="266"/>
      <c r="BUL86" s="266"/>
      <c r="BUM86" s="266"/>
      <c r="BUN86" s="266"/>
      <c r="BUO86" s="266"/>
      <c r="BUP86" s="266"/>
      <c r="BUQ86" s="266"/>
      <c r="BUR86" s="266"/>
      <c r="BUS86" s="266"/>
      <c r="BUT86" s="266"/>
      <c r="BUU86" s="266"/>
      <c r="BUV86" s="266"/>
      <c r="BUW86" s="266"/>
      <c r="BUX86" s="266"/>
      <c r="BUY86" s="266"/>
      <c r="BUZ86" s="266"/>
      <c r="BVA86" s="266"/>
      <c r="BVB86" s="266"/>
      <c r="BVC86" s="266"/>
      <c r="BVD86" s="266"/>
      <c r="BVE86" s="266"/>
      <c r="BVF86" s="266"/>
      <c r="BVG86" s="266"/>
      <c r="BVH86" s="266"/>
      <c r="BVI86" s="266"/>
      <c r="BVJ86" s="266"/>
      <c r="BVK86" s="266"/>
      <c r="BVL86" s="266"/>
      <c r="BVM86" s="266"/>
      <c r="BVN86" s="266"/>
      <c r="BVO86" s="266"/>
      <c r="BVP86" s="266"/>
      <c r="BVQ86" s="266"/>
      <c r="BVR86" s="266"/>
      <c r="BVS86" s="266"/>
      <c r="BVT86" s="266"/>
      <c r="BVU86" s="266"/>
      <c r="BVV86" s="266"/>
      <c r="BVW86" s="266"/>
      <c r="BVX86" s="266"/>
      <c r="BVY86" s="266"/>
      <c r="BVZ86" s="266"/>
      <c r="BWA86" s="266"/>
      <c r="BWB86" s="266"/>
      <c r="BWC86" s="266"/>
      <c r="BWD86" s="266"/>
      <c r="BWE86" s="266"/>
      <c r="BWF86" s="266"/>
      <c r="BWG86" s="266"/>
      <c r="BWH86" s="266"/>
      <c r="BWI86" s="266"/>
      <c r="BWJ86" s="266"/>
      <c r="BWK86" s="266"/>
      <c r="BWL86" s="266"/>
      <c r="BWM86" s="266"/>
      <c r="BWN86" s="266"/>
      <c r="BWO86" s="266"/>
      <c r="BWP86" s="266"/>
      <c r="BWQ86" s="266"/>
      <c r="BWR86" s="266"/>
      <c r="BWS86" s="266"/>
      <c r="BWT86" s="266"/>
      <c r="BWU86" s="266"/>
      <c r="BWV86" s="266"/>
      <c r="BWW86" s="266"/>
      <c r="BWX86" s="266"/>
      <c r="BWY86" s="266"/>
      <c r="BWZ86" s="266"/>
      <c r="BXA86" s="266"/>
      <c r="BXB86" s="266"/>
      <c r="BXC86" s="266"/>
      <c r="BXD86" s="266"/>
      <c r="BXE86" s="266"/>
      <c r="BXF86" s="266"/>
      <c r="BXG86" s="266"/>
      <c r="BXH86" s="266"/>
      <c r="BXI86" s="266"/>
      <c r="BXJ86" s="266"/>
      <c r="BXK86" s="266"/>
      <c r="BXL86" s="266"/>
      <c r="BXM86" s="266"/>
      <c r="BXN86" s="266"/>
      <c r="BXO86" s="266"/>
      <c r="BXP86" s="266"/>
      <c r="BXQ86" s="266"/>
      <c r="BXR86" s="266"/>
      <c r="BXS86" s="266"/>
      <c r="BXT86" s="266"/>
      <c r="BXU86" s="266"/>
      <c r="BXV86" s="266"/>
      <c r="BXW86" s="266"/>
      <c r="BXX86" s="266"/>
      <c r="BXY86" s="266"/>
      <c r="BXZ86" s="266"/>
      <c r="BYA86" s="266"/>
      <c r="BYB86" s="266"/>
      <c r="BYC86" s="266"/>
      <c r="BYD86" s="266"/>
      <c r="BYE86" s="266"/>
      <c r="BYF86" s="266"/>
      <c r="BYG86" s="266"/>
      <c r="BYH86" s="266"/>
      <c r="BYI86" s="266"/>
      <c r="BYJ86" s="266"/>
      <c r="BYK86" s="266"/>
      <c r="BYL86" s="266"/>
      <c r="BYM86" s="266"/>
      <c r="BYN86" s="266"/>
      <c r="BYO86" s="266"/>
      <c r="BYP86" s="266"/>
      <c r="BYQ86" s="266"/>
      <c r="BYR86" s="266"/>
      <c r="BYS86" s="266"/>
      <c r="BYT86" s="266"/>
      <c r="BYU86" s="266"/>
      <c r="BYV86" s="266"/>
      <c r="BYW86" s="266"/>
      <c r="BYX86" s="266"/>
      <c r="BYY86" s="266"/>
      <c r="BYZ86" s="266"/>
      <c r="BZA86" s="266"/>
      <c r="BZB86" s="266"/>
      <c r="BZC86" s="266"/>
      <c r="BZD86" s="266"/>
      <c r="BZE86" s="266"/>
      <c r="BZF86" s="266"/>
      <c r="BZG86" s="266"/>
      <c r="BZH86" s="266"/>
      <c r="BZI86" s="266"/>
      <c r="BZJ86" s="266"/>
      <c r="BZK86" s="266"/>
      <c r="BZL86" s="266"/>
      <c r="BZM86" s="266"/>
      <c r="BZN86" s="266"/>
      <c r="BZO86" s="266"/>
      <c r="BZP86" s="266"/>
      <c r="BZQ86" s="266"/>
      <c r="BZR86" s="266"/>
      <c r="BZS86" s="266"/>
      <c r="BZT86" s="266"/>
      <c r="BZU86" s="266"/>
      <c r="BZV86" s="266"/>
      <c r="BZW86" s="266"/>
      <c r="BZX86" s="266"/>
      <c r="BZY86" s="266"/>
      <c r="BZZ86" s="266"/>
      <c r="CAA86" s="266"/>
      <c r="CAB86" s="266"/>
      <c r="CAC86" s="266"/>
      <c r="CAD86" s="266"/>
      <c r="CAE86" s="266"/>
      <c r="CAF86" s="266"/>
      <c r="CAG86" s="266"/>
      <c r="CAH86" s="266"/>
      <c r="CAI86" s="266"/>
      <c r="CAJ86" s="266"/>
      <c r="CAK86" s="266"/>
      <c r="CAL86" s="266"/>
      <c r="CAM86" s="266"/>
      <c r="CAN86" s="266"/>
      <c r="CAO86" s="266"/>
      <c r="CAP86" s="266"/>
      <c r="CAQ86" s="266"/>
      <c r="CAR86" s="266"/>
      <c r="CAS86" s="266"/>
      <c r="CAT86" s="266"/>
      <c r="CAU86" s="266"/>
      <c r="CAV86" s="266"/>
      <c r="CAW86" s="266"/>
      <c r="CAX86" s="266"/>
      <c r="CAY86" s="266"/>
      <c r="CAZ86" s="266"/>
      <c r="CBA86" s="266"/>
      <c r="CBB86" s="266"/>
      <c r="CBC86" s="266"/>
      <c r="CBD86" s="266"/>
      <c r="CBE86" s="266"/>
      <c r="CBF86" s="266"/>
      <c r="CBG86" s="266"/>
      <c r="CBH86" s="266"/>
      <c r="CBI86" s="266"/>
      <c r="CBJ86" s="266"/>
      <c r="CBK86" s="266"/>
      <c r="CBL86" s="266"/>
      <c r="CBM86" s="266"/>
      <c r="CBN86" s="266"/>
      <c r="CBO86" s="266"/>
      <c r="CBP86" s="266"/>
      <c r="CBQ86" s="266"/>
      <c r="CBR86" s="266"/>
      <c r="CBS86" s="266"/>
      <c r="CBT86" s="266"/>
      <c r="CBU86" s="266"/>
      <c r="CBV86" s="266"/>
      <c r="CBW86" s="266"/>
      <c r="CBX86" s="266"/>
      <c r="CBY86" s="266"/>
      <c r="CBZ86" s="266"/>
      <c r="CCA86" s="266"/>
      <c r="CCB86" s="266"/>
      <c r="CCC86" s="266"/>
      <c r="CCD86" s="266"/>
      <c r="CCE86" s="266"/>
      <c r="CCF86" s="266"/>
      <c r="CCG86" s="266"/>
      <c r="CCH86" s="266"/>
      <c r="CCI86" s="266"/>
      <c r="CCJ86" s="266"/>
      <c r="CCK86" s="266"/>
      <c r="CCL86" s="266"/>
      <c r="CCM86" s="266"/>
      <c r="CCN86" s="266"/>
      <c r="CCO86" s="266"/>
      <c r="CCP86" s="266"/>
      <c r="CCQ86" s="266"/>
      <c r="CCR86" s="266"/>
      <c r="CCS86" s="266"/>
      <c r="CCT86" s="266"/>
      <c r="CCU86" s="266"/>
      <c r="CCV86" s="266"/>
      <c r="CCW86" s="266"/>
      <c r="CCX86" s="266"/>
      <c r="CCY86" s="266"/>
      <c r="CCZ86" s="266"/>
      <c r="CDA86" s="266"/>
      <c r="CDB86" s="266"/>
      <c r="CDC86" s="266"/>
      <c r="CDD86" s="266"/>
      <c r="CDE86" s="266"/>
      <c r="CDF86" s="266"/>
      <c r="CDG86" s="266"/>
      <c r="CDH86" s="266"/>
      <c r="CDI86" s="266"/>
      <c r="CDJ86" s="266"/>
      <c r="CDK86" s="266"/>
      <c r="CDL86" s="266"/>
      <c r="CDM86" s="266"/>
      <c r="CDN86" s="266"/>
      <c r="CDO86" s="266"/>
      <c r="CDP86" s="266"/>
      <c r="CDQ86" s="266"/>
      <c r="CDR86" s="266"/>
      <c r="CDS86" s="266"/>
      <c r="CDT86" s="266"/>
      <c r="CDU86" s="266"/>
      <c r="CDV86" s="266"/>
      <c r="CDW86" s="266"/>
      <c r="CDX86" s="266"/>
      <c r="CDY86" s="266"/>
      <c r="CDZ86" s="266"/>
      <c r="CEA86" s="266"/>
      <c r="CEB86" s="266"/>
      <c r="CEC86" s="266"/>
      <c r="CED86" s="266"/>
      <c r="CEE86" s="266"/>
      <c r="CEF86" s="266"/>
      <c r="CEG86" s="266"/>
      <c r="CEH86" s="266"/>
      <c r="CEI86" s="266"/>
      <c r="CEJ86" s="266"/>
      <c r="CEK86" s="266"/>
      <c r="CEL86" s="266"/>
      <c r="CEM86" s="266"/>
      <c r="CEN86" s="266"/>
      <c r="CEO86" s="266"/>
      <c r="CEP86" s="266"/>
      <c r="CEQ86" s="266"/>
      <c r="CER86" s="266"/>
      <c r="CES86" s="266"/>
      <c r="CET86" s="266"/>
      <c r="CEU86" s="266"/>
      <c r="CEV86" s="266"/>
      <c r="CEW86" s="266"/>
      <c r="CEX86" s="266"/>
      <c r="CEY86" s="266"/>
      <c r="CEZ86" s="266"/>
      <c r="CFA86" s="266"/>
      <c r="CFB86" s="266"/>
      <c r="CFC86" s="266"/>
      <c r="CFD86" s="266"/>
      <c r="CFE86" s="266"/>
      <c r="CFF86" s="266"/>
      <c r="CFG86" s="266"/>
      <c r="CFH86" s="266"/>
      <c r="CFI86" s="266"/>
      <c r="CFJ86" s="266"/>
      <c r="CFK86" s="266"/>
      <c r="CFL86" s="266"/>
      <c r="CFM86" s="266"/>
      <c r="CFN86" s="266"/>
      <c r="CFO86" s="266"/>
      <c r="CFP86" s="266"/>
      <c r="CFQ86" s="266"/>
      <c r="CFR86" s="266"/>
      <c r="CFS86" s="266"/>
      <c r="CFT86" s="266"/>
      <c r="CFU86" s="266"/>
      <c r="CFV86" s="266"/>
      <c r="CFW86" s="266"/>
      <c r="CFX86" s="266"/>
      <c r="CFY86" s="266"/>
      <c r="CFZ86" s="266"/>
      <c r="CGA86" s="266"/>
      <c r="CGB86" s="266"/>
      <c r="CGC86" s="266"/>
      <c r="CGD86" s="266"/>
      <c r="CGE86" s="266"/>
      <c r="CGF86" s="266"/>
      <c r="CGG86" s="266"/>
      <c r="CGH86" s="266"/>
      <c r="CGI86" s="266"/>
      <c r="CGJ86" s="266"/>
      <c r="CGK86" s="266"/>
      <c r="CGL86" s="266"/>
      <c r="CGM86" s="266"/>
      <c r="CGN86" s="266"/>
      <c r="CGO86" s="266"/>
      <c r="CGP86" s="266"/>
      <c r="CGQ86" s="266"/>
      <c r="CGR86" s="266"/>
      <c r="CGS86" s="266"/>
      <c r="CGT86" s="266"/>
      <c r="CGU86" s="266"/>
      <c r="CGV86" s="266"/>
      <c r="CGW86" s="266"/>
      <c r="CGX86" s="266"/>
      <c r="CGY86" s="266"/>
      <c r="CGZ86" s="266"/>
      <c r="CHA86" s="266"/>
      <c r="CHB86" s="266"/>
      <c r="CHC86" s="266"/>
      <c r="CHD86" s="266"/>
      <c r="CHE86" s="266"/>
      <c r="CHF86" s="266"/>
      <c r="CHG86" s="266"/>
      <c r="CHH86" s="266"/>
      <c r="CHI86" s="266"/>
      <c r="CHJ86" s="266"/>
      <c r="CHK86" s="266"/>
      <c r="CHL86" s="266"/>
      <c r="CHM86" s="266"/>
      <c r="CHN86" s="266"/>
      <c r="CHO86" s="266"/>
      <c r="CHP86" s="266"/>
      <c r="CHQ86" s="266"/>
      <c r="CHR86" s="266"/>
      <c r="CHS86" s="266"/>
      <c r="CHT86" s="266"/>
      <c r="CHU86" s="266"/>
      <c r="CHV86" s="266"/>
      <c r="CHW86" s="266"/>
      <c r="CHX86" s="266"/>
      <c r="CHY86" s="266"/>
      <c r="CHZ86" s="266"/>
      <c r="CIA86" s="266"/>
      <c r="CIB86" s="266"/>
      <c r="CIC86" s="266"/>
      <c r="CID86" s="266"/>
      <c r="CIE86" s="266"/>
      <c r="CIF86" s="266"/>
      <c r="CIG86" s="266"/>
      <c r="CIH86" s="266"/>
      <c r="CII86" s="266"/>
      <c r="CIJ86" s="266"/>
      <c r="CIK86" s="266"/>
      <c r="CIL86" s="266"/>
      <c r="CIM86" s="266"/>
      <c r="CIN86" s="266"/>
      <c r="CIO86" s="266"/>
      <c r="CIP86" s="266"/>
      <c r="CIQ86" s="266"/>
      <c r="CIR86" s="266"/>
      <c r="CIS86" s="266"/>
      <c r="CIT86" s="266"/>
      <c r="CIU86" s="266"/>
      <c r="CIV86" s="266"/>
      <c r="CIW86" s="266"/>
      <c r="CIX86" s="266"/>
      <c r="CIY86" s="266"/>
      <c r="CIZ86" s="266"/>
      <c r="CJA86" s="266"/>
      <c r="CJB86" s="266"/>
      <c r="CJC86" s="266"/>
      <c r="CJD86" s="266"/>
      <c r="CJE86" s="266"/>
      <c r="CJF86" s="266"/>
      <c r="CJG86" s="266"/>
      <c r="CJH86" s="266"/>
      <c r="CJI86" s="266"/>
      <c r="CJJ86" s="266"/>
      <c r="CJK86" s="266"/>
      <c r="CJL86" s="266"/>
      <c r="CJM86" s="266"/>
      <c r="CJN86" s="266"/>
      <c r="CJO86" s="266"/>
      <c r="CJP86" s="266"/>
      <c r="CJQ86" s="266"/>
      <c r="CJR86" s="266"/>
      <c r="CJS86" s="266"/>
      <c r="CJT86" s="266"/>
      <c r="CJU86" s="266"/>
      <c r="CJV86" s="266"/>
      <c r="CJW86" s="266"/>
      <c r="CJX86" s="266"/>
      <c r="CJY86" s="266"/>
      <c r="CJZ86" s="266"/>
      <c r="CKA86" s="266"/>
      <c r="CKB86" s="266"/>
      <c r="CKC86" s="266"/>
      <c r="CKD86" s="266"/>
      <c r="CKE86" s="266"/>
      <c r="CKF86" s="266"/>
      <c r="CKG86" s="266"/>
      <c r="CKH86" s="266"/>
      <c r="CKI86" s="266"/>
      <c r="CKJ86" s="266"/>
      <c r="CKK86" s="266"/>
      <c r="CKL86" s="266"/>
      <c r="CKM86" s="266"/>
      <c r="CKN86" s="266"/>
      <c r="CKO86" s="266"/>
      <c r="CKP86" s="266"/>
      <c r="CKQ86" s="266"/>
      <c r="CKR86" s="266"/>
      <c r="CKS86" s="266"/>
      <c r="CKT86" s="266"/>
      <c r="CKU86" s="266"/>
      <c r="CKV86" s="266"/>
      <c r="CKW86" s="266"/>
      <c r="CKX86" s="266"/>
      <c r="CKY86" s="266"/>
      <c r="CKZ86" s="266"/>
      <c r="CLA86" s="266"/>
      <c r="CLB86" s="266"/>
      <c r="CLC86" s="266"/>
      <c r="CLD86" s="266"/>
      <c r="CLE86" s="266"/>
      <c r="CLF86" s="266"/>
      <c r="CLG86" s="266"/>
      <c r="CLH86" s="266"/>
      <c r="CLI86" s="266"/>
      <c r="CLJ86" s="266"/>
      <c r="CLK86" s="266"/>
      <c r="CLL86" s="266"/>
      <c r="CLM86" s="266"/>
      <c r="CLN86" s="266"/>
      <c r="CLO86" s="266"/>
      <c r="CLP86" s="266"/>
      <c r="CLQ86" s="266"/>
      <c r="CLR86" s="266"/>
      <c r="CLS86" s="266"/>
      <c r="CLT86" s="266"/>
      <c r="CLU86" s="266"/>
      <c r="CLV86" s="266"/>
      <c r="CLW86" s="266"/>
      <c r="CLX86" s="266"/>
      <c r="CLY86" s="266"/>
      <c r="CLZ86" s="266"/>
      <c r="CMA86" s="266"/>
      <c r="CMB86" s="266"/>
      <c r="CMC86" s="266"/>
      <c r="CMD86" s="266"/>
      <c r="CME86" s="266"/>
      <c r="CMF86" s="266"/>
      <c r="CMG86" s="266"/>
      <c r="CMH86" s="266"/>
      <c r="CMI86" s="266"/>
      <c r="CMJ86" s="266"/>
      <c r="CMK86" s="266"/>
      <c r="CML86" s="266"/>
      <c r="CMM86" s="266"/>
      <c r="CMN86" s="266"/>
      <c r="CMO86" s="266"/>
      <c r="CMP86" s="266"/>
      <c r="CMQ86" s="266"/>
      <c r="CMR86" s="266"/>
      <c r="CMS86" s="266"/>
      <c r="CMT86" s="266"/>
      <c r="CMU86" s="266"/>
      <c r="CMV86" s="266"/>
      <c r="CMW86" s="266"/>
      <c r="CMX86" s="266"/>
      <c r="CMY86" s="266"/>
      <c r="CMZ86" s="266"/>
      <c r="CNA86" s="266"/>
      <c r="CNB86" s="266"/>
      <c r="CNC86" s="266"/>
      <c r="CND86" s="266"/>
      <c r="CNE86" s="266"/>
      <c r="CNF86" s="266"/>
      <c r="CNG86" s="266"/>
      <c r="CNH86" s="266"/>
      <c r="CNI86" s="266"/>
      <c r="CNJ86" s="266"/>
      <c r="CNK86" s="266"/>
      <c r="CNL86" s="266"/>
      <c r="CNM86" s="266"/>
      <c r="CNN86" s="266"/>
      <c r="CNO86" s="266"/>
      <c r="CNP86" s="266"/>
      <c r="CNQ86" s="266"/>
      <c r="CNR86" s="266"/>
      <c r="CNS86" s="266"/>
      <c r="CNT86" s="266"/>
      <c r="CNU86" s="266"/>
      <c r="CNV86" s="266"/>
      <c r="CNW86" s="266"/>
      <c r="CNX86" s="266"/>
      <c r="CNY86" s="266"/>
      <c r="CNZ86" s="266"/>
      <c r="COA86" s="266"/>
      <c r="COB86" s="266"/>
      <c r="COC86" s="266"/>
      <c r="COD86" s="266"/>
      <c r="COE86" s="266"/>
      <c r="COF86" s="266"/>
      <c r="COG86" s="266"/>
      <c r="COH86" s="266"/>
      <c r="COI86" s="266"/>
      <c r="COJ86" s="266"/>
      <c r="COK86" s="266"/>
      <c r="COL86" s="266"/>
      <c r="COM86" s="266"/>
      <c r="CON86" s="266"/>
      <c r="COO86" s="266"/>
      <c r="COP86" s="266"/>
      <c r="COQ86" s="266"/>
      <c r="COR86" s="266"/>
      <c r="COS86" s="266"/>
      <c r="COT86" s="266"/>
      <c r="COU86" s="266"/>
      <c r="COV86" s="266"/>
      <c r="COW86" s="266"/>
      <c r="COX86" s="266"/>
      <c r="COY86" s="266"/>
      <c r="COZ86" s="266"/>
      <c r="CPA86" s="266"/>
      <c r="CPB86" s="266"/>
      <c r="CPC86" s="266"/>
      <c r="CPD86" s="266"/>
      <c r="CPE86" s="266"/>
      <c r="CPF86" s="266"/>
      <c r="CPG86" s="266"/>
      <c r="CPH86" s="266"/>
      <c r="CPI86" s="266"/>
      <c r="CPJ86" s="266"/>
      <c r="CPK86" s="266"/>
      <c r="CPL86" s="266"/>
      <c r="CPM86" s="266"/>
      <c r="CPN86" s="266"/>
      <c r="CPO86" s="266"/>
      <c r="CPP86" s="266"/>
      <c r="CPQ86" s="266"/>
      <c r="CPR86" s="266"/>
      <c r="CPS86" s="266"/>
      <c r="CPT86" s="266"/>
      <c r="CPU86" s="266"/>
      <c r="CPV86" s="266"/>
      <c r="CPW86" s="266"/>
      <c r="CPX86" s="266"/>
      <c r="CPY86" s="266"/>
      <c r="CPZ86" s="266"/>
      <c r="CQA86" s="266"/>
      <c r="CQB86" s="266"/>
      <c r="CQC86" s="266"/>
      <c r="CQD86" s="266"/>
      <c r="CQE86" s="266"/>
      <c r="CQF86" s="266"/>
      <c r="CQG86" s="266"/>
      <c r="CQH86" s="266"/>
      <c r="CQI86" s="266"/>
      <c r="CQJ86" s="266"/>
      <c r="CQK86" s="266"/>
      <c r="CQL86" s="266"/>
      <c r="CQM86" s="266"/>
      <c r="CQN86" s="266"/>
      <c r="CQO86" s="266"/>
      <c r="CQP86" s="266"/>
      <c r="CQQ86" s="266"/>
      <c r="CQR86" s="266"/>
      <c r="CQS86" s="266"/>
      <c r="CQT86" s="266"/>
      <c r="CQU86" s="266"/>
      <c r="CQV86" s="266"/>
      <c r="CQW86" s="266"/>
      <c r="CQX86" s="266"/>
      <c r="CQY86" s="266"/>
      <c r="CQZ86" s="266"/>
      <c r="CRA86" s="266"/>
      <c r="CRB86" s="266"/>
      <c r="CRC86" s="266"/>
      <c r="CRD86" s="266"/>
      <c r="CRE86" s="266"/>
      <c r="CRF86" s="266"/>
      <c r="CRG86" s="266"/>
      <c r="CRH86" s="266"/>
      <c r="CRI86" s="266"/>
      <c r="CRJ86" s="266"/>
      <c r="CRK86" s="266"/>
      <c r="CRL86" s="266"/>
      <c r="CRM86" s="266"/>
      <c r="CRN86" s="266"/>
      <c r="CRO86" s="266"/>
      <c r="CRP86" s="266"/>
      <c r="CRQ86" s="266"/>
      <c r="CRR86" s="266"/>
      <c r="CRS86" s="266"/>
      <c r="CRT86" s="266"/>
      <c r="CRU86" s="266"/>
      <c r="CRV86" s="266"/>
      <c r="CRW86" s="266"/>
      <c r="CRX86" s="266"/>
      <c r="CRY86" s="266"/>
      <c r="CRZ86" s="266"/>
      <c r="CSA86" s="266"/>
      <c r="CSB86" s="266"/>
      <c r="CSC86" s="266"/>
      <c r="CSD86" s="266"/>
      <c r="CSE86" s="266"/>
      <c r="CSF86" s="266"/>
      <c r="CSG86" s="266"/>
      <c r="CSH86" s="266"/>
      <c r="CSI86" s="266"/>
      <c r="CSJ86" s="266"/>
      <c r="CSK86" s="266"/>
      <c r="CSL86" s="266"/>
      <c r="CSM86" s="266"/>
      <c r="CSN86" s="266"/>
      <c r="CSO86" s="266"/>
      <c r="CSP86" s="266"/>
      <c r="CSQ86" s="266"/>
      <c r="CSR86" s="266"/>
      <c r="CSS86" s="266"/>
      <c r="CST86" s="266"/>
      <c r="CSU86" s="266"/>
      <c r="CSV86" s="266"/>
      <c r="CSW86" s="266"/>
      <c r="CSX86" s="266"/>
      <c r="CSY86" s="266"/>
      <c r="CSZ86" s="266"/>
      <c r="CTA86" s="266"/>
      <c r="CTB86" s="266"/>
      <c r="CTC86" s="266"/>
      <c r="CTD86" s="266"/>
      <c r="CTE86" s="266"/>
      <c r="CTF86" s="266"/>
      <c r="CTG86" s="266"/>
      <c r="CTH86" s="266"/>
      <c r="CTI86" s="266"/>
      <c r="CTJ86" s="266"/>
      <c r="CTK86" s="266"/>
      <c r="CTL86" s="266"/>
      <c r="CTM86" s="266"/>
      <c r="CTN86" s="266"/>
      <c r="CTO86" s="266"/>
      <c r="CTP86" s="266"/>
      <c r="CTQ86" s="266"/>
      <c r="CTR86" s="266"/>
      <c r="CTS86" s="266"/>
      <c r="CTT86" s="266"/>
      <c r="CTU86" s="266"/>
      <c r="CTV86" s="266"/>
      <c r="CTW86" s="266"/>
      <c r="CTX86" s="266"/>
      <c r="CTY86" s="266"/>
      <c r="CTZ86" s="266"/>
      <c r="CUA86" s="266"/>
    </row>
    <row r="87" s="30" customFormat="1" spans="1:19">
      <c r="A87" s="268">
        <v>93</v>
      </c>
      <c r="B87" s="268" t="s">
        <v>15</v>
      </c>
      <c r="C87" s="268" t="s">
        <v>37</v>
      </c>
      <c r="D87" s="82" t="s">
        <v>675</v>
      </c>
      <c r="E87" s="29" t="s">
        <v>880</v>
      </c>
      <c r="F87" s="31" t="s">
        <v>881</v>
      </c>
      <c r="G87" s="31" t="s">
        <v>882</v>
      </c>
      <c r="H87" s="119" t="s">
        <v>883</v>
      </c>
      <c r="I87" s="32">
        <v>2012.01</v>
      </c>
      <c r="J87" s="31" t="s">
        <v>42</v>
      </c>
      <c r="K87" s="51" t="s">
        <v>42</v>
      </c>
      <c r="L87" s="31" t="s">
        <v>667</v>
      </c>
      <c r="M87" s="29" t="s">
        <v>674</v>
      </c>
      <c r="N87" s="94">
        <v>45741</v>
      </c>
      <c r="O87" s="94">
        <v>46105</v>
      </c>
      <c r="P87" s="29">
        <v>300</v>
      </c>
      <c r="Q87" s="85"/>
      <c r="R87" s="251"/>
      <c r="S87" s="266"/>
    </row>
    <row r="88" s="30" customFormat="1" ht="24" spans="1:18">
      <c r="A88" s="268">
        <v>94</v>
      </c>
      <c r="B88" s="268" t="s">
        <v>14</v>
      </c>
      <c r="C88" s="268" t="s">
        <v>54</v>
      </c>
      <c r="D88" s="82" t="s">
        <v>262</v>
      </c>
      <c r="E88" s="248" t="s">
        <v>801</v>
      </c>
      <c r="F88" s="273" t="s">
        <v>42</v>
      </c>
      <c r="G88" s="273" t="s">
        <v>802</v>
      </c>
      <c r="H88" s="303" t="s">
        <v>884</v>
      </c>
      <c r="I88" s="274">
        <v>2021.3</v>
      </c>
      <c r="J88" s="273" t="s">
        <v>802</v>
      </c>
      <c r="K88" s="171" t="s">
        <v>42</v>
      </c>
      <c r="L88" s="31" t="s">
        <v>667</v>
      </c>
      <c r="M88" s="248" t="s">
        <v>674</v>
      </c>
      <c r="N88" s="180">
        <v>45747</v>
      </c>
      <c r="O88" s="180">
        <v>46111</v>
      </c>
      <c r="P88" s="248">
        <v>200</v>
      </c>
      <c r="Q88" s="294"/>
      <c r="R88" s="251"/>
    </row>
    <row r="89" s="30" customFormat="1" ht="24" spans="1:18">
      <c r="A89" s="268">
        <v>95</v>
      </c>
      <c r="B89" s="268" t="s">
        <v>14</v>
      </c>
      <c r="C89" s="268" t="s">
        <v>54</v>
      </c>
      <c r="D89" s="82" t="s">
        <v>262</v>
      </c>
      <c r="E89" s="248" t="s">
        <v>801</v>
      </c>
      <c r="F89" s="273" t="s">
        <v>42</v>
      </c>
      <c r="G89" s="273" t="s">
        <v>802</v>
      </c>
      <c r="H89" s="303" t="s">
        <v>885</v>
      </c>
      <c r="I89" s="274">
        <v>2025.4</v>
      </c>
      <c r="J89" s="273" t="s">
        <v>802</v>
      </c>
      <c r="K89" s="31" t="s">
        <v>42</v>
      </c>
      <c r="L89" s="31" t="s">
        <v>667</v>
      </c>
      <c r="M89" s="248" t="s">
        <v>674</v>
      </c>
      <c r="N89" s="180">
        <v>45747</v>
      </c>
      <c r="O89" s="180">
        <v>46111</v>
      </c>
      <c r="P89" s="248">
        <v>200</v>
      </c>
      <c r="Q89" s="294"/>
      <c r="R89" s="251"/>
    </row>
    <row r="90" s="30" customFormat="1" spans="1:18">
      <c r="A90" s="268">
        <v>96</v>
      </c>
      <c r="B90" s="268" t="s">
        <v>14</v>
      </c>
      <c r="C90" s="268" t="s">
        <v>37</v>
      </c>
      <c r="D90" s="82" t="s">
        <v>262</v>
      </c>
      <c r="E90" s="248" t="s">
        <v>886</v>
      </c>
      <c r="F90" s="85"/>
      <c r="G90" s="85"/>
      <c r="H90" s="277" t="s">
        <v>887</v>
      </c>
      <c r="I90" s="85"/>
      <c r="J90" s="85"/>
      <c r="K90" s="85"/>
      <c r="L90" s="31" t="s">
        <v>667</v>
      </c>
      <c r="M90" s="29" t="s">
        <v>44</v>
      </c>
      <c r="N90" s="177">
        <v>45749</v>
      </c>
      <c r="O90" s="177">
        <v>46113</v>
      </c>
      <c r="P90" s="204">
        <v>60</v>
      </c>
      <c r="Q90" s="249"/>
      <c r="R90" s="251"/>
    </row>
    <row r="91" s="266" customFormat="1" spans="1:2575">
      <c r="A91" s="268">
        <v>97</v>
      </c>
      <c r="B91" s="268" t="s">
        <v>14</v>
      </c>
      <c r="C91" s="268" t="s">
        <v>37</v>
      </c>
      <c r="D91" s="82" t="s">
        <v>262</v>
      </c>
      <c r="E91" s="248" t="s">
        <v>888</v>
      </c>
      <c r="F91" s="85"/>
      <c r="G91" s="85"/>
      <c r="H91" s="277" t="s">
        <v>889</v>
      </c>
      <c r="I91" s="85"/>
      <c r="J91" s="85"/>
      <c r="K91" s="85"/>
      <c r="L91" s="31" t="s">
        <v>667</v>
      </c>
      <c r="M91" s="29" t="s">
        <v>44</v>
      </c>
      <c r="N91" s="177">
        <v>45749</v>
      </c>
      <c r="O91" s="177">
        <v>46113</v>
      </c>
      <c r="P91" s="204">
        <v>60</v>
      </c>
      <c r="Q91" s="249"/>
      <c r="R91" s="251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/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30"/>
      <c r="HJ91" s="30"/>
      <c r="HK91" s="30"/>
      <c r="HL91" s="30"/>
      <c r="HM91" s="30"/>
      <c r="HN91" s="30"/>
      <c r="HO91" s="30"/>
      <c r="HP91" s="30"/>
      <c r="HQ91" s="30"/>
      <c r="HR91" s="30"/>
      <c r="HS91" s="30"/>
      <c r="HT91" s="30"/>
      <c r="HU91" s="30"/>
      <c r="HV91" s="30"/>
      <c r="HW91" s="30"/>
      <c r="HX91" s="30"/>
      <c r="HY91" s="30"/>
      <c r="HZ91" s="30"/>
      <c r="IA91" s="30"/>
      <c r="IB91" s="30"/>
      <c r="IC91" s="30"/>
      <c r="ID91" s="30"/>
      <c r="IE91" s="30"/>
      <c r="IF91" s="30"/>
      <c r="IG91" s="30"/>
      <c r="IH91" s="30"/>
      <c r="II91" s="30"/>
      <c r="IJ91" s="30"/>
      <c r="IK91" s="30"/>
      <c r="IL91" s="30"/>
      <c r="IM91" s="30"/>
      <c r="IN91" s="30"/>
      <c r="IO91" s="30"/>
      <c r="IP91" s="30"/>
      <c r="IQ91" s="30"/>
      <c r="IR91" s="30"/>
      <c r="IS91" s="30"/>
      <c r="IT91" s="30"/>
      <c r="IU91" s="30"/>
      <c r="IV91" s="30"/>
      <c r="IW91" s="30"/>
      <c r="IX91" s="30"/>
      <c r="IY91" s="30"/>
      <c r="IZ91" s="30"/>
      <c r="JA91" s="30"/>
      <c r="JB91" s="30"/>
      <c r="JC91" s="30"/>
      <c r="JD91" s="30"/>
      <c r="JE91" s="30"/>
      <c r="JF91" s="30"/>
      <c r="JG91" s="30"/>
      <c r="JH91" s="30"/>
      <c r="JI91" s="30"/>
      <c r="JJ91" s="30"/>
      <c r="JK91" s="30"/>
      <c r="JL91" s="30"/>
      <c r="JM91" s="30"/>
      <c r="JN91" s="30"/>
      <c r="JO91" s="30"/>
      <c r="JP91" s="30"/>
      <c r="JQ91" s="30"/>
      <c r="JR91" s="30"/>
      <c r="JS91" s="30"/>
      <c r="JT91" s="30"/>
      <c r="JU91" s="30"/>
      <c r="JV91" s="30"/>
      <c r="JW91" s="30"/>
      <c r="JX91" s="30"/>
      <c r="JY91" s="30"/>
      <c r="JZ91" s="30"/>
      <c r="KA91" s="30"/>
      <c r="KB91" s="30"/>
      <c r="KC91" s="30"/>
      <c r="KD91" s="30"/>
      <c r="KE91" s="30"/>
      <c r="KF91" s="30"/>
      <c r="KG91" s="30"/>
      <c r="KH91" s="30"/>
      <c r="KI91" s="30"/>
      <c r="KJ91" s="30"/>
      <c r="KK91" s="30"/>
      <c r="KL91" s="30"/>
      <c r="KM91" s="30"/>
      <c r="KN91" s="30"/>
      <c r="KO91" s="30"/>
      <c r="KP91" s="30"/>
      <c r="KQ91" s="30"/>
      <c r="KR91" s="30"/>
      <c r="KS91" s="30"/>
      <c r="KT91" s="30"/>
      <c r="KU91" s="30"/>
      <c r="KV91" s="30"/>
      <c r="KW91" s="30"/>
      <c r="KX91" s="30"/>
      <c r="KY91" s="30"/>
      <c r="KZ91" s="30"/>
      <c r="LA91" s="30"/>
      <c r="LB91" s="30"/>
      <c r="LC91" s="30"/>
      <c r="LD91" s="30"/>
      <c r="LE91" s="30"/>
      <c r="LF91" s="30"/>
      <c r="LG91" s="30"/>
      <c r="LH91" s="30"/>
      <c r="LI91" s="30"/>
      <c r="LJ91" s="30"/>
      <c r="LK91" s="30"/>
      <c r="LL91" s="30"/>
      <c r="LM91" s="30"/>
      <c r="LN91" s="30"/>
      <c r="LO91" s="30"/>
      <c r="LP91" s="30"/>
      <c r="LQ91" s="30"/>
      <c r="LR91" s="30"/>
      <c r="LS91" s="30"/>
      <c r="LT91" s="30"/>
      <c r="LU91" s="30"/>
      <c r="LV91" s="30"/>
      <c r="LW91" s="30"/>
      <c r="LX91" s="30"/>
      <c r="LY91" s="30"/>
      <c r="LZ91" s="30"/>
      <c r="MA91" s="30"/>
      <c r="MB91" s="30"/>
      <c r="MC91" s="30"/>
      <c r="MD91" s="30"/>
      <c r="ME91" s="30"/>
      <c r="MF91" s="30"/>
      <c r="MG91" s="30"/>
      <c r="MH91" s="30"/>
      <c r="MI91" s="30"/>
      <c r="MJ91" s="30"/>
      <c r="MK91" s="30"/>
      <c r="ML91" s="30"/>
      <c r="MM91" s="30"/>
      <c r="MN91" s="30"/>
      <c r="MO91" s="30"/>
      <c r="MP91" s="30"/>
      <c r="MQ91" s="30"/>
      <c r="MR91" s="30"/>
      <c r="MS91" s="30"/>
      <c r="MT91" s="30"/>
      <c r="MU91" s="30"/>
      <c r="MV91" s="30"/>
      <c r="MW91" s="30"/>
      <c r="MX91" s="30"/>
      <c r="MY91" s="30"/>
      <c r="MZ91" s="30"/>
      <c r="NA91" s="30"/>
      <c r="NB91" s="30"/>
      <c r="NC91" s="30"/>
      <c r="ND91" s="30"/>
      <c r="NE91" s="30"/>
      <c r="NF91" s="30"/>
      <c r="NG91" s="30"/>
      <c r="NH91" s="30"/>
      <c r="NI91" s="30"/>
      <c r="NJ91" s="30"/>
      <c r="NK91" s="30"/>
      <c r="NL91" s="30"/>
      <c r="NM91" s="30"/>
      <c r="NN91" s="30"/>
      <c r="NO91" s="30"/>
      <c r="NP91" s="30"/>
      <c r="NQ91" s="30"/>
      <c r="NR91" s="30"/>
      <c r="NS91" s="30"/>
      <c r="NT91" s="30"/>
      <c r="NU91" s="30"/>
      <c r="NV91" s="30"/>
      <c r="NW91" s="30"/>
      <c r="NX91" s="30"/>
      <c r="NY91" s="30"/>
      <c r="NZ91" s="30"/>
      <c r="OA91" s="30"/>
      <c r="OB91" s="30"/>
      <c r="OC91" s="30"/>
      <c r="OD91" s="30"/>
      <c r="OE91" s="30"/>
      <c r="OF91" s="30"/>
      <c r="OG91" s="30"/>
      <c r="OH91" s="30"/>
      <c r="OI91" s="30"/>
      <c r="OJ91" s="30"/>
      <c r="OK91" s="30"/>
      <c r="OL91" s="30"/>
      <c r="OM91" s="30"/>
      <c r="ON91" s="30"/>
      <c r="OO91" s="30"/>
      <c r="OP91" s="30"/>
      <c r="OQ91" s="30"/>
      <c r="OR91" s="30"/>
      <c r="OS91" s="30"/>
      <c r="OT91" s="30"/>
      <c r="OU91" s="30"/>
      <c r="OV91" s="30"/>
      <c r="OW91" s="30"/>
      <c r="OX91" s="30"/>
      <c r="OY91" s="30"/>
      <c r="OZ91" s="30"/>
      <c r="PA91" s="30"/>
      <c r="PB91" s="30"/>
      <c r="PC91" s="30"/>
      <c r="PD91" s="30"/>
      <c r="PE91" s="30"/>
      <c r="PF91" s="30"/>
      <c r="PG91" s="30"/>
      <c r="PH91" s="30"/>
      <c r="PI91" s="30"/>
      <c r="PJ91" s="30"/>
      <c r="PK91" s="30"/>
      <c r="PL91" s="30"/>
      <c r="PM91" s="30"/>
      <c r="PN91" s="30"/>
      <c r="PO91" s="30"/>
      <c r="PP91" s="30"/>
      <c r="PQ91" s="30"/>
      <c r="PR91" s="30"/>
      <c r="PS91" s="30"/>
      <c r="PT91" s="30"/>
      <c r="PU91" s="30"/>
      <c r="PV91" s="30"/>
      <c r="PW91" s="30"/>
      <c r="PX91" s="30"/>
      <c r="PY91" s="30"/>
      <c r="PZ91" s="30"/>
      <c r="QA91" s="30"/>
      <c r="QB91" s="30"/>
      <c r="QC91" s="30"/>
      <c r="QD91" s="30"/>
      <c r="QE91" s="30"/>
      <c r="QF91" s="30"/>
      <c r="QG91" s="30"/>
      <c r="QH91" s="30"/>
      <c r="QI91" s="30"/>
      <c r="QJ91" s="30"/>
      <c r="QK91" s="30"/>
      <c r="QL91" s="30"/>
      <c r="QM91" s="30"/>
      <c r="QN91" s="30"/>
      <c r="QO91" s="30"/>
      <c r="QP91" s="30"/>
      <c r="QQ91" s="30"/>
      <c r="QR91" s="30"/>
      <c r="QS91" s="30"/>
      <c r="QT91" s="30"/>
      <c r="QU91" s="30"/>
      <c r="QV91" s="30"/>
      <c r="QW91" s="30"/>
      <c r="QX91" s="30"/>
      <c r="QY91" s="30"/>
      <c r="QZ91" s="30"/>
      <c r="RA91" s="30"/>
      <c r="RB91" s="30"/>
      <c r="RC91" s="30"/>
      <c r="RD91" s="30"/>
      <c r="RE91" s="30"/>
      <c r="RF91" s="30"/>
      <c r="RG91" s="30"/>
      <c r="RH91" s="30"/>
      <c r="RI91" s="30"/>
      <c r="RJ91" s="30"/>
      <c r="RK91" s="30"/>
      <c r="RL91" s="30"/>
      <c r="RM91" s="30"/>
      <c r="RN91" s="30"/>
      <c r="RO91" s="30"/>
      <c r="RP91" s="30"/>
      <c r="RQ91" s="30"/>
      <c r="RR91" s="30"/>
      <c r="RS91" s="30"/>
      <c r="RT91" s="30"/>
      <c r="RU91" s="30"/>
      <c r="RV91" s="30"/>
      <c r="RW91" s="30"/>
      <c r="RX91" s="30"/>
      <c r="RY91" s="30"/>
      <c r="RZ91" s="30"/>
      <c r="SA91" s="30"/>
      <c r="SB91" s="30"/>
      <c r="SC91" s="30"/>
      <c r="SD91" s="30"/>
      <c r="SE91" s="30"/>
      <c r="SF91" s="30"/>
      <c r="SG91" s="30"/>
      <c r="SH91" s="30"/>
      <c r="SI91" s="30"/>
      <c r="SJ91" s="30"/>
      <c r="SK91" s="30"/>
      <c r="SL91" s="30"/>
      <c r="SM91" s="30"/>
      <c r="SN91" s="30"/>
      <c r="SO91" s="30"/>
      <c r="SP91" s="30"/>
      <c r="SQ91" s="30"/>
      <c r="SR91" s="30"/>
      <c r="SS91" s="30"/>
      <c r="ST91" s="30"/>
      <c r="SU91" s="30"/>
      <c r="SV91" s="30"/>
      <c r="SW91" s="30"/>
      <c r="SX91" s="30"/>
      <c r="SY91" s="30"/>
      <c r="SZ91" s="30"/>
      <c r="TA91" s="30"/>
      <c r="TB91" s="30"/>
      <c r="TC91" s="30"/>
      <c r="TD91" s="30"/>
      <c r="TE91" s="30"/>
      <c r="TF91" s="30"/>
      <c r="TG91" s="30"/>
      <c r="TH91" s="30"/>
      <c r="TI91" s="30"/>
      <c r="TJ91" s="30"/>
      <c r="TK91" s="30"/>
      <c r="TL91" s="30"/>
      <c r="TM91" s="30"/>
      <c r="TN91" s="30"/>
      <c r="TO91" s="30"/>
      <c r="TP91" s="30"/>
      <c r="TQ91" s="30"/>
      <c r="TR91" s="30"/>
      <c r="TS91" s="30"/>
      <c r="TT91" s="30"/>
      <c r="TU91" s="30"/>
      <c r="TV91" s="30"/>
      <c r="TW91" s="30"/>
      <c r="TX91" s="30"/>
      <c r="TY91" s="30"/>
      <c r="TZ91" s="30"/>
      <c r="UA91" s="30"/>
      <c r="UB91" s="30"/>
      <c r="UC91" s="30"/>
      <c r="UD91" s="30"/>
      <c r="UE91" s="30"/>
      <c r="UF91" s="30"/>
      <c r="UG91" s="30"/>
      <c r="UH91" s="30"/>
      <c r="UI91" s="30"/>
      <c r="UJ91" s="30"/>
      <c r="UK91" s="30"/>
      <c r="UL91" s="30"/>
      <c r="UM91" s="30"/>
      <c r="UN91" s="30"/>
      <c r="UO91" s="30"/>
      <c r="UP91" s="30"/>
      <c r="UQ91" s="30"/>
      <c r="UR91" s="30"/>
      <c r="US91" s="30"/>
      <c r="UT91" s="30"/>
      <c r="UU91" s="30"/>
      <c r="UV91" s="30"/>
      <c r="UW91" s="30"/>
      <c r="UX91" s="30"/>
      <c r="UY91" s="30"/>
      <c r="UZ91" s="30"/>
      <c r="VA91" s="30"/>
      <c r="VB91" s="30"/>
      <c r="VC91" s="30"/>
      <c r="VD91" s="30"/>
      <c r="VE91" s="30"/>
      <c r="VF91" s="30"/>
      <c r="VG91" s="30"/>
      <c r="VH91" s="30"/>
      <c r="VI91" s="30"/>
      <c r="VJ91" s="30"/>
      <c r="VK91" s="30"/>
      <c r="VL91" s="30"/>
      <c r="VM91" s="30"/>
      <c r="VN91" s="30"/>
      <c r="VO91" s="30"/>
      <c r="VP91" s="30"/>
      <c r="VQ91" s="30"/>
      <c r="VR91" s="30"/>
      <c r="VS91" s="30"/>
      <c r="VT91" s="30"/>
      <c r="VU91" s="30"/>
      <c r="VV91" s="30"/>
      <c r="VW91" s="30"/>
      <c r="VX91" s="30"/>
      <c r="VY91" s="30"/>
      <c r="VZ91" s="30"/>
      <c r="WA91" s="30"/>
      <c r="WB91" s="30"/>
      <c r="WC91" s="30"/>
      <c r="WD91" s="30"/>
      <c r="WE91" s="30"/>
      <c r="WF91" s="30"/>
      <c r="WG91" s="30"/>
      <c r="WH91" s="30"/>
      <c r="WI91" s="30"/>
      <c r="WJ91" s="30"/>
      <c r="WK91" s="30"/>
      <c r="WL91" s="30"/>
      <c r="WM91" s="30"/>
      <c r="WN91" s="30"/>
      <c r="WO91" s="30"/>
      <c r="WP91" s="30"/>
      <c r="WQ91" s="30"/>
      <c r="WR91" s="30"/>
      <c r="WS91" s="30"/>
      <c r="WT91" s="30"/>
      <c r="WU91" s="30"/>
      <c r="WV91" s="30"/>
      <c r="WW91" s="30"/>
      <c r="WX91" s="30"/>
      <c r="WY91" s="30"/>
      <c r="WZ91" s="30"/>
      <c r="XA91" s="30"/>
      <c r="XB91" s="30"/>
      <c r="XC91" s="30"/>
      <c r="XD91" s="30"/>
      <c r="XE91" s="30"/>
      <c r="XF91" s="30"/>
      <c r="XG91" s="30"/>
      <c r="XH91" s="30"/>
      <c r="XI91" s="30"/>
      <c r="XJ91" s="30"/>
      <c r="XK91" s="30"/>
      <c r="XL91" s="30"/>
      <c r="XM91" s="30"/>
      <c r="XN91" s="30"/>
      <c r="XO91" s="30"/>
      <c r="XP91" s="30"/>
      <c r="XQ91" s="30"/>
      <c r="XR91" s="30"/>
      <c r="XS91" s="30"/>
      <c r="XT91" s="30"/>
      <c r="XU91" s="30"/>
      <c r="XV91" s="30"/>
      <c r="XW91" s="30"/>
      <c r="XX91" s="30"/>
      <c r="XY91" s="30"/>
      <c r="XZ91" s="30"/>
      <c r="YA91" s="30"/>
      <c r="YB91" s="30"/>
      <c r="YC91" s="30"/>
      <c r="YD91" s="30"/>
      <c r="YE91" s="30"/>
      <c r="YF91" s="30"/>
      <c r="YG91" s="30"/>
      <c r="YH91" s="30"/>
      <c r="YI91" s="30"/>
      <c r="YJ91" s="30"/>
      <c r="YK91" s="30"/>
      <c r="YL91" s="30"/>
      <c r="YM91" s="30"/>
      <c r="YN91" s="30"/>
      <c r="YO91" s="30"/>
      <c r="YP91" s="30"/>
      <c r="YQ91" s="30"/>
      <c r="YR91" s="30"/>
      <c r="YS91" s="30"/>
      <c r="YT91" s="30"/>
      <c r="YU91" s="30"/>
      <c r="YV91" s="30"/>
      <c r="YW91" s="30"/>
      <c r="YX91" s="30"/>
      <c r="YY91" s="30"/>
      <c r="YZ91" s="30"/>
      <c r="ZA91" s="30"/>
      <c r="ZB91" s="30"/>
      <c r="ZC91" s="30"/>
      <c r="ZD91" s="30"/>
      <c r="ZE91" s="30"/>
      <c r="ZF91" s="30"/>
      <c r="ZG91" s="30"/>
      <c r="ZH91" s="30"/>
      <c r="ZI91" s="30"/>
      <c r="ZJ91" s="30"/>
      <c r="ZK91" s="30"/>
      <c r="ZL91" s="30"/>
      <c r="ZM91" s="30"/>
      <c r="ZN91" s="30"/>
      <c r="ZO91" s="30"/>
      <c r="ZP91" s="30"/>
      <c r="ZQ91" s="30"/>
      <c r="ZR91" s="30"/>
      <c r="ZS91" s="30"/>
      <c r="ZT91" s="30"/>
      <c r="ZU91" s="30"/>
      <c r="ZV91" s="30"/>
      <c r="ZW91" s="30"/>
      <c r="ZX91" s="30"/>
      <c r="ZY91" s="30"/>
      <c r="ZZ91" s="30"/>
      <c r="AAA91" s="30"/>
      <c r="AAB91" s="30"/>
      <c r="AAC91" s="30"/>
      <c r="AAD91" s="30"/>
      <c r="AAE91" s="30"/>
      <c r="AAF91" s="30"/>
      <c r="AAG91" s="30"/>
      <c r="AAH91" s="30"/>
      <c r="AAI91" s="30"/>
      <c r="AAJ91" s="30"/>
      <c r="AAK91" s="30"/>
      <c r="AAL91" s="30"/>
      <c r="AAM91" s="30"/>
      <c r="AAN91" s="30"/>
      <c r="AAO91" s="30"/>
      <c r="AAP91" s="30"/>
      <c r="AAQ91" s="30"/>
      <c r="AAR91" s="30"/>
      <c r="AAS91" s="30"/>
      <c r="AAT91" s="30"/>
      <c r="AAU91" s="30"/>
      <c r="AAV91" s="30"/>
      <c r="AAW91" s="30"/>
      <c r="AAX91" s="30"/>
      <c r="AAY91" s="30"/>
      <c r="AAZ91" s="30"/>
      <c r="ABA91" s="30"/>
      <c r="ABB91" s="30"/>
      <c r="ABC91" s="30"/>
      <c r="ABD91" s="30"/>
      <c r="ABE91" s="30"/>
      <c r="ABF91" s="30"/>
      <c r="ABG91" s="30"/>
      <c r="ABH91" s="30"/>
      <c r="ABI91" s="30"/>
      <c r="ABJ91" s="30"/>
      <c r="ABK91" s="30"/>
      <c r="ABL91" s="30"/>
      <c r="ABM91" s="30"/>
      <c r="ABN91" s="30"/>
      <c r="ABO91" s="30"/>
      <c r="ABP91" s="30"/>
      <c r="ABQ91" s="30"/>
      <c r="ABR91" s="30"/>
      <c r="ABS91" s="30"/>
      <c r="ABT91" s="30"/>
      <c r="ABU91" s="30"/>
      <c r="ABV91" s="30"/>
      <c r="ABW91" s="30"/>
      <c r="ABX91" s="30"/>
      <c r="ABY91" s="30"/>
      <c r="ABZ91" s="30"/>
      <c r="ACA91" s="30"/>
      <c r="ACB91" s="30"/>
      <c r="ACC91" s="30"/>
      <c r="ACD91" s="30"/>
      <c r="ACE91" s="30"/>
      <c r="ACF91" s="30"/>
      <c r="ACG91" s="30"/>
      <c r="ACH91" s="30"/>
      <c r="ACI91" s="30"/>
      <c r="ACJ91" s="30"/>
      <c r="ACK91" s="30"/>
      <c r="ACL91" s="30"/>
      <c r="ACM91" s="30"/>
      <c r="ACN91" s="30"/>
      <c r="ACO91" s="30"/>
      <c r="ACP91" s="30"/>
      <c r="ACQ91" s="30"/>
      <c r="ACR91" s="30"/>
      <c r="ACS91" s="30"/>
      <c r="ACT91" s="30"/>
      <c r="ACU91" s="30"/>
      <c r="ACV91" s="30"/>
      <c r="ACW91" s="30"/>
      <c r="ACX91" s="30"/>
      <c r="ACY91" s="30"/>
      <c r="ACZ91" s="30"/>
      <c r="ADA91" s="30"/>
      <c r="ADB91" s="30"/>
      <c r="ADC91" s="30"/>
      <c r="ADD91" s="30"/>
      <c r="ADE91" s="30"/>
      <c r="ADF91" s="30"/>
      <c r="ADG91" s="30"/>
      <c r="ADH91" s="30"/>
      <c r="ADI91" s="30"/>
      <c r="ADJ91" s="30"/>
      <c r="ADK91" s="30"/>
      <c r="ADL91" s="30"/>
      <c r="ADM91" s="30"/>
      <c r="ADN91" s="30"/>
      <c r="ADO91" s="30"/>
      <c r="ADP91" s="30"/>
      <c r="ADQ91" s="30"/>
      <c r="ADR91" s="30"/>
      <c r="ADS91" s="30"/>
      <c r="ADT91" s="30"/>
      <c r="ADU91" s="30"/>
      <c r="ADV91" s="30"/>
      <c r="ADW91" s="30"/>
      <c r="ADX91" s="30"/>
      <c r="ADY91" s="30"/>
      <c r="ADZ91" s="30"/>
      <c r="AEA91" s="30"/>
      <c r="AEB91" s="30"/>
      <c r="AEC91" s="30"/>
      <c r="AED91" s="30"/>
      <c r="AEE91" s="30"/>
      <c r="AEF91" s="30"/>
      <c r="AEG91" s="30"/>
      <c r="AEH91" s="30"/>
      <c r="AEI91" s="30"/>
      <c r="AEJ91" s="30"/>
      <c r="AEK91" s="30"/>
      <c r="AEL91" s="30"/>
      <c r="AEM91" s="30"/>
      <c r="AEN91" s="30"/>
      <c r="AEO91" s="30"/>
      <c r="AEP91" s="30"/>
      <c r="AEQ91" s="30"/>
      <c r="AER91" s="30"/>
      <c r="AES91" s="30"/>
      <c r="AET91" s="30"/>
      <c r="AEU91" s="30"/>
      <c r="AEV91" s="30"/>
      <c r="AEW91" s="30"/>
      <c r="AEX91" s="30"/>
      <c r="AEY91" s="30"/>
      <c r="AEZ91" s="30"/>
      <c r="AFA91" s="30"/>
      <c r="AFB91" s="30"/>
      <c r="AFC91" s="30"/>
      <c r="AFD91" s="30"/>
      <c r="AFE91" s="30"/>
      <c r="AFF91" s="30"/>
      <c r="AFG91" s="30"/>
      <c r="AFH91" s="30"/>
      <c r="AFI91" s="30"/>
      <c r="AFJ91" s="30"/>
      <c r="AFK91" s="30"/>
      <c r="AFL91" s="30"/>
      <c r="AFM91" s="30"/>
      <c r="AFN91" s="30"/>
      <c r="AFO91" s="30"/>
      <c r="AFP91" s="30"/>
      <c r="AFQ91" s="30"/>
      <c r="AFR91" s="30"/>
      <c r="AFS91" s="30"/>
      <c r="AFT91" s="30"/>
      <c r="AFU91" s="30"/>
      <c r="AFV91" s="30"/>
      <c r="AFW91" s="30"/>
      <c r="AFX91" s="30"/>
      <c r="AFY91" s="30"/>
      <c r="AFZ91" s="30"/>
      <c r="AGA91" s="30"/>
      <c r="AGB91" s="30"/>
      <c r="AGC91" s="30"/>
      <c r="AGD91" s="30"/>
      <c r="AGE91" s="30"/>
      <c r="AGF91" s="30"/>
      <c r="AGG91" s="30"/>
      <c r="AGH91" s="30"/>
      <c r="AGI91" s="30"/>
      <c r="AGJ91" s="30"/>
      <c r="AGK91" s="30"/>
      <c r="AGL91" s="30"/>
      <c r="AGM91" s="30"/>
      <c r="AGN91" s="30"/>
      <c r="AGO91" s="30"/>
      <c r="AGP91" s="30"/>
      <c r="AGQ91" s="30"/>
      <c r="AGR91" s="30"/>
      <c r="AGS91" s="30"/>
      <c r="AGT91" s="30"/>
      <c r="AGU91" s="30"/>
      <c r="AGV91" s="30"/>
      <c r="AGW91" s="30"/>
      <c r="AGX91" s="30"/>
      <c r="AGY91" s="30"/>
      <c r="AGZ91" s="30"/>
      <c r="AHA91" s="30"/>
      <c r="AHB91" s="30"/>
      <c r="AHC91" s="30"/>
      <c r="AHD91" s="30"/>
      <c r="AHE91" s="30"/>
      <c r="AHF91" s="30"/>
      <c r="AHG91" s="30"/>
      <c r="AHH91" s="30"/>
      <c r="AHI91" s="30"/>
      <c r="AHJ91" s="30"/>
      <c r="AHK91" s="30"/>
      <c r="AHL91" s="30"/>
      <c r="AHM91" s="30"/>
      <c r="AHN91" s="30"/>
      <c r="AHO91" s="30"/>
      <c r="AHP91" s="30"/>
      <c r="AHQ91" s="30"/>
      <c r="AHR91" s="30"/>
      <c r="AHS91" s="30"/>
      <c r="AHT91" s="30"/>
      <c r="AHU91" s="30"/>
      <c r="AHV91" s="30"/>
      <c r="AHW91" s="30"/>
      <c r="AHX91" s="30"/>
      <c r="AHY91" s="30"/>
      <c r="AHZ91" s="30"/>
      <c r="AIA91" s="30"/>
      <c r="AIB91" s="30"/>
      <c r="AIC91" s="30"/>
      <c r="AID91" s="30"/>
      <c r="AIE91" s="30"/>
      <c r="AIF91" s="30"/>
      <c r="AIG91" s="30"/>
      <c r="AIH91" s="30"/>
      <c r="AII91" s="30"/>
      <c r="AIJ91" s="30"/>
      <c r="AIK91" s="30"/>
      <c r="AIL91" s="30"/>
      <c r="AIM91" s="30"/>
      <c r="AIN91" s="30"/>
      <c r="AIO91" s="30"/>
      <c r="AIP91" s="30"/>
      <c r="AIQ91" s="30"/>
      <c r="AIR91" s="30"/>
      <c r="AIS91" s="30"/>
      <c r="AIT91" s="30"/>
      <c r="AIU91" s="30"/>
      <c r="AIV91" s="30"/>
      <c r="AIW91" s="30"/>
      <c r="AIX91" s="30"/>
      <c r="AIY91" s="30"/>
      <c r="AIZ91" s="30"/>
      <c r="AJA91" s="30"/>
      <c r="AJB91" s="30"/>
      <c r="AJC91" s="30"/>
      <c r="AJD91" s="30"/>
      <c r="AJE91" s="30"/>
      <c r="AJF91" s="30"/>
      <c r="AJG91" s="30"/>
      <c r="AJH91" s="30"/>
      <c r="AJI91" s="30"/>
      <c r="AJJ91" s="30"/>
      <c r="AJK91" s="30"/>
      <c r="AJL91" s="30"/>
      <c r="AJM91" s="30"/>
      <c r="AJN91" s="30"/>
      <c r="AJO91" s="30"/>
      <c r="AJP91" s="30"/>
      <c r="AJQ91" s="30"/>
      <c r="AJR91" s="30"/>
      <c r="AJS91" s="30"/>
      <c r="AJT91" s="30"/>
      <c r="AJU91" s="30"/>
      <c r="AJV91" s="30"/>
      <c r="AJW91" s="30"/>
      <c r="AJX91" s="30"/>
      <c r="AJY91" s="30"/>
      <c r="AJZ91" s="30"/>
      <c r="AKA91" s="30"/>
      <c r="AKB91" s="30"/>
      <c r="AKC91" s="30"/>
      <c r="AKD91" s="30"/>
      <c r="AKE91" s="30"/>
      <c r="AKF91" s="30"/>
      <c r="AKG91" s="30"/>
      <c r="AKH91" s="30"/>
      <c r="AKI91" s="30"/>
      <c r="AKJ91" s="30"/>
      <c r="AKK91" s="30"/>
      <c r="AKL91" s="30"/>
      <c r="AKM91" s="30"/>
      <c r="AKN91" s="30"/>
      <c r="AKO91" s="30"/>
      <c r="AKP91" s="30"/>
      <c r="AKQ91" s="30"/>
      <c r="AKR91" s="30"/>
      <c r="AKS91" s="30"/>
      <c r="AKT91" s="30"/>
      <c r="AKU91" s="30"/>
      <c r="AKV91" s="30"/>
      <c r="AKW91" s="30"/>
      <c r="AKX91" s="30"/>
      <c r="AKY91" s="30"/>
      <c r="AKZ91" s="30"/>
      <c r="ALA91" s="30"/>
      <c r="ALB91" s="30"/>
      <c r="ALC91" s="30"/>
      <c r="ALD91" s="30"/>
      <c r="ALE91" s="30"/>
      <c r="ALF91" s="30"/>
      <c r="ALG91" s="30"/>
      <c r="ALH91" s="30"/>
      <c r="ALI91" s="30"/>
      <c r="ALJ91" s="30"/>
      <c r="ALK91" s="30"/>
      <c r="ALL91" s="30"/>
      <c r="ALM91" s="30"/>
      <c r="ALN91" s="30"/>
      <c r="ALO91" s="30"/>
      <c r="ALP91" s="30"/>
      <c r="ALQ91" s="30"/>
      <c r="ALR91" s="30"/>
      <c r="ALS91" s="30"/>
      <c r="ALT91" s="30"/>
      <c r="ALU91" s="30"/>
      <c r="ALV91" s="30"/>
      <c r="ALW91" s="30"/>
      <c r="ALX91" s="30"/>
      <c r="ALY91" s="30"/>
      <c r="ALZ91" s="30"/>
      <c r="AMA91" s="30"/>
      <c r="AMB91" s="30"/>
      <c r="AMC91" s="30"/>
      <c r="AMD91" s="30"/>
      <c r="AME91" s="30"/>
      <c r="AMF91" s="30"/>
      <c r="AMG91" s="30"/>
      <c r="AMH91" s="30"/>
      <c r="AMI91" s="30"/>
      <c r="AMJ91" s="30"/>
      <c r="AMK91" s="30"/>
      <c r="AML91" s="30"/>
      <c r="AMM91" s="30"/>
      <c r="AMN91" s="30"/>
      <c r="AMO91" s="30"/>
      <c r="AMP91" s="30"/>
      <c r="AMQ91" s="30"/>
      <c r="AMR91" s="30"/>
      <c r="AMS91" s="30"/>
      <c r="AMT91" s="30"/>
      <c r="AMU91" s="30"/>
      <c r="AMV91" s="30"/>
      <c r="AMW91" s="30"/>
      <c r="AMX91" s="30"/>
      <c r="AMY91" s="30"/>
      <c r="AMZ91" s="30"/>
      <c r="ANA91" s="30"/>
      <c r="ANB91" s="30"/>
      <c r="ANC91" s="30"/>
      <c r="AND91" s="30"/>
      <c r="ANE91" s="30"/>
      <c r="ANF91" s="30"/>
      <c r="ANG91" s="30"/>
      <c r="ANH91" s="30"/>
      <c r="ANI91" s="30"/>
      <c r="ANJ91" s="30"/>
      <c r="ANK91" s="30"/>
      <c r="ANL91" s="30"/>
      <c r="ANM91" s="30"/>
      <c r="ANN91" s="30"/>
      <c r="ANO91" s="30"/>
      <c r="ANP91" s="30"/>
      <c r="ANQ91" s="30"/>
      <c r="ANR91" s="30"/>
      <c r="ANS91" s="30"/>
      <c r="ANT91" s="30"/>
      <c r="ANU91" s="30"/>
      <c r="ANV91" s="30"/>
      <c r="ANW91" s="30"/>
      <c r="ANX91" s="30"/>
      <c r="ANY91" s="30"/>
      <c r="ANZ91" s="30"/>
      <c r="AOA91" s="30"/>
      <c r="AOB91" s="30"/>
      <c r="AOC91" s="30"/>
      <c r="AOD91" s="30"/>
      <c r="AOE91" s="30"/>
      <c r="AOF91" s="30"/>
      <c r="AOG91" s="30"/>
      <c r="AOH91" s="30"/>
      <c r="AOI91" s="30"/>
      <c r="AOJ91" s="30"/>
      <c r="AOK91" s="30"/>
      <c r="AOL91" s="30"/>
      <c r="AOM91" s="30"/>
      <c r="AON91" s="30"/>
      <c r="AOO91" s="30"/>
      <c r="AOP91" s="30"/>
      <c r="AOQ91" s="30"/>
      <c r="AOR91" s="30"/>
      <c r="AOS91" s="30"/>
      <c r="AOT91" s="30"/>
      <c r="AOU91" s="30"/>
      <c r="AOV91" s="30"/>
      <c r="AOW91" s="30"/>
      <c r="AOX91" s="30"/>
      <c r="AOY91" s="30"/>
      <c r="AOZ91" s="30"/>
      <c r="APA91" s="30"/>
      <c r="APB91" s="30"/>
      <c r="APC91" s="30"/>
      <c r="APD91" s="30"/>
      <c r="APE91" s="30"/>
      <c r="APF91" s="30"/>
      <c r="APG91" s="30"/>
      <c r="APH91" s="30"/>
      <c r="API91" s="30"/>
      <c r="APJ91" s="30"/>
      <c r="APK91" s="30"/>
      <c r="APL91" s="30"/>
      <c r="APM91" s="30"/>
      <c r="APN91" s="30"/>
      <c r="APO91" s="30"/>
      <c r="APP91" s="30"/>
      <c r="APQ91" s="30"/>
      <c r="APR91" s="30"/>
      <c r="APS91" s="30"/>
      <c r="APT91" s="30"/>
      <c r="APU91" s="30"/>
      <c r="APV91" s="30"/>
      <c r="APW91" s="30"/>
      <c r="APX91" s="30"/>
      <c r="APY91" s="30"/>
      <c r="APZ91" s="30"/>
      <c r="AQA91" s="30"/>
      <c r="AQB91" s="30"/>
      <c r="AQC91" s="30"/>
      <c r="AQD91" s="30"/>
      <c r="AQE91" s="30"/>
      <c r="AQF91" s="30"/>
      <c r="AQG91" s="30"/>
      <c r="AQH91" s="30"/>
      <c r="AQI91" s="30"/>
      <c r="AQJ91" s="30"/>
      <c r="AQK91" s="30"/>
      <c r="AQL91" s="30"/>
      <c r="AQM91" s="30"/>
      <c r="AQN91" s="30"/>
      <c r="AQO91" s="30"/>
      <c r="AQP91" s="30"/>
      <c r="AQQ91" s="30"/>
      <c r="AQR91" s="30"/>
      <c r="AQS91" s="30"/>
      <c r="AQT91" s="30"/>
      <c r="AQU91" s="30"/>
      <c r="AQV91" s="30"/>
      <c r="AQW91" s="30"/>
      <c r="AQX91" s="30"/>
      <c r="AQY91" s="30"/>
      <c r="AQZ91" s="30"/>
      <c r="ARA91" s="30"/>
      <c r="ARB91" s="30"/>
      <c r="ARC91" s="30"/>
      <c r="ARD91" s="30"/>
      <c r="ARE91" s="30"/>
      <c r="ARF91" s="30"/>
      <c r="ARG91" s="30"/>
      <c r="ARH91" s="30"/>
      <c r="ARI91" s="30"/>
      <c r="ARJ91" s="30"/>
      <c r="ARK91" s="30"/>
      <c r="ARL91" s="30"/>
      <c r="ARM91" s="30"/>
      <c r="ARN91" s="30"/>
      <c r="ARO91" s="30"/>
      <c r="ARP91" s="30"/>
      <c r="ARQ91" s="30"/>
      <c r="ARR91" s="30"/>
      <c r="ARS91" s="30"/>
      <c r="ART91" s="30"/>
      <c r="ARU91" s="30"/>
      <c r="ARV91" s="30"/>
      <c r="ARW91" s="30"/>
      <c r="ARX91" s="30"/>
      <c r="ARY91" s="30"/>
      <c r="ARZ91" s="30"/>
      <c r="ASA91" s="30"/>
      <c r="ASB91" s="30"/>
      <c r="ASC91" s="30"/>
      <c r="ASD91" s="30"/>
      <c r="ASE91" s="30"/>
      <c r="ASF91" s="30"/>
      <c r="ASG91" s="30"/>
      <c r="ASH91" s="30"/>
      <c r="ASI91" s="30"/>
      <c r="ASJ91" s="30"/>
      <c r="ASK91" s="30"/>
      <c r="ASL91" s="30"/>
      <c r="ASM91" s="30"/>
      <c r="ASN91" s="30"/>
      <c r="ASO91" s="30"/>
      <c r="ASP91" s="30"/>
      <c r="ASQ91" s="30"/>
      <c r="ASR91" s="30"/>
      <c r="ASS91" s="30"/>
      <c r="AST91" s="30"/>
      <c r="ASU91" s="30"/>
      <c r="ASV91" s="30"/>
      <c r="ASW91" s="30"/>
      <c r="ASX91" s="30"/>
      <c r="ASY91" s="30"/>
      <c r="ASZ91" s="30"/>
      <c r="ATA91" s="30"/>
      <c r="ATB91" s="30"/>
      <c r="ATC91" s="30"/>
      <c r="ATD91" s="30"/>
      <c r="ATE91" s="30"/>
      <c r="ATF91" s="30"/>
      <c r="ATG91" s="30"/>
      <c r="ATH91" s="30"/>
      <c r="ATI91" s="30"/>
      <c r="ATJ91" s="30"/>
      <c r="ATK91" s="30"/>
      <c r="ATL91" s="30"/>
      <c r="ATM91" s="30"/>
      <c r="ATN91" s="30"/>
      <c r="ATO91" s="30"/>
      <c r="ATP91" s="30"/>
      <c r="ATQ91" s="30"/>
      <c r="ATR91" s="30"/>
      <c r="ATS91" s="30"/>
      <c r="ATT91" s="30"/>
      <c r="ATU91" s="30"/>
      <c r="ATV91" s="30"/>
      <c r="ATW91" s="30"/>
      <c r="ATX91" s="30"/>
      <c r="ATY91" s="30"/>
      <c r="ATZ91" s="30"/>
      <c r="AUA91" s="30"/>
      <c r="AUB91" s="30"/>
      <c r="AUC91" s="30"/>
      <c r="AUD91" s="30"/>
      <c r="AUE91" s="30"/>
      <c r="AUF91" s="30"/>
      <c r="AUG91" s="30"/>
      <c r="AUH91" s="30"/>
      <c r="AUI91" s="30"/>
      <c r="AUJ91" s="30"/>
      <c r="AUK91" s="30"/>
      <c r="AUL91" s="30"/>
      <c r="AUM91" s="30"/>
      <c r="AUN91" s="30"/>
      <c r="AUO91" s="30"/>
      <c r="AUP91" s="30"/>
      <c r="AUQ91" s="30"/>
      <c r="AUR91" s="30"/>
      <c r="AUS91" s="30"/>
      <c r="AUT91" s="30"/>
      <c r="AUU91" s="30"/>
      <c r="AUV91" s="30"/>
      <c r="AUW91" s="30"/>
      <c r="AUX91" s="30"/>
      <c r="AUY91" s="30"/>
      <c r="AUZ91" s="30"/>
      <c r="AVA91" s="30"/>
      <c r="AVB91" s="30"/>
      <c r="AVC91" s="30"/>
      <c r="AVD91" s="30"/>
      <c r="AVE91" s="30"/>
      <c r="AVF91" s="30"/>
      <c r="AVG91" s="30"/>
      <c r="AVH91" s="30"/>
      <c r="AVI91" s="30"/>
      <c r="AVJ91" s="30"/>
      <c r="AVK91" s="30"/>
      <c r="AVL91" s="30"/>
      <c r="AVM91" s="30"/>
      <c r="AVN91" s="30"/>
      <c r="AVO91" s="30"/>
      <c r="AVP91" s="30"/>
      <c r="AVQ91" s="30"/>
      <c r="AVR91" s="30"/>
      <c r="AVS91" s="30"/>
      <c r="AVT91" s="30"/>
      <c r="AVU91" s="30"/>
      <c r="AVV91" s="30"/>
      <c r="AVW91" s="30"/>
      <c r="AVX91" s="30"/>
      <c r="AVY91" s="30"/>
      <c r="AVZ91" s="30"/>
      <c r="AWA91" s="30"/>
      <c r="AWB91" s="30"/>
      <c r="AWC91" s="30"/>
      <c r="AWD91" s="30"/>
      <c r="AWE91" s="30"/>
      <c r="AWF91" s="30"/>
      <c r="AWG91" s="30"/>
      <c r="AWH91" s="30"/>
      <c r="AWI91" s="30"/>
      <c r="AWJ91" s="30"/>
      <c r="AWK91" s="30"/>
      <c r="AWL91" s="30"/>
      <c r="AWM91" s="30"/>
      <c r="AWN91" s="30"/>
      <c r="AWO91" s="30"/>
      <c r="AWP91" s="30"/>
      <c r="AWQ91" s="30"/>
      <c r="AWR91" s="30"/>
      <c r="AWS91" s="30"/>
      <c r="AWT91" s="30"/>
      <c r="AWU91" s="30"/>
      <c r="AWV91" s="30"/>
      <c r="AWW91" s="30"/>
      <c r="AWX91" s="30"/>
      <c r="AWY91" s="30"/>
      <c r="AWZ91" s="30"/>
      <c r="AXA91" s="30"/>
      <c r="AXB91" s="30"/>
      <c r="AXC91" s="30"/>
      <c r="AXD91" s="30"/>
      <c r="AXE91" s="30"/>
      <c r="AXF91" s="30"/>
      <c r="AXG91" s="30"/>
      <c r="AXH91" s="30"/>
      <c r="AXI91" s="30"/>
      <c r="AXJ91" s="30"/>
      <c r="AXK91" s="30"/>
      <c r="AXL91" s="30"/>
      <c r="AXM91" s="30"/>
      <c r="AXN91" s="30"/>
      <c r="AXO91" s="30"/>
      <c r="AXP91" s="30"/>
      <c r="AXQ91" s="30"/>
      <c r="AXR91" s="30"/>
      <c r="AXS91" s="30"/>
      <c r="AXT91" s="30"/>
      <c r="AXU91" s="30"/>
      <c r="AXV91" s="30"/>
      <c r="AXW91" s="30"/>
      <c r="AXX91" s="30"/>
      <c r="AXY91" s="30"/>
      <c r="AXZ91" s="30"/>
      <c r="AYA91" s="30"/>
      <c r="AYB91" s="30"/>
      <c r="AYC91" s="30"/>
      <c r="AYD91" s="30"/>
      <c r="AYE91" s="30"/>
      <c r="AYF91" s="30"/>
      <c r="AYG91" s="30"/>
      <c r="AYH91" s="30"/>
      <c r="AYI91" s="30"/>
      <c r="AYJ91" s="30"/>
      <c r="AYK91" s="30"/>
      <c r="AYL91" s="30"/>
      <c r="AYM91" s="30"/>
      <c r="AYN91" s="30"/>
      <c r="AYO91" s="30"/>
      <c r="AYP91" s="30"/>
      <c r="AYQ91" s="30"/>
      <c r="AYR91" s="30"/>
      <c r="AYS91" s="30"/>
      <c r="AYT91" s="30"/>
      <c r="AYU91" s="30"/>
      <c r="AYV91" s="30"/>
      <c r="AYW91" s="30"/>
      <c r="AYX91" s="30"/>
      <c r="AYY91" s="30"/>
      <c r="AYZ91" s="30"/>
      <c r="AZA91" s="30"/>
      <c r="AZB91" s="30"/>
      <c r="AZC91" s="30"/>
      <c r="AZD91" s="30"/>
      <c r="AZE91" s="30"/>
      <c r="AZF91" s="30"/>
      <c r="AZG91" s="30"/>
      <c r="AZH91" s="30"/>
      <c r="AZI91" s="30"/>
      <c r="AZJ91" s="30"/>
      <c r="AZK91" s="30"/>
      <c r="AZL91" s="30"/>
      <c r="AZM91" s="30"/>
      <c r="AZN91" s="30"/>
      <c r="AZO91" s="30"/>
      <c r="AZP91" s="30"/>
      <c r="AZQ91" s="30"/>
      <c r="AZR91" s="30"/>
      <c r="AZS91" s="30"/>
      <c r="AZT91" s="30"/>
      <c r="AZU91" s="30"/>
      <c r="AZV91" s="30"/>
      <c r="AZW91" s="30"/>
      <c r="AZX91" s="30"/>
      <c r="AZY91" s="30"/>
      <c r="AZZ91" s="30"/>
      <c r="BAA91" s="30"/>
      <c r="BAB91" s="30"/>
      <c r="BAC91" s="30"/>
      <c r="BAD91" s="30"/>
      <c r="BAE91" s="30"/>
      <c r="BAF91" s="30"/>
      <c r="BAG91" s="30"/>
      <c r="BAH91" s="30"/>
      <c r="BAI91" s="30"/>
      <c r="BAJ91" s="30"/>
      <c r="BAK91" s="30"/>
      <c r="BAL91" s="30"/>
      <c r="BAM91" s="30"/>
      <c r="BAN91" s="30"/>
      <c r="BAO91" s="30"/>
      <c r="BAP91" s="30"/>
      <c r="BAQ91" s="30"/>
      <c r="BAR91" s="30"/>
      <c r="BAS91" s="30"/>
      <c r="BAT91" s="30"/>
      <c r="BAU91" s="30"/>
      <c r="BAV91" s="30"/>
      <c r="BAW91" s="30"/>
      <c r="BAX91" s="30"/>
      <c r="BAY91" s="30"/>
      <c r="BAZ91" s="30"/>
      <c r="BBA91" s="30"/>
      <c r="BBB91" s="30"/>
      <c r="BBC91" s="30"/>
      <c r="BBD91" s="30"/>
      <c r="BBE91" s="30"/>
      <c r="BBF91" s="30"/>
      <c r="BBG91" s="30"/>
      <c r="BBH91" s="30"/>
      <c r="BBI91" s="30"/>
      <c r="BBJ91" s="30"/>
      <c r="BBK91" s="30"/>
      <c r="BBL91" s="30"/>
      <c r="BBM91" s="30"/>
      <c r="BBN91" s="30"/>
      <c r="BBO91" s="30"/>
      <c r="BBP91" s="30"/>
      <c r="BBQ91" s="30"/>
      <c r="BBR91" s="30"/>
      <c r="BBS91" s="30"/>
      <c r="BBT91" s="30"/>
      <c r="BBU91" s="30"/>
      <c r="BBV91" s="30"/>
      <c r="BBW91" s="30"/>
      <c r="BBX91" s="30"/>
      <c r="BBY91" s="30"/>
      <c r="BBZ91" s="30"/>
      <c r="BCA91" s="30"/>
      <c r="BCB91" s="30"/>
      <c r="BCC91" s="30"/>
      <c r="BCD91" s="30"/>
      <c r="BCE91" s="30"/>
      <c r="BCF91" s="30"/>
      <c r="BCG91" s="30"/>
      <c r="BCH91" s="30"/>
      <c r="BCI91" s="30"/>
      <c r="BCJ91" s="30"/>
      <c r="BCK91" s="30"/>
      <c r="BCL91" s="30"/>
      <c r="BCM91" s="30"/>
      <c r="BCN91" s="30"/>
      <c r="BCO91" s="30"/>
      <c r="BCP91" s="30"/>
      <c r="BCQ91" s="30"/>
      <c r="BCR91" s="30"/>
      <c r="BCS91" s="30"/>
      <c r="BCT91" s="30"/>
      <c r="BCU91" s="30"/>
      <c r="BCV91" s="30"/>
      <c r="BCW91" s="30"/>
      <c r="BCX91" s="30"/>
      <c r="BCY91" s="30"/>
      <c r="BCZ91" s="30"/>
      <c r="BDA91" s="30"/>
      <c r="BDB91" s="30"/>
      <c r="BDC91" s="30"/>
      <c r="BDD91" s="30"/>
      <c r="BDE91" s="30"/>
      <c r="BDF91" s="30"/>
      <c r="BDG91" s="30"/>
      <c r="BDH91" s="30"/>
      <c r="BDI91" s="30"/>
      <c r="BDJ91" s="30"/>
      <c r="BDK91" s="30"/>
      <c r="BDL91" s="30"/>
      <c r="BDM91" s="30"/>
      <c r="BDN91" s="30"/>
      <c r="BDO91" s="30"/>
      <c r="BDP91" s="30"/>
      <c r="BDQ91" s="30"/>
      <c r="BDR91" s="30"/>
      <c r="BDS91" s="30"/>
      <c r="BDT91" s="30"/>
      <c r="BDU91" s="30"/>
      <c r="BDV91" s="30"/>
      <c r="BDW91" s="30"/>
      <c r="BDX91" s="30"/>
      <c r="BDY91" s="30"/>
      <c r="BDZ91" s="30"/>
      <c r="BEA91" s="30"/>
      <c r="BEB91" s="30"/>
      <c r="BEC91" s="30"/>
      <c r="BED91" s="30"/>
      <c r="BEE91" s="30"/>
      <c r="BEF91" s="30"/>
      <c r="BEG91" s="30"/>
      <c r="BEH91" s="30"/>
      <c r="BEI91" s="30"/>
      <c r="BEJ91" s="30"/>
      <c r="BEK91" s="30"/>
      <c r="BEL91" s="30"/>
      <c r="BEM91" s="30"/>
      <c r="BEN91" s="30"/>
      <c r="BEO91" s="30"/>
      <c r="BEP91" s="30"/>
      <c r="BEQ91" s="30"/>
      <c r="BER91" s="30"/>
      <c r="BES91" s="30"/>
      <c r="BET91" s="30"/>
      <c r="BEU91" s="30"/>
      <c r="BEV91" s="30"/>
      <c r="BEW91" s="30"/>
      <c r="BEX91" s="30"/>
      <c r="BEY91" s="30"/>
      <c r="BEZ91" s="30"/>
      <c r="BFA91" s="30"/>
      <c r="BFB91" s="30"/>
      <c r="BFC91" s="30"/>
      <c r="BFD91" s="30"/>
      <c r="BFE91" s="30"/>
      <c r="BFF91" s="30"/>
      <c r="BFG91" s="30"/>
      <c r="BFH91" s="30"/>
      <c r="BFI91" s="30"/>
      <c r="BFJ91" s="30"/>
      <c r="BFK91" s="30"/>
      <c r="BFL91" s="30"/>
      <c r="BFM91" s="30"/>
      <c r="BFN91" s="30"/>
      <c r="BFO91" s="30"/>
      <c r="BFP91" s="30"/>
      <c r="BFQ91" s="30"/>
      <c r="BFR91" s="30"/>
      <c r="BFS91" s="30"/>
      <c r="BFT91" s="30"/>
      <c r="BFU91" s="30"/>
      <c r="BFV91" s="30"/>
      <c r="BFW91" s="30"/>
      <c r="BFX91" s="30"/>
      <c r="BFY91" s="30"/>
      <c r="BFZ91" s="30"/>
      <c r="BGA91" s="30"/>
      <c r="BGB91" s="30"/>
      <c r="BGC91" s="30"/>
      <c r="BGD91" s="30"/>
      <c r="BGE91" s="30"/>
      <c r="BGF91" s="30"/>
      <c r="BGG91" s="30"/>
      <c r="BGH91" s="30"/>
      <c r="BGI91" s="30"/>
      <c r="BGJ91" s="30"/>
      <c r="BGK91" s="30"/>
      <c r="BGL91" s="30"/>
      <c r="BGM91" s="30"/>
      <c r="BGN91" s="30"/>
      <c r="BGO91" s="30"/>
      <c r="BGP91" s="30"/>
      <c r="BGQ91" s="30"/>
      <c r="BGR91" s="30"/>
      <c r="BGS91" s="30"/>
      <c r="BGT91" s="30"/>
      <c r="BGU91" s="30"/>
      <c r="BGV91" s="30"/>
      <c r="BGW91" s="30"/>
      <c r="BGX91" s="30"/>
      <c r="BGY91" s="30"/>
      <c r="BGZ91" s="30"/>
      <c r="BHA91" s="30"/>
      <c r="BHB91" s="30"/>
      <c r="BHC91" s="30"/>
      <c r="BHD91" s="30"/>
      <c r="BHE91" s="30"/>
      <c r="BHF91" s="30"/>
      <c r="BHG91" s="30"/>
      <c r="BHH91" s="30"/>
      <c r="BHI91" s="30"/>
      <c r="BHJ91" s="30"/>
      <c r="BHK91" s="30"/>
      <c r="BHL91" s="30"/>
      <c r="BHM91" s="30"/>
      <c r="BHN91" s="30"/>
      <c r="BHO91" s="30"/>
      <c r="BHP91" s="30"/>
      <c r="BHQ91" s="30"/>
      <c r="BHR91" s="30"/>
      <c r="BHS91" s="30"/>
      <c r="BHT91" s="30"/>
      <c r="BHU91" s="30"/>
      <c r="BHV91" s="30"/>
      <c r="BHW91" s="30"/>
      <c r="BHX91" s="30"/>
      <c r="BHY91" s="30"/>
      <c r="BHZ91" s="30"/>
      <c r="BIA91" s="30"/>
      <c r="BIB91" s="30"/>
      <c r="BIC91" s="30"/>
      <c r="BID91" s="30"/>
      <c r="BIE91" s="30"/>
      <c r="BIF91" s="30"/>
      <c r="BIG91" s="30"/>
      <c r="BIH91" s="30"/>
      <c r="BII91" s="30"/>
      <c r="BIJ91" s="30"/>
      <c r="BIK91" s="30"/>
      <c r="BIL91" s="30"/>
      <c r="BIM91" s="30"/>
      <c r="BIN91" s="30"/>
      <c r="BIO91" s="30"/>
      <c r="BIP91" s="30"/>
      <c r="BIQ91" s="30"/>
      <c r="BIR91" s="30"/>
      <c r="BIS91" s="30"/>
      <c r="BIT91" s="30"/>
      <c r="BIU91" s="30"/>
      <c r="BIV91" s="30"/>
      <c r="BIW91" s="30"/>
      <c r="BIX91" s="30"/>
      <c r="BIY91" s="30"/>
      <c r="BIZ91" s="30"/>
      <c r="BJA91" s="30"/>
      <c r="BJB91" s="30"/>
      <c r="BJC91" s="30"/>
      <c r="BJD91" s="30"/>
      <c r="BJE91" s="30"/>
      <c r="BJF91" s="30"/>
      <c r="BJG91" s="30"/>
      <c r="BJH91" s="30"/>
      <c r="BJI91" s="30"/>
      <c r="BJJ91" s="30"/>
      <c r="BJK91" s="30"/>
      <c r="BJL91" s="30"/>
      <c r="BJM91" s="30"/>
      <c r="BJN91" s="30"/>
      <c r="BJO91" s="30"/>
      <c r="BJP91" s="30"/>
      <c r="BJQ91" s="30"/>
      <c r="BJR91" s="30"/>
      <c r="BJS91" s="30"/>
      <c r="BJT91" s="30"/>
      <c r="BJU91" s="30"/>
      <c r="BJV91" s="30"/>
      <c r="BJW91" s="30"/>
      <c r="BJX91" s="30"/>
      <c r="BJY91" s="30"/>
      <c r="BJZ91" s="30"/>
      <c r="BKA91" s="30"/>
      <c r="BKB91" s="30"/>
      <c r="BKC91" s="30"/>
      <c r="BKD91" s="30"/>
      <c r="BKE91" s="30"/>
      <c r="BKF91" s="30"/>
      <c r="BKG91" s="30"/>
      <c r="BKH91" s="30"/>
      <c r="BKI91" s="30"/>
      <c r="BKJ91" s="30"/>
      <c r="BKK91" s="30"/>
      <c r="BKL91" s="30"/>
      <c r="BKM91" s="30"/>
      <c r="BKN91" s="30"/>
      <c r="BKO91" s="30"/>
      <c r="BKP91" s="30"/>
      <c r="BKQ91" s="30"/>
      <c r="BKR91" s="30"/>
      <c r="BKS91" s="30"/>
      <c r="BKT91" s="30"/>
      <c r="BKU91" s="30"/>
      <c r="BKV91" s="30"/>
      <c r="BKW91" s="30"/>
      <c r="BKX91" s="30"/>
      <c r="BKY91" s="30"/>
      <c r="BKZ91" s="30"/>
      <c r="BLA91" s="30"/>
      <c r="BLB91" s="30"/>
      <c r="BLC91" s="30"/>
      <c r="BLD91" s="30"/>
      <c r="BLE91" s="30"/>
      <c r="BLF91" s="30"/>
      <c r="BLG91" s="30"/>
      <c r="BLH91" s="30"/>
      <c r="BLI91" s="30"/>
      <c r="BLJ91" s="30"/>
      <c r="BLK91" s="30"/>
      <c r="BLL91" s="30"/>
      <c r="BLM91" s="30"/>
      <c r="BLN91" s="30"/>
      <c r="BLO91" s="30"/>
      <c r="BLP91" s="30"/>
      <c r="BLQ91" s="30"/>
      <c r="BLR91" s="30"/>
      <c r="BLS91" s="30"/>
      <c r="BLT91" s="30"/>
      <c r="BLU91" s="30"/>
      <c r="BLV91" s="30"/>
      <c r="BLW91" s="30"/>
      <c r="BLX91" s="30"/>
      <c r="BLY91" s="30"/>
      <c r="BLZ91" s="30"/>
      <c r="BMA91" s="30"/>
      <c r="BMB91" s="30"/>
      <c r="BMC91" s="30"/>
      <c r="BMD91" s="30"/>
      <c r="BME91" s="30"/>
      <c r="BMF91" s="30"/>
      <c r="BMG91" s="30"/>
      <c r="BMH91" s="30"/>
      <c r="BMI91" s="30"/>
      <c r="BMJ91" s="30"/>
      <c r="BMK91" s="30"/>
      <c r="BML91" s="30"/>
      <c r="BMM91" s="30"/>
      <c r="BMN91" s="30"/>
      <c r="BMO91" s="30"/>
      <c r="BMP91" s="30"/>
      <c r="BMQ91" s="30"/>
      <c r="BMR91" s="30"/>
      <c r="BMS91" s="30"/>
      <c r="BMT91" s="30"/>
      <c r="BMU91" s="30"/>
      <c r="BMV91" s="30"/>
      <c r="BMW91" s="30"/>
      <c r="BMX91" s="30"/>
      <c r="BMY91" s="30"/>
      <c r="BMZ91" s="30"/>
      <c r="BNA91" s="30"/>
      <c r="BNB91" s="30"/>
      <c r="BNC91" s="30"/>
      <c r="BND91" s="30"/>
      <c r="BNE91" s="30"/>
      <c r="BNF91" s="30"/>
      <c r="BNG91" s="30"/>
      <c r="BNH91" s="30"/>
      <c r="BNI91" s="30"/>
      <c r="BNJ91" s="30"/>
      <c r="BNK91" s="30"/>
      <c r="BNL91" s="30"/>
      <c r="BNM91" s="30"/>
      <c r="BNN91" s="30"/>
      <c r="BNO91" s="30"/>
      <c r="BNP91" s="30"/>
      <c r="BNQ91" s="30"/>
      <c r="BNR91" s="30"/>
      <c r="BNS91" s="30"/>
      <c r="BNT91" s="30"/>
      <c r="BNU91" s="30"/>
      <c r="BNV91" s="30"/>
      <c r="BNW91" s="30"/>
      <c r="BNX91" s="30"/>
      <c r="BNY91" s="30"/>
      <c r="BNZ91" s="30"/>
      <c r="BOA91" s="30"/>
      <c r="BOB91" s="30"/>
      <c r="BOC91" s="30"/>
      <c r="BOD91" s="30"/>
      <c r="BOE91" s="30"/>
      <c r="BOF91" s="30"/>
      <c r="BOG91" s="30"/>
      <c r="BOH91" s="30"/>
      <c r="BOI91" s="30"/>
      <c r="BOJ91" s="30"/>
      <c r="BOK91" s="30"/>
      <c r="BOL91" s="30"/>
      <c r="BOM91" s="30"/>
      <c r="BON91" s="30"/>
      <c r="BOO91" s="30"/>
      <c r="BOP91" s="30"/>
      <c r="BOQ91" s="30"/>
      <c r="BOR91" s="30"/>
      <c r="BOS91" s="30"/>
      <c r="BOT91" s="30"/>
      <c r="BOU91" s="30"/>
      <c r="BOV91" s="30"/>
      <c r="BOW91" s="30"/>
      <c r="BOX91" s="30"/>
      <c r="BOY91" s="30"/>
      <c r="BOZ91" s="30"/>
      <c r="BPA91" s="30"/>
      <c r="BPB91" s="30"/>
      <c r="BPC91" s="30"/>
      <c r="BPD91" s="30"/>
      <c r="BPE91" s="30"/>
      <c r="BPF91" s="30"/>
      <c r="BPG91" s="30"/>
      <c r="BPH91" s="30"/>
      <c r="BPI91" s="30"/>
      <c r="BPJ91" s="30"/>
      <c r="BPK91" s="30"/>
      <c r="BPL91" s="30"/>
      <c r="BPM91" s="30"/>
      <c r="BPN91" s="30"/>
      <c r="BPO91" s="30"/>
      <c r="BPP91" s="30"/>
      <c r="BPQ91" s="30"/>
      <c r="BPR91" s="30"/>
      <c r="BPS91" s="30"/>
      <c r="BPT91" s="30"/>
      <c r="BPU91" s="30"/>
      <c r="BPV91" s="30"/>
      <c r="BPW91" s="30"/>
      <c r="BPX91" s="30"/>
      <c r="BPY91" s="30"/>
      <c r="BPZ91" s="30"/>
      <c r="BQA91" s="30"/>
      <c r="BQB91" s="30"/>
      <c r="BQC91" s="30"/>
      <c r="BQD91" s="30"/>
      <c r="BQE91" s="30"/>
      <c r="BQF91" s="30"/>
      <c r="BQG91" s="30"/>
      <c r="BQH91" s="30"/>
      <c r="BQI91" s="30"/>
      <c r="BQJ91" s="30"/>
      <c r="BQK91" s="30"/>
      <c r="BQL91" s="30"/>
      <c r="BQM91" s="30"/>
      <c r="BQN91" s="30"/>
      <c r="BQO91" s="30"/>
      <c r="BQP91" s="30"/>
      <c r="BQQ91" s="30"/>
      <c r="BQR91" s="30"/>
      <c r="BQS91" s="30"/>
      <c r="BQT91" s="30"/>
      <c r="BQU91" s="30"/>
      <c r="BQV91" s="30"/>
      <c r="BQW91" s="30"/>
      <c r="BQX91" s="30"/>
      <c r="BQY91" s="30"/>
      <c r="BQZ91" s="30"/>
      <c r="BRA91" s="30"/>
      <c r="BRB91" s="30"/>
      <c r="BRC91" s="30"/>
      <c r="BRD91" s="30"/>
      <c r="BRE91" s="30"/>
      <c r="BRF91" s="30"/>
      <c r="BRG91" s="30"/>
      <c r="BRH91" s="30"/>
      <c r="BRI91" s="30"/>
      <c r="BRJ91" s="30"/>
      <c r="BRK91" s="30"/>
      <c r="BRL91" s="30"/>
      <c r="BRM91" s="30"/>
      <c r="BRN91" s="30"/>
      <c r="BRO91" s="30"/>
      <c r="BRP91" s="30"/>
      <c r="BRQ91" s="30"/>
      <c r="BRR91" s="30"/>
      <c r="BRS91" s="30"/>
      <c r="BRT91" s="30"/>
      <c r="BRU91" s="30"/>
      <c r="BRV91" s="30"/>
      <c r="BRW91" s="30"/>
      <c r="BRX91" s="30"/>
      <c r="BRY91" s="30"/>
      <c r="BRZ91" s="30"/>
      <c r="BSA91" s="30"/>
      <c r="BSB91" s="30"/>
      <c r="BSC91" s="30"/>
      <c r="BSD91" s="30"/>
      <c r="BSE91" s="30"/>
      <c r="BSF91" s="30"/>
      <c r="BSG91" s="30"/>
      <c r="BSH91" s="30"/>
      <c r="BSI91" s="30"/>
      <c r="BSJ91" s="30"/>
      <c r="BSK91" s="30"/>
      <c r="BSL91" s="30"/>
      <c r="BSM91" s="30"/>
      <c r="BSN91" s="30"/>
      <c r="BSO91" s="30"/>
      <c r="BSP91" s="30"/>
      <c r="BSQ91" s="30"/>
      <c r="BSR91" s="30"/>
      <c r="BSS91" s="30"/>
      <c r="BST91" s="30"/>
      <c r="BSU91" s="30"/>
      <c r="BSV91" s="30"/>
      <c r="BSW91" s="30"/>
      <c r="BSX91" s="30"/>
      <c r="BSY91" s="30"/>
      <c r="BSZ91" s="30"/>
      <c r="BTA91" s="30"/>
      <c r="BTB91" s="30"/>
      <c r="BTC91" s="30"/>
      <c r="BTD91" s="30"/>
      <c r="BTE91" s="30"/>
      <c r="BTF91" s="30"/>
      <c r="BTG91" s="30"/>
      <c r="BTH91" s="30"/>
      <c r="BTI91" s="30"/>
      <c r="BTJ91" s="30"/>
      <c r="BTK91" s="30"/>
      <c r="BTL91" s="30"/>
      <c r="BTM91" s="30"/>
      <c r="BTN91" s="30"/>
      <c r="BTO91" s="30"/>
      <c r="BTP91" s="30"/>
      <c r="BTQ91" s="30"/>
      <c r="BTR91" s="30"/>
      <c r="BTS91" s="30"/>
      <c r="BTT91" s="30"/>
      <c r="BTU91" s="30"/>
      <c r="BTV91" s="30"/>
      <c r="BTW91" s="30"/>
      <c r="BTX91" s="30"/>
      <c r="BTY91" s="30"/>
      <c r="BTZ91" s="30"/>
      <c r="BUA91" s="30"/>
      <c r="BUB91" s="30"/>
      <c r="BUC91" s="30"/>
      <c r="BUD91" s="30"/>
      <c r="BUE91" s="30"/>
      <c r="BUF91" s="30"/>
      <c r="BUG91" s="30"/>
      <c r="BUH91" s="30"/>
      <c r="BUI91" s="30"/>
      <c r="BUJ91" s="30"/>
      <c r="BUK91" s="30"/>
      <c r="BUL91" s="30"/>
      <c r="BUM91" s="30"/>
      <c r="BUN91" s="30"/>
      <c r="BUO91" s="30"/>
      <c r="BUP91" s="30"/>
      <c r="BUQ91" s="30"/>
      <c r="BUR91" s="30"/>
      <c r="BUS91" s="30"/>
      <c r="BUT91" s="30"/>
      <c r="BUU91" s="30"/>
      <c r="BUV91" s="30"/>
      <c r="BUW91" s="30"/>
      <c r="BUX91" s="30"/>
      <c r="BUY91" s="30"/>
      <c r="BUZ91" s="30"/>
      <c r="BVA91" s="30"/>
      <c r="BVB91" s="30"/>
      <c r="BVC91" s="30"/>
      <c r="BVD91" s="30"/>
      <c r="BVE91" s="30"/>
      <c r="BVF91" s="30"/>
      <c r="BVG91" s="30"/>
      <c r="BVH91" s="30"/>
      <c r="BVI91" s="30"/>
      <c r="BVJ91" s="30"/>
      <c r="BVK91" s="30"/>
      <c r="BVL91" s="30"/>
      <c r="BVM91" s="30"/>
      <c r="BVN91" s="30"/>
      <c r="BVO91" s="30"/>
      <c r="BVP91" s="30"/>
      <c r="BVQ91" s="30"/>
      <c r="BVR91" s="30"/>
      <c r="BVS91" s="30"/>
      <c r="BVT91" s="30"/>
      <c r="BVU91" s="30"/>
      <c r="BVV91" s="30"/>
      <c r="BVW91" s="30"/>
      <c r="BVX91" s="30"/>
      <c r="BVY91" s="30"/>
      <c r="BVZ91" s="30"/>
      <c r="BWA91" s="30"/>
      <c r="BWB91" s="30"/>
      <c r="BWC91" s="30"/>
      <c r="BWD91" s="30"/>
      <c r="BWE91" s="30"/>
      <c r="BWF91" s="30"/>
      <c r="BWG91" s="30"/>
      <c r="BWH91" s="30"/>
      <c r="BWI91" s="30"/>
      <c r="BWJ91" s="30"/>
      <c r="BWK91" s="30"/>
      <c r="BWL91" s="30"/>
      <c r="BWM91" s="30"/>
      <c r="BWN91" s="30"/>
      <c r="BWO91" s="30"/>
      <c r="BWP91" s="30"/>
      <c r="BWQ91" s="30"/>
      <c r="BWR91" s="30"/>
      <c r="BWS91" s="30"/>
      <c r="BWT91" s="30"/>
      <c r="BWU91" s="30"/>
      <c r="BWV91" s="30"/>
      <c r="BWW91" s="30"/>
      <c r="BWX91" s="30"/>
      <c r="BWY91" s="30"/>
      <c r="BWZ91" s="30"/>
      <c r="BXA91" s="30"/>
      <c r="BXB91" s="30"/>
      <c r="BXC91" s="30"/>
      <c r="BXD91" s="30"/>
      <c r="BXE91" s="30"/>
      <c r="BXF91" s="30"/>
      <c r="BXG91" s="30"/>
      <c r="BXH91" s="30"/>
      <c r="BXI91" s="30"/>
      <c r="BXJ91" s="30"/>
      <c r="BXK91" s="30"/>
      <c r="BXL91" s="30"/>
      <c r="BXM91" s="30"/>
      <c r="BXN91" s="30"/>
      <c r="BXO91" s="30"/>
      <c r="BXP91" s="30"/>
      <c r="BXQ91" s="30"/>
      <c r="BXR91" s="30"/>
      <c r="BXS91" s="30"/>
      <c r="BXT91" s="30"/>
      <c r="BXU91" s="30"/>
      <c r="BXV91" s="30"/>
      <c r="BXW91" s="30"/>
      <c r="BXX91" s="30"/>
      <c r="BXY91" s="30"/>
      <c r="BXZ91" s="30"/>
      <c r="BYA91" s="30"/>
      <c r="BYB91" s="30"/>
      <c r="BYC91" s="30"/>
      <c r="BYD91" s="30"/>
      <c r="BYE91" s="30"/>
      <c r="BYF91" s="30"/>
      <c r="BYG91" s="30"/>
      <c r="BYH91" s="30"/>
      <c r="BYI91" s="30"/>
      <c r="BYJ91" s="30"/>
      <c r="BYK91" s="30"/>
      <c r="BYL91" s="30"/>
      <c r="BYM91" s="30"/>
      <c r="BYN91" s="30"/>
      <c r="BYO91" s="30"/>
      <c r="BYP91" s="30"/>
      <c r="BYQ91" s="30"/>
      <c r="BYR91" s="30"/>
      <c r="BYS91" s="30"/>
      <c r="BYT91" s="30"/>
      <c r="BYU91" s="30"/>
      <c r="BYV91" s="30"/>
      <c r="BYW91" s="30"/>
      <c r="BYX91" s="30"/>
      <c r="BYY91" s="30"/>
      <c r="BYZ91" s="30"/>
      <c r="BZA91" s="30"/>
      <c r="BZB91" s="30"/>
      <c r="BZC91" s="30"/>
      <c r="BZD91" s="30"/>
      <c r="BZE91" s="30"/>
      <c r="BZF91" s="30"/>
      <c r="BZG91" s="30"/>
      <c r="BZH91" s="30"/>
      <c r="BZI91" s="30"/>
      <c r="BZJ91" s="30"/>
      <c r="BZK91" s="30"/>
      <c r="BZL91" s="30"/>
      <c r="BZM91" s="30"/>
      <c r="BZN91" s="30"/>
      <c r="BZO91" s="30"/>
      <c r="BZP91" s="30"/>
      <c r="BZQ91" s="30"/>
      <c r="BZR91" s="30"/>
      <c r="BZS91" s="30"/>
      <c r="BZT91" s="30"/>
      <c r="BZU91" s="30"/>
      <c r="BZV91" s="30"/>
      <c r="BZW91" s="30"/>
      <c r="BZX91" s="30"/>
      <c r="BZY91" s="30"/>
      <c r="BZZ91" s="30"/>
      <c r="CAA91" s="30"/>
      <c r="CAB91" s="30"/>
      <c r="CAC91" s="30"/>
      <c r="CAD91" s="30"/>
      <c r="CAE91" s="30"/>
      <c r="CAF91" s="30"/>
      <c r="CAG91" s="30"/>
      <c r="CAH91" s="30"/>
      <c r="CAI91" s="30"/>
      <c r="CAJ91" s="30"/>
      <c r="CAK91" s="30"/>
      <c r="CAL91" s="30"/>
      <c r="CAM91" s="30"/>
      <c r="CAN91" s="30"/>
      <c r="CAO91" s="30"/>
      <c r="CAP91" s="30"/>
      <c r="CAQ91" s="30"/>
      <c r="CAR91" s="30"/>
      <c r="CAS91" s="30"/>
      <c r="CAT91" s="30"/>
      <c r="CAU91" s="30"/>
      <c r="CAV91" s="30"/>
      <c r="CAW91" s="30"/>
      <c r="CAX91" s="30"/>
      <c r="CAY91" s="30"/>
      <c r="CAZ91" s="30"/>
      <c r="CBA91" s="30"/>
      <c r="CBB91" s="30"/>
      <c r="CBC91" s="30"/>
      <c r="CBD91" s="30"/>
      <c r="CBE91" s="30"/>
      <c r="CBF91" s="30"/>
      <c r="CBG91" s="30"/>
      <c r="CBH91" s="30"/>
      <c r="CBI91" s="30"/>
      <c r="CBJ91" s="30"/>
      <c r="CBK91" s="30"/>
      <c r="CBL91" s="30"/>
      <c r="CBM91" s="30"/>
      <c r="CBN91" s="30"/>
      <c r="CBO91" s="30"/>
      <c r="CBP91" s="30"/>
      <c r="CBQ91" s="30"/>
      <c r="CBR91" s="30"/>
      <c r="CBS91" s="30"/>
      <c r="CBT91" s="30"/>
      <c r="CBU91" s="30"/>
      <c r="CBV91" s="30"/>
      <c r="CBW91" s="30"/>
      <c r="CBX91" s="30"/>
      <c r="CBY91" s="30"/>
      <c r="CBZ91" s="30"/>
      <c r="CCA91" s="30"/>
      <c r="CCB91" s="30"/>
      <c r="CCC91" s="30"/>
      <c r="CCD91" s="30"/>
      <c r="CCE91" s="30"/>
      <c r="CCF91" s="30"/>
      <c r="CCG91" s="30"/>
      <c r="CCH91" s="30"/>
      <c r="CCI91" s="30"/>
      <c r="CCJ91" s="30"/>
      <c r="CCK91" s="30"/>
      <c r="CCL91" s="30"/>
      <c r="CCM91" s="30"/>
      <c r="CCN91" s="30"/>
      <c r="CCO91" s="30"/>
      <c r="CCP91" s="30"/>
      <c r="CCQ91" s="30"/>
      <c r="CCR91" s="30"/>
      <c r="CCS91" s="30"/>
      <c r="CCT91" s="30"/>
      <c r="CCU91" s="30"/>
      <c r="CCV91" s="30"/>
      <c r="CCW91" s="30"/>
      <c r="CCX91" s="30"/>
      <c r="CCY91" s="30"/>
      <c r="CCZ91" s="30"/>
      <c r="CDA91" s="30"/>
      <c r="CDB91" s="30"/>
      <c r="CDC91" s="30"/>
      <c r="CDD91" s="30"/>
      <c r="CDE91" s="30"/>
      <c r="CDF91" s="30"/>
      <c r="CDG91" s="30"/>
      <c r="CDH91" s="30"/>
      <c r="CDI91" s="30"/>
      <c r="CDJ91" s="30"/>
      <c r="CDK91" s="30"/>
      <c r="CDL91" s="30"/>
      <c r="CDM91" s="30"/>
      <c r="CDN91" s="30"/>
      <c r="CDO91" s="30"/>
      <c r="CDP91" s="30"/>
      <c r="CDQ91" s="30"/>
      <c r="CDR91" s="30"/>
      <c r="CDS91" s="30"/>
      <c r="CDT91" s="30"/>
      <c r="CDU91" s="30"/>
      <c r="CDV91" s="30"/>
      <c r="CDW91" s="30"/>
      <c r="CDX91" s="30"/>
      <c r="CDY91" s="30"/>
      <c r="CDZ91" s="30"/>
      <c r="CEA91" s="30"/>
      <c r="CEB91" s="30"/>
      <c r="CEC91" s="30"/>
      <c r="CED91" s="30"/>
      <c r="CEE91" s="30"/>
      <c r="CEF91" s="30"/>
      <c r="CEG91" s="30"/>
      <c r="CEH91" s="30"/>
      <c r="CEI91" s="30"/>
      <c r="CEJ91" s="30"/>
      <c r="CEK91" s="30"/>
      <c r="CEL91" s="30"/>
      <c r="CEM91" s="30"/>
      <c r="CEN91" s="30"/>
      <c r="CEO91" s="30"/>
      <c r="CEP91" s="30"/>
      <c r="CEQ91" s="30"/>
      <c r="CER91" s="30"/>
      <c r="CES91" s="30"/>
      <c r="CET91" s="30"/>
      <c r="CEU91" s="30"/>
      <c r="CEV91" s="30"/>
      <c r="CEW91" s="30"/>
      <c r="CEX91" s="30"/>
      <c r="CEY91" s="30"/>
      <c r="CEZ91" s="30"/>
      <c r="CFA91" s="30"/>
      <c r="CFB91" s="30"/>
      <c r="CFC91" s="30"/>
      <c r="CFD91" s="30"/>
      <c r="CFE91" s="30"/>
      <c r="CFF91" s="30"/>
      <c r="CFG91" s="30"/>
      <c r="CFH91" s="30"/>
      <c r="CFI91" s="30"/>
      <c r="CFJ91" s="30"/>
      <c r="CFK91" s="30"/>
      <c r="CFL91" s="30"/>
      <c r="CFM91" s="30"/>
      <c r="CFN91" s="30"/>
      <c r="CFO91" s="30"/>
      <c r="CFP91" s="30"/>
      <c r="CFQ91" s="30"/>
      <c r="CFR91" s="30"/>
      <c r="CFS91" s="30"/>
      <c r="CFT91" s="30"/>
      <c r="CFU91" s="30"/>
      <c r="CFV91" s="30"/>
      <c r="CFW91" s="30"/>
      <c r="CFX91" s="30"/>
      <c r="CFY91" s="30"/>
      <c r="CFZ91" s="30"/>
      <c r="CGA91" s="30"/>
      <c r="CGB91" s="30"/>
      <c r="CGC91" s="30"/>
      <c r="CGD91" s="30"/>
      <c r="CGE91" s="30"/>
      <c r="CGF91" s="30"/>
      <c r="CGG91" s="30"/>
      <c r="CGH91" s="30"/>
      <c r="CGI91" s="30"/>
      <c r="CGJ91" s="30"/>
      <c r="CGK91" s="30"/>
      <c r="CGL91" s="30"/>
      <c r="CGM91" s="30"/>
      <c r="CGN91" s="30"/>
      <c r="CGO91" s="30"/>
      <c r="CGP91" s="30"/>
      <c r="CGQ91" s="30"/>
      <c r="CGR91" s="30"/>
      <c r="CGS91" s="30"/>
      <c r="CGT91" s="30"/>
      <c r="CGU91" s="30"/>
      <c r="CGV91" s="30"/>
      <c r="CGW91" s="30"/>
      <c r="CGX91" s="30"/>
      <c r="CGY91" s="30"/>
      <c r="CGZ91" s="30"/>
      <c r="CHA91" s="30"/>
      <c r="CHB91" s="30"/>
      <c r="CHC91" s="30"/>
      <c r="CHD91" s="30"/>
      <c r="CHE91" s="30"/>
      <c r="CHF91" s="30"/>
      <c r="CHG91" s="30"/>
      <c r="CHH91" s="30"/>
      <c r="CHI91" s="30"/>
      <c r="CHJ91" s="30"/>
      <c r="CHK91" s="30"/>
      <c r="CHL91" s="30"/>
      <c r="CHM91" s="30"/>
      <c r="CHN91" s="30"/>
      <c r="CHO91" s="30"/>
      <c r="CHP91" s="30"/>
      <c r="CHQ91" s="30"/>
      <c r="CHR91" s="30"/>
      <c r="CHS91" s="30"/>
      <c r="CHT91" s="30"/>
      <c r="CHU91" s="30"/>
      <c r="CHV91" s="30"/>
      <c r="CHW91" s="30"/>
      <c r="CHX91" s="30"/>
      <c r="CHY91" s="30"/>
      <c r="CHZ91" s="30"/>
      <c r="CIA91" s="30"/>
      <c r="CIB91" s="30"/>
      <c r="CIC91" s="30"/>
      <c r="CID91" s="30"/>
      <c r="CIE91" s="30"/>
      <c r="CIF91" s="30"/>
      <c r="CIG91" s="30"/>
      <c r="CIH91" s="30"/>
      <c r="CII91" s="30"/>
      <c r="CIJ91" s="30"/>
      <c r="CIK91" s="30"/>
      <c r="CIL91" s="30"/>
      <c r="CIM91" s="30"/>
      <c r="CIN91" s="30"/>
      <c r="CIO91" s="30"/>
      <c r="CIP91" s="30"/>
      <c r="CIQ91" s="30"/>
      <c r="CIR91" s="30"/>
      <c r="CIS91" s="30"/>
      <c r="CIT91" s="30"/>
      <c r="CIU91" s="30"/>
      <c r="CIV91" s="30"/>
      <c r="CIW91" s="30"/>
      <c r="CIX91" s="30"/>
      <c r="CIY91" s="30"/>
      <c r="CIZ91" s="30"/>
      <c r="CJA91" s="30"/>
      <c r="CJB91" s="30"/>
      <c r="CJC91" s="30"/>
      <c r="CJD91" s="30"/>
      <c r="CJE91" s="30"/>
      <c r="CJF91" s="30"/>
      <c r="CJG91" s="30"/>
      <c r="CJH91" s="30"/>
      <c r="CJI91" s="30"/>
      <c r="CJJ91" s="30"/>
      <c r="CJK91" s="30"/>
      <c r="CJL91" s="30"/>
      <c r="CJM91" s="30"/>
      <c r="CJN91" s="30"/>
      <c r="CJO91" s="30"/>
      <c r="CJP91" s="30"/>
      <c r="CJQ91" s="30"/>
      <c r="CJR91" s="30"/>
      <c r="CJS91" s="30"/>
      <c r="CJT91" s="30"/>
      <c r="CJU91" s="30"/>
      <c r="CJV91" s="30"/>
      <c r="CJW91" s="30"/>
      <c r="CJX91" s="30"/>
      <c r="CJY91" s="30"/>
      <c r="CJZ91" s="30"/>
      <c r="CKA91" s="30"/>
      <c r="CKB91" s="30"/>
      <c r="CKC91" s="30"/>
      <c r="CKD91" s="30"/>
      <c r="CKE91" s="30"/>
      <c r="CKF91" s="30"/>
      <c r="CKG91" s="30"/>
      <c r="CKH91" s="30"/>
      <c r="CKI91" s="30"/>
      <c r="CKJ91" s="30"/>
      <c r="CKK91" s="30"/>
      <c r="CKL91" s="30"/>
      <c r="CKM91" s="30"/>
      <c r="CKN91" s="30"/>
      <c r="CKO91" s="30"/>
      <c r="CKP91" s="30"/>
      <c r="CKQ91" s="30"/>
      <c r="CKR91" s="30"/>
      <c r="CKS91" s="30"/>
      <c r="CKT91" s="30"/>
      <c r="CKU91" s="30"/>
      <c r="CKV91" s="30"/>
      <c r="CKW91" s="30"/>
      <c r="CKX91" s="30"/>
      <c r="CKY91" s="30"/>
      <c r="CKZ91" s="30"/>
      <c r="CLA91" s="30"/>
      <c r="CLB91" s="30"/>
      <c r="CLC91" s="30"/>
      <c r="CLD91" s="30"/>
      <c r="CLE91" s="30"/>
      <c r="CLF91" s="30"/>
      <c r="CLG91" s="30"/>
      <c r="CLH91" s="30"/>
      <c r="CLI91" s="30"/>
      <c r="CLJ91" s="30"/>
      <c r="CLK91" s="30"/>
      <c r="CLL91" s="30"/>
      <c r="CLM91" s="30"/>
      <c r="CLN91" s="30"/>
      <c r="CLO91" s="30"/>
      <c r="CLP91" s="30"/>
      <c r="CLQ91" s="30"/>
      <c r="CLR91" s="30"/>
      <c r="CLS91" s="30"/>
      <c r="CLT91" s="30"/>
      <c r="CLU91" s="30"/>
      <c r="CLV91" s="30"/>
      <c r="CLW91" s="30"/>
      <c r="CLX91" s="30"/>
      <c r="CLY91" s="30"/>
      <c r="CLZ91" s="30"/>
      <c r="CMA91" s="30"/>
      <c r="CMB91" s="30"/>
      <c r="CMC91" s="30"/>
      <c r="CMD91" s="30"/>
      <c r="CME91" s="30"/>
      <c r="CMF91" s="30"/>
      <c r="CMG91" s="30"/>
      <c r="CMH91" s="30"/>
      <c r="CMI91" s="30"/>
      <c r="CMJ91" s="30"/>
      <c r="CMK91" s="30"/>
      <c r="CML91" s="30"/>
      <c r="CMM91" s="30"/>
      <c r="CMN91" s="30"/>
      <c r="CMO91" s="30"/>
      <c r="CMP91" s="30"/>
      <c r="CMQ91" s="30"/>
      <c r="CMR91" s="30"/>
      <c r="CMS91" s="30"/>
      <c r="CMT91" s="30"/>
      <c r="CMU91" s="30"/>
      <c r="CMV91" s="30"/>
      <c r="CMW91" s="30"/>
      <c r="CMX91" s="30"/>
      <c r="CMY91" s="30"/>
      <c r="CMZ91" s="30"/>
      <c r="CNA91" s="30"/>
      <c r="CNB91" s="30"/>
      <c r="CNC91" s="30"/>
      <c r="CND91" s="30"/>
      <c r="CNE91" s="30"/>
      <c r="CNF91" s="30"/>
      <c r="CNG91" s="30"/>
      <c r="CNH91" s="30"/>
      <c r="CNI91" s="30"/>
      <c r="CNJ91" s="30"/>
      <c r="CNK91" s="30"/>
      <c r="CNL91" s="30"/>
      <c r="CNM91" s="30"/>
      <c r="CNN91" s="30"/>
      <c r="CNO91" s="30"/>
      <c r="CNP91" s="30"/>
      <c r="CNQ91" s="30"/>
      <c r="CNR91" s="30"/>
      <c r="CNS91" s="30"/>
      <c r="CNT91" s="30"/>
      <c r="CNU91" s="30"/>
      <c r="CNV91" s="30"/>
      <c r="CNW91" s="30"/>
      <c r="CNX91" s="30"/>
      <c r="CNY91" s="30"/>
      <c r="CNZ91" s="30"/>
      <c r="COA91" s="30"/>
      <c r="COB91" s="30"/>
      <c r="COC91" s="30"/>
      <c r="COD91" s="30"/>
      <c r="COE91" s="30"/>
      <c r="COF91" s="30"/>
      <c r="COG91" s="30"/>
      <c r="COH91" s="30"/>
      <c r="COI91" s="30"/>
      <c r="COJ91" s="30"/>
      <c r="COK91" s="30"/>
      <c r="COL91" s="30"/>
      <c r="COM91" s="30"/>
      <c r="CON91" s="30"/>
      <c r="COO91" s="30"/>
      <c r="COP91" s="30"/>
      <c r="COQ91" s="30"/>
      <c r="COR91" s="30"/>
      <c r="COS91" s="30"/>
      <c r="COT91" s="30"/>
      <c r="COU91" s="30"/>
      <c r="COV91" s="30"/>
      <c r="COW91" s="30"/>
      <c r="COX91" s="30"/>
      <c r="COY91" s="30"/>
      <c r="COZ91" s="30"/>
      <c r="CPA91" s="30"/>
      <c r="CPB91" s="30"/>
      <c r="CPC91" s="30"/>
      <c r="CPD91" s="30"/>
      <c r="CPE91" s="30"/>
      <c r="CPF91" s="30"/>
      <c r="CPG91" s="30"/>
      <c r="CPH91" s="30"/>
      <c r="CPI91" s="30"/>
      <c r="CPJ91" s="30"/>
      <c r="CPK91" s="30"/>
      <c r="CPL91" s="30"/>
      <c r="CPM91" s="30"/>
      <c r="CPN91" s="30"/>
      <c r="CPO91" s="30"/>
      <c r="CPP91" s="30"/>
      <c r="CPQ91" s="30"/>
      <c r="CPR91" s="30"/>
      <c r="CPS91" s="30"/>
      <c r="CPT91" s="30"/>
      <c r="CPU91" s="30"/>
      <c r="CPV91" s="30"/>
      <c r="CPW91" s="30"/>
      <c r="CPX91" s="30"/>
      <c r="CPY91" s="30"/>
      <c r="CPZ91" s="30"/>
      <c r="CQA91" s="30"/>
      <c r="CQB91" s="30"/>
      <c r="CQC91" s="30"/>
      <c r="CQD91" s="30"/>
      <c r="CQE91" s="30"/>
      <c r="CQF91" s="30"/>
      <c r="CQG91" s="30"/>
      <c r="CQH91" s="30"/>
      <c r="CQI91" s="30"/>
      <c r="CQJ91" s="30"/>
      <c r="CQK91" s="30"/>
      <c r="CQL91" s="30"/>
      <c r="CQM91" s="30"/>
      <c r="CQN91" s="30"/>
      <c r="CQO91" s="30"/>
      <c r="CQP91" s="30"/>
      <c r="CQQ91" s="30"/>
      <c r="CQR91" s="30"/>
      <c r="CQS91" s="30"/>
      <c r="CQT91" s="30"/>
      <c r="CQU91" s="30"/>
      <c r="CQV91" s="30"/>
      <c r="CQW91" s="30"/>
      <c r="CQX91" s="30"/>
      <c r="CQY91" s="30"/>
      <c r="CQZ91" s="30"/>
      <c r="CRA91" s="30"/>
      <c r="CRB91" s="30"/>
      <c r="CRC91" s="30"/>
      <c r="CRD91" s="30"/>
      <c r="CRE91" s="30"/>
      <c r="CRF91" s="30"/>
      <c r="CRG91" s="30"/>
      <c r="CRH91" s="30"/>
      <c r="CRI91" s="30"/>
      <c r="CRJ91" s="30"/>
      <c r="CRK91" s="30"/>
      <c r="CRL91" s="30"/>
      <c r="CRM91" s="30"/>
      <c r="CRN91" s="30"/>
      <c r="CRO91" s="30"/>
      <c r="CRP91" s="30"/>
      <c r="CRQ91" s="30"/>
      <c r="CRR91" s="30"/>
      <c r="CRS91" s="30"/>
      <c r="CRT91" s="30"/>
      <c r="CRU91" s="30"/>
      <c r="CRV91" s="30"/>
      <c r="CRW91" s="30"/>
      <c r="CRX91" s="30"/>
      <c r="CRY91" s="30"/>
      <c r="CRZ91" s="30"/>
      <c r="CSA91" s="30"/>
      <c r="CSB91" s="30"/>
      <c r="CSC91" s="30"/>
      <c r="CSD91" s="30"/>
      <c r="CSE91" s="30"/>
      <c r="CSF91" s="30"/>
      <c r="CSG91" s="30"/>
      <c r="CSH91" s="30"/>
      <c r="CSI91" s="30"/>
      <c r="CSJ91" s="30"/>
      <c r="CSK91" s="30"/>
      <c r="CSL91" s="30"/>
      <c r="CSM91" s="30"/>
      <c r="CSN91" s="30"/>
      <c r="CSO91" s="30"/>
      <c r="CSP91" s="30"/>
      <c r="CSQ91" s="30"/>
      <c r="CSR91" s="30"/>
      <c r="CSS91" s="30"/>
      <c r="CST91" s="30"/>
      <c r="CSU91" s="30"/>
      <c r="CSV91" s="30"/>
      <c r="CSW91" s="30"/>
      <c r="CSX91" s="30"/>
      <c r="CSY91" s="30"/>
      <c r="CSZ91" s="30"/>
      <c r="CTA91" s="30"/>
      <c r="CTB91" s="30"/>
      <c r="CTC91" s="30"/>
      <c r="CTD91" s="30"/>
      <c r="CTE91" s="30"/>
      <c r="CTF91" s="30"/>
      <c r="CTG91" s="30"/>
      <c r="CTH91" s="30"/>
      <c r="CTI91" s="30"/>
      <c r="CTJ91" s="30"/>
      <c r="CTK91" s="30"/>
      <c r="CTL91" s="30"/>
      <c r="CTM91" s="30"/>
      <c r="CTN91" s="30"/>
      <c r="CTO91" s="30"/>
      <c r="CTP91" s="30"/>
      <c r="CTQ91" s="30"/>
      <c r="CTR91" s="30"/>
      <c r="CTS91" s="30"/>
      <c r="CTT91" s="30"/>
      <c r="CTU91" s="30"/>
      <c r="CTV91" s="30"/>
      <c r="CTW91" s="30"/>
      <c r="CTX91" s="30"/>
      <c r="CTY91" s="30"/>
      <c r="CTZ91" s="30"/>
      <c r="CUA91" s="30"/>
    </row>
    <row r="92" s="30" customFormat="1" ht="22.5" spans="1:18">
      <c r="A92" s="268">
        <v>98</v>
      </c>
      <c r="B92" s="268" t="s">
        <v>14</v>
      </c>
      <c r="C92" s="268" t="s">
        <v>37</v>
      </c>
      <c r="D92" s="82" t="s">
        <v>262</v>
      </c>
      <c r="E92" s="248" t="s">
        <v>890</v>
      </c>
      <c r="F92" s="85"/>
      <c r="G92" s="85"/>
      <c r="H92" s="277" t="s">
        <v>891</v>
      </c>
      <c r="I92" s="85"/>
      <c r="J92" s="85"/>
      <c r="K92" s="85"/>
      <c r="L92" s="31" t="s">
        <v>667</v>
      </c>
      <c r="M92" s="29" t="s">
        <v>44</v>
      </c>
      <c r="N92" s="177">
        <v>45749</v>
      </c>
      <c r="O92" s="177">
        <v>46113</v>
      </c>
      <c r="P92" s="204">
        <v>60</v>
      </c>
      <c r="Q92" s="249"/>
      <c r="R92" s="322"/>
    </row>
    <row r="93" s="30" customFormat="1" ht="22.5" spans="1:18">
      <c r="A93" s="268">
        <v>99</v>
      </c>
      <c r="B93" s="268" t="s">
        <v>14</v>
      </c>
      <c r="C93" s="268" t="s">
        <v>37</v>
      </c>
      <c r="D93" s="82" t="s">
        <v>262</v>
      </c>
      <c r="E93" s="307" t="s">
        <v>892</v>
      </c>
      <c r="F93" s="85"/>
      <c r="G93" s="85"/>
      <c r="H93" s="277" t="s">
        <v>893</v>
      </c>
      <c r="I93" s="85"/>
      <c r="J93" s="85"/>
      <c r="K93" s="85"/>
      <c r="L93" s="31" t="s">
        <v>667</v>
      </c>
      <c r="M93" s="29" t="s">
        <v>44</v>
      </c>
      <c r="N93" s="177">
        <v>45749</v>
      </c>
      <c r="O93" s="177">
        <v>46113</v>
      </c>
      <c r="P93" s="204">
        <v>60</v>
      </c>
      <c r="Q93" s="249"/>
      <c r="R93" s="322"/>
    </row>
    <row r="94" s="30" customFormat="1" spans="1:18">
      <c r="A94" s="268">
        <v>100</v>
      </c>
      <c r="B94" s="268" t="s">
        <v>14</v>
      </c>
      <c r="C94" s="268" t="s">
        <v>54</v>
      </c>
      <c r="D94" s="82" t="s">
        <v>262</v>
      </c>
      <c r="E94" s="307" t="s">
        <v>894</v>
      </c>
      <c r="F94" s="85"/>
      <c r="G94" s="85"/>
      <c r="H94" s="277" t="s">
        <v>895</v>
      </c>
      <c r="I94" s="85"/>
      <c r="J94" s="85"/>
      <c r="K94" s="85"/>
      <c r="L94" s="31" t="s">
        <v>667</v>
      </c>
      <c r="M94" s="29" t="s">
        <v>44</v>
      </c>
      <c r="N94" s="177">
        <v>45749</v>
      </c>
      <c r="O94" s="177">
        <v>46113</v>
      </c>
      <c r="P94" s="204">
        <v>60</v>
      </c>
      <c r="Q94" s="249"/>
      <c r="R94" s="322"/>
    </row>
    <row r="95" s="266" customFormat="1" spans="1:2575">
      <c r="A95" s="268">
        <v>101</v>
      </c>
      <c r="B95" s="268" t="s">
        <v>14</v>
      </c>
      <c r="C95" s="268" t="s">
        <v>54</v>
      </c>
      <c r="D95" s="82" t="s">
        <v>262</v>
      </c>
      <c r="E95" s="307" t="s">
        <v>896</v>
      </c>
      <c r="F95" s="85"/>
      <c r="G95" s="85"/>
      <c r="H95" s="277" t="s">
        <v>897</v>
      </c>
      <c r="I95" s="85"/>
      <c r="J95" s="85"/>
      <c r="K95" s="85"/>
      <c r="L95" s="31" t="s">
        <v>667</v>
      </c>
      <c r="M95" s="29" t="s">
        <v>44</v>
      </c>
      <c r="N95" s="177">
        <v>45749</v>
      </c>
      <c r="O95" s="177">
        <v>46113</v>
      </c>
      <c r="P95" s="204">
        <v>60</v>
      </c>
      <c r="Q95" s="249"/>
      <c r="R95" s="322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0"/>
      <c r="IC95" s="30"/>
      <c r="ID95" s="30"/>
      <c r="IE95" s="30"/>
      <c r="IF95" s="30"/>
      <c r="IG95" s="30"/>
      <c r="IH95" s="30"/>
      <c r="II95" s="30"/>
      <c r="IJ95" s="30"/>
      <c r="IK95" s="30"/>
      <c r="IL95" s="30"/>
      <c r="IM95" s="30"/>
      <c r="IN95" s="30"/>
      <c r="IO95" s="30"/>
      <c r="IP95" s="30"/>
      <c r="IQ95" s="30"/>
      <c r="IR95" s="30"/>
      <c r="IS95" s="30"/>
      <c r="IT95" s="30"/>
      <c r="IU95" s="30"/>
      <c r="IV95" s="30"/>
      <c r="IW95" s="30"/>
      <c r="IX95" s="30"/>
      <c r="IY95" s="30"/>
      <c r="IZ95" s="30"/>
      <c r="JA95" s="30"/>
      <c r="JB95" s="30"/>
      <c r="JC95" s="30"/>
      <c r="JD95" s="30"/>
      <c r="JE95" s="30"/>
      <c r="JF95" s="30"/>
      <c r="JG95" s="30"/>
      <c r="JH95" s="30"/>
      <c r="JI95" s="30"/>
      <c r="JJ95" s="30"/>
      <c r="JK95" s="30"/>
      <c r="JL95" s="30"/>
      <c r="JM95" s="30"/>
      <c r="JN95" s="30"/>
      <c r="JO95" s="30"/>
      <c r="JP95" s="30"/>
      <c r="JQ95" s="30"/>
      <c r="JR95" s="30"/>
      <c r="JS95" s="30"/>
      <c r="JT95" s="30"/>
      <c r="JU95" s="30"/>
      <c r="JV95" s="30"/>
      <c r="JW95" s="30"/>
      <c r="JX95" s="30"/>
      <c r="JY95" s="30"/>
      <c r="JZ95" s="30"/>
      <c r="KA95" s="30"/>
      <c r="KB95" s="30"/>
      <c r="KC95" s="30"/>
      <c r="KD95" s="30"/>
      <c r="KE95" s="30"/>
      <c r="KF95" s="30"/>
      <c r="KG95" s="30"/>
      <c r="KH95" s="30"/>
      <c r="KI95" s="30"/>
      <c r="KJ95" s="30"/>
      <c r="KK95" s="30"/>
      <c r="KL95" s="30"/>
      <c r="KM95" s="30"/>
      <c r="KN95" s="30"/>
      <c r="KO95" s="30"/>
      <c r="KP95" s="30"/>
      <c r="KQ95" s="30"/>
      <c r="KR95" s="30"/>
      <c r="KS95" s="30"/>
      <c r="KT95" s="30"/>
      <c r="KU95" s="30"/>
      <c r="KV95" s="30"/>
      <c r="KW95" s="30"/>
      <c r="KX95" s="30"/>
      <c r="KY95" s="30"/>
      <c r="KZ95" s="30"/>
      <c r="LA95" s="30"/>
      <c r="LB95" s="30"/>
      <c r="LC95" s="30"/>
      <c r="LD95" s="30"/>
      <c r="LE95" s="30"/>
      <c r="LF95" s="30"/>
      <c r="LG95" s="30"/>
      <c r="LH95" s="30"/>
      <c r="LI95" s="30"/>
      <c r="LJ95" s="30"/>
      <c r="LK95" s="30"/>
      <c r="LL95" s="30"/>
      <c r="LM95" s="30"/>
      <c r="LN95" s="30"/>
      <c r="LO95" s="30"/>
      <c r="LP95" s="30"/>
      <c r="LQ95" s="30"/>
      <c r="LR95" s="30"/>
      <c r="LS95" s="30"/>
      <c r="LT95" s="30"/>
      <c r="LU95" s="30"/>
      <c r="LV95" s="30"/>
      <c r="LW95" s="30"/>
      <c r="LX95" s="30"/>
      <c r="LY95" s="30"/>
      <c r="LZ95" s="30"/>
      <c r="MA95" s="30"/>
      <c r="MB95" s="30"/>
      <c r="MC95" s="30"/>
      <c r="MD95" s="30"/>
      <c r="ME95" s="30"/>
      <c r="MF95" s="30"/>
      <c r="MG95" s="30"/>
      <c r="MH95" s="30"/>
      <c r="MI95" s="30"/>
      <c r="MJ95" s="30"/>
      <c r="MK95" s="30"/>
      <c r="ML95" s="30"/>
      <c r="MM95" s="30"/>
      <c r="MN95" s="30"/>
      <c r="MO95" s="30"/>
      <c r="MP95" s="30"/>
      <c r="MQ95" s="30"/>
      <c r="MR95" s="30"/>
      <c r="MS95" s="30"/>
      <c r="MT95" s="30"/>
      <c r="MU95" s="30"/>
      <c r="MV95" s="30"/>
      <c r="MW95" s="30"/>
      <c r="MX95" s="30"/>
      <c r="MY95" s="30"/>
      <c r="MZ95" s="30"/>
      <c r="NA95" s="30"/>
      <c r="NB95" s="30"/>
      <c r="NC95" s="30"/>
      <c r="ND95" s="30"/>
      <c r="NE95" s="30"/>
      <c r="NF95" s="30"/>
      <c r="NG95" s="30"/>
      <c r="NH95" s="30"/>
      <c r="NI95" s="30"/>
      <c r="NJ95" s="30"/>
      <c r="NK95" s="30"/>
      <c r="NL95" s="30"/>
      <c r="NM95" s="30"/>
      <c r="NN95" s="30"/>
      <c r="NO95" s="30"/>
      <c r="NP95" s="30"/>
      <c r="NQ95" s="30"/>
      <c r="NR95" s="30"/>
      <c r="NS95" s="30"/>
      <c r="NT95" s="30"/>
      <c r="NU95" s="30"/>
      <c r="NV95" s="30"/>
      <c r="NW95" s="30"/>
      <c r="NX95" s="30"/>
      <c r="NY95" s="30"/>
      <c r="NZ95" s="30"/>
      <c r="OA95" s="30"/>
      <c r="OB95" s="30"/>
      <c r="OC95" s="30"/>
      <c r="OD95" s="30"/>
      <c r="OE95" s="30"/>
      <c r="OF95" s="30"/>
      <c r="OG95" s="30"/>
      <c r="OH95" s="30"/>
      <c r="OI95" s="30"/>
      <c r="OJ95" s="30"/>
      <c r="OK95" s="30"/>
      <c r="OL95" s="30"/>
      <c r="OM95" s="30"/>
      <c r="ON95" s="30"/>
      <c r="OO95" s="30"/>
      <c r="OP95" s="30"/>
      <c r="OQ95" s="30"/>
      <c r="OR95" s="30"/>
      <c r="OS95" s="30"/>
      <c r="OT95" s="30"/>
      <c r="OU95" s="30"/>
      <c r="OV95" s="30"/>
      <c r="OW95" s="30"/>
      <c r="OX95" s="30"/>
      <c r="OY95" s="30"/>
      <c r="OZ95" s="30"/>
      <c r="PA95" s="30"/>
      <c r="PB95" s="30"/>
      <c r="PC95" s="30"/>
      <c r="PD95" s="30"/>
      <c r="PE95" s="30"/>
      <c r="PF95" s="30"/>
      <c r="PG95" s="30"/>
      <c r="PH95" s="30"/>
      <c r="PI95" s="30"/>
      <c r="PJ95" s="30"/>
      <c r="PK95" s="30"/>
      <c r="PL95" s="30"/>
      <c r="PM95" s="30"/>
      <c r="PN95" s="30"/>
      <c r="PO95" s="30"/>
      <c r="PP95" s="30"/>
      <c r="PQ95" s="30"/>
      <c r="PR95" s="30"/>
      <c r="PS95" s="30"/>
      <c r="PT95" s="30"/>
      <c r="PU95" s="30"/>
      <c r="PV95" s="30"/>
      <c r="PW95" s="30"/>
      <c r="PX95" s="30"/>
      <c r="PY95" s="30"/>
      <c r="PZ95" s="30"/>
      <c r="QA95" s="30"/>
      <c r="QB95" s="30"/>
      <c r="QC95" s="30"/>
      <c r="QD95" s="30"/>
      <c r="QE95" s="30"/>
      <c r="QF95" s="30"/>
      <c r="QG95" s="30"/>
      <c r="QH95" s="30"/>
      <c r="QI95" s="30"/>
      <c r="QJ95" s="30"/>
      <c r="QK95" s="30"/>
      <c r="QL95" s="30"/>
      <c r="QM95" s="30"/>
      <c r="QN95" s="30"/>
      <c r="QO95" s="30"/>
      <c r="QP95" s="30"/>
      <c r="QQ95" s="30"/>
      <c r="QR95" s="30"/>
      <c r="QS95" s="30"/>
      <c r="QT95" s="30"/>
      <c r="QU95" s="30"/>
      <c r="QV95" s="30"/>
      <c r="QW95" s="30"/>
      <c r="QX95" s="30"/>
      <c r="QY95" s="30"/>
      <c r="QZ95" s="30"/>
      <c r="RA95" s="30"/>
      <c r="RB95" s="30"/>
      <c r="RC95" s="30"/>
      <c r="RD95" s="30"/>
      <c r="RE95" s="30"/>
      <c r="RF95" s="30"/>
      <c r="RG95" s="30"/>
      <c r="RH95" s="30"/>
      <c r="RI95" s="30"/>
      <c r="RJ95" s="30"/>
      <c r="RK95" s="30"/>
      <c r="RL95" s="30"/>
      <c r="RM95" s="30"/>
      <c r="RN95" s="30"/>
      <c r="RO95" s="30"/>
      <c r="RP95" s="30"/>
      <c r="RQ95" s="30"/>
      <c r="RR95" s="30"/>
      <c r="RS95" s="30"/>
      <c r="RT95" s="30"/>
      <c r="RU95" s="30"/>
      <c r="RV95" s="30"/>
      <c r="RW95" s="30"/>
      <c r="RX95" s="30"/>
      <c r="RY95" s="30"/>
      <c r="RZ95" s="30"/>
      <c r="SA95" s="30"/>
      <c r="SB95" s="30"/>
      <c r="SC95" s="30"/>
      <c r="SD95" s="30"/>
      <c r="SE95" s="30"/>
      <c r="SF95" s="30"/>
      <c r="SG95" s="30"/>
      <c r="SH95" s="30"/>
      <c r="SI95" s="30"/>
      <c r="SJ95" s="30"/>
      <c r="SK95" s="30"/>
      <c r="SL95" s="30"/>
      <c r="SM95" s="30"/>
      <c r="SN95" s="30"/>
      <c r="SO95" s="30"/>
      <c r="SP95" s="30"/>
      <c r="SQ95" s="30"/>
      <c r="SR95" s="30"/>
      <c r="SS95" s="30"/>
      <c r="ST95" s="30"/>
      <c r="SU95" s="30"/>
      <c r="SV95" s="30"/>
      <c r="SW95" s="30"/>
      <c r="SX95" s="30"/>
      <c r="SY95" s="30"/>
      <c r="SZ95" s="30"/>
      <c r="TA95" s="30"/>
      <c r="TB95" s="30"/>
      <c r="TC95" s="30"/>
      <c r="TD95" s="30"/>
      <c r="TE95" s="30"/>
      <c r="TF95" s="30"/>
      <c r="TG95" s="30"/>
      <c r="TH95" s="30"/>
      <c r="TI95" s="30"/>
      <c r="TJ95" s="30"/>
      <c r="TK95" s="30"/>
      <c r="TL95" s="30"/>
      <c r="TM95" s="30"/>
      <c r="TN95" s="30"/>
      <c r="TO95" s="30"/>
      <c r="TP95" s="30"/>
      <c r="TQ95" s="30"/>
      <c r="TR95" s="30"/>
      <c r="TS95" s="30"/>
      <c r="TT95" s="30"/>
      <c r="TU95" s="30"/>
      <c r="TV95" s="30"/>
      <c r="TW95" s="30"/>
      <c r="TX95" s="30"/>
      <c r="TY95" s="30"/>
      <c r="TZ95" s="30"/>
      <c r="UA95" s="30"/>
      <c r="UB95" s="30"/>
      <c r="UC95" s="30"/>
      <c r="UD95" s="30"/>
      <c r="UE95" s="30"/>
      <c r="UF95" s="30"/>
      <c r="UG95" s="30"/>
      <c r="UH95" s="30"/>
      <c r="UI95" s="30"/>
      <c r="UJ95" s="30"/>
      <c r="UK95" s="30"/>
      <c r="UL95" s="30"/>
      <c r="UM95" s="30"/>
      <c r="UN95" s="30"/>
      <c r="UO95" s="30"/>
      <c r="UP95" s="30"/>
      <c r="UQ95" s="30"/>
      <c r="UR95" s="30"/>
      <c r="US95" s="30"/>
      <c r="UT95" s="30"/>
      <c r="UU95" s="30"/>
      <c r="UV95" s="30"/>
      <c r="UW95" s="30"/>
      <c r="UX95" s="30"/>
      <c r="UY95" s="30"/>
      <c r="UZ95" s="30"/>
      <c r="VA95" s="30"/>
      <c r="VB95" s="30"/>
      <c r="VC95" s="30"/>
      <c r="VD95" s="30"/>
      <c r="VE95" s="30"/>
      <c r="VF95" s="30"/>
      <c r="VG95" s="30"/>
      <c r="VH95" s="30"/>
      <c r="VI95" s="30"/>
      <c r="VJ95" s="30"/>
      <c r="VK95" s="30"/>
      <c r="VL95" s="30"/>
      <c r="VM95" s="30"/>
      <c r="VN95" s="30"/>
      <c r="VO95" s="30"/>
      <c r="VP95" s="30"/>
      <c r="VQ95" s="30"/>
      <c r="VR95" s="30"/>
      <c r="VS95" s="30"/>
      <c r="VT95" s="30"/>
      <c r="VU95" s="30"/>
      <c r="VV95" s="30"/>
      <c r="VW95" s="30"/>
      <c r="VX95" s="30"/>
      <c r="VY95" s="30"/>
      <c r="VZ95" s="30"/>
      <c r="WA95" s="30"/>
      <c r="WB95" s="30"/>
      <c r="WC95" s="30"/>
      <c r="WD95" s="30"/>
      <c r="WE95" s="30"/>
      <c r="WF95" s="30"/>
      <c r="WG95" s="30"/>
      <c r="WH95" s="30"/>
      <c r="WI95" s="30"/>
      <c r="WJ95" s="30"/>
      <c r="WK95" s="30"/>
      <c r="WL95" s="30"/>
      <c r="WM95" s="30"/>
      <c r="WN95" s="30"/>
      <c r="WO95" s="30"/>
      <c r="WP95" s="30"/>
      <c r="WQ95" s="30"/>
      <c r="WR95" s="30"/>
      <c r="WS95" s="30"/>
      <c r="WT95" s="30"/>
      <c r="WU95" s="30"/>
      <c r="WV95" s="30"/>
      <c r="WW95" s="30"/>
      <c r="WX95" s="30"/>
      <c r="WY95" s="30"/>
      <c r="WZ95" s="30"/>
      <c r="XA95" s="30"/>
      <c r="XB95" s="30"/>
      <c r="XC95" s="30"/>
      <c r="XD95" s="30"/>
      <c r="XE95" s="30"/>
      <c r="XF95" s="30"/>
      <c r="XG95" s="30"/>
      <c r="XH95" s="30"/>
      <c r="XI95" s="30"/>
      <c r="XJ95" s="30"/>
      <c r="XK95" s="30"/>
      <c r="XL95" s="30"/>
      <c r="XM95" s="30"/>
      <c r="XN95" s="30"/>
      <c r="XO95" s="30"/>
      <c r="XP95" s="30"/>
      <c r="XQ95" s="30"/>
      <c r="XR95" s="30"/>
      <c r="XS95" s="30"/>
      <c r="XT95" s="30"/>
      <c r="XU95" s="30"/>
      <c r="XV95" s="30"/>
      <c r="XW95" s="30"/>
      <c r="XX95" s="30"/>
      <c r="XY95" s="30"/>
      <c r="XZ95" s="30"/>
      <c r="YA95" s="30"/>
      <c r="YB95" s="30"/>
      <c r="YC95" s="30"/>
      <c r="YD95" s="30"/>
      <c r="YE95" s="30"/>
      <c r="YF95" s="30"/>
      <c r="YG95" s="30"/>
      <c r="YH95" s="30"/>
      <c r="YI95" s="30"/>
      <c r="YJ95" s="30"/>
      <c r="YK95" s="30"/>
      <c r="YL95" s="30"/>
      <c r="YM95" s="30"/>
      <c r="YN95" s="30"/>
      <c r="YO95" s="30"/>
      <c r="YP95" s="30"/>
      <c r="YQ95" s="30"/>
      <c r="YR95" s="30"/>
      <c r="YS95" s="30"/>
      <c r="YT95" s="30"/>
      <c r="YU95" s="30"/>
      <c r="YV95" s="30"/>
      <c r="YW95" s="30"/>
      <c r="YX95" s="30"/>
      <c r="YY95" s="30"/>
      <c r="YZ95" s="30"/>
      <c r="ZA95" s="30"/>
      <c r="ZB95" s="30"/>
      <c r="ZC95" s="30"/>
      <c r="ZD95" s="30"/>
      <c r="ZE95" s="30"/>
      <c r="ZF95" s="30"/>
      <c r="ZG95" s="30"/>
      <c r="ZH95" s="30"/>
      <c r="ZI95" s="30"/>
      <c r="ZJ95" s="30"/>
      <c r="ZK95" s="30"/>
      <c r="ZL95" s="30"/>
      <c r="ZM95" s="30"/>
      <c r="ZN95" s="30"/>
      <c r="ZO95" s="30"/>
      <c r="ZP95" s="30"/>
      <c r="ZQ95" s="30"/>
      <c r="ZR95" s="30"/>
      <c r="ZS95" s="30"/>
      <c r="ZT95" s="30"/>
      <c r="ZU95" s="30"/>
      <c r="ZV95" s="30"/>
      <c r="ZW95" s="30"/>
      <c r="ZX95" s="30"/>
      <c r="ZY95" s="30"/>
      <c r="ZZ95" s="30"/>
      <c r="AAA95" s="30"/>
      <c r="AAB95" s="30"/>
      <c r="AAC95" s="30"/>
      <c r="AAD95" s="30"/>
      <c r="AAE95" s="30"/>
      <c r="AAF95" s="30"/>
      <c r="AAG95" s="30"/>
      <c r="AAH95" s="30"/>
      <c r="AAI95" s="30"/>
      <c r="AAJ95" s="30"/>
      <c r="AAK95" s="30"/>
      <c r="AAL95" s="30"/>
      <c r="AAM95" s="30"/>
      <c r="AAN95" s="30"/>
      <c r="AAO95" s="30"/>
      <c r="AAP95" s="30"/>
      <c r="AAQ95" s="30"/>
      <c r="AAR95" s="30"/>
      <c r="AAS95" s="30"/>
      <c r="AAT95" s="30"/>
      <c r="AAU95" s="30"/>
      <c r="AAV95" s="30"/>
      <c r="AAW95" s="30"/>
      <c r="AAX95" s="30"/>
      <c r="AAY95" s="30"/>
      <c r="AAZ95" s="30"/>
      <c r="ABA95" s="30"/>
      <c r="ABB95" s="30"/>
      <c r="ABC95" s="30"/>
      <c r="ABD95" s="30"/>
      <c r="ABE95" s="30"/>
      <c r="ABF95" s="30"/>
      <c r="ABG95" s="30"/>
      <c r="ABH95" s="30"/>
      <c r="ABI95" s="30"/>
      <c r="ABJ95" s="30"/>
      <c r="ABK95" s="30"/>
      <c r="ABL95" s="30"/>
      <c r="ABM95" s="30"/>
      <c r="ABN95" s="30"/>
      <c r="ABO95" s="30"/>
      <c r="ABP95" s="30"/>
      <c r="ABQ95" s="30"/>
      <c r="ABR95" s="30"/>
      <c r="ABS95" s="30"/>
      <c r="ABT95" s="30"/>
      <c r="ABU95" s="30"/>
      <c r="ABV95" s="30"/>
      <c r="ABW95" s="30"/>
      <c r="ABX95" s="30"/>
      <c r="ABY95" s="30"/>
      <c r="ABZ95" s="30"/>
      <c r="ACA95" s="30"/>
      <c r="ACB95" s="30"/>
      <c r="ACC95" s="30"/>
      <c r="ACD95" s="30"/>
      <c r="ACE95" s="30"/>
      <c r="ACF95" s="30"/>
      <c r="ACG95" s="30"/>
      <c r="ACH95" s="30"/>
      <c r="ACI95" s="30"/>
      <c r="ACJ95" s="30"/>
      <c r="ACK95" s="30"/>
      <c r="ACL95" s="30"/>
      <c r="ACM95" s="30"/>
      <c r="ACN95" s="30"/>
      <c r="ACO95" s="30"/>
      <c r="ACP95" s="30"/>
      <c r="ACQ95" s="30"/>
      <c r="ACR95" s="30"/>
      <c r="ACS95" s="30"/>
      <c r="ACT95" s="30"/>
      <c r="ACU95" s="30"/>
      <c r="ACV95" s="30"/>
      <c r="ACW95" s="30"/>
      <c r="ACX95" s="30"/>
      <c r="ACY95" s="30"/>
      <c r="ACZ95" s="30"/>
      <c r="ADA95" s="30"/>
      <c r="ADB95" s="30"/>
      <c r="ADC95" s="30"/>
      <c r="ADD95" s="30"/>
      <c r="ADE95" s="30"/>
      <c r="ADF95" s="30"/>
      <c r="ADG95" s="30"/>
      <c r="ADH95" s="30"/>
      <c r="ADI95" s="30"/>
      <c r="ADJ95" s="30"/>
      <c r="ADK95" s="30"/>
      <c r="ADL95" s="30"/>
      <c r="ADM95" s="30"/>
      <c r="ADN95" s="30"/>
      <c r="ADO95" s="30"/>
      <c r="ADP95" s="30"/>
      <c r="ADQ95" s="30"/>
      <c r="ADR95" s="30"/>
      <c r="ADS95" s="30"/>
      <c r="ADT95" s="30"/>
      <c r="ADU95" s="30"/>
      <c r="ADV95" s="30"/>
      <c r="ADW95" s="30"/>
      <c r="ADX95" s="30"/>
      <c r="ADY95" s="30"/>
      <c r="ADZ95" s="30"/>
      <c r="AEA95" s="30"/>
      <c r="AEB95" s="30"/>
      <c r="AEC95" s="30"/>
      <c r="AED95" s="30"/>
      <c r="AEE95" s="30"/>
      <c r="AEF95" s="30"/>
      <c r="AEG95" s="30"/>
      <c r="AEH95" s="30"/>
      <c r="AEI95" s="30"/>
      <c r="AEJ95" s="30"/>
      <c r="AEK95" s="30"/>
      <c r="AEL95" s="30"/>
      <c r="AEM95" s="30"/>
      <c r="AEN95" s="30"/>
      <c r="AEO95" s="30"/>
      <c r="AEP95" s="30"/>
      <c r="AEQ95" s="30"/>
      <c r="AER95" s="30"/>
      <c r="AES95" s="30"/>
      <c r="AET95" s="30"/>
      <c r="AEU95" s="30"/>
      <c r="AEV95" s="30"/>
      <c r="AEW95" s="30"/>
      <c r="AEX95" s="30"/>
      <c r="AEY95" s="30"/>
      <c r="AEZ95" s="30"/>
      <c r="AFA95" s="30"/>
      <c r="AFB95" s="30"/>
      <c r="AFC95" s="30"/>
      <c r="AFD95" s="30"/>
      <c r="AFE95" s="30"/>
      <c r="AFF95" s="30"/>
      <c r="AFG95" s="30"/>
      <c r="AFH95" s="30"/>
      <c r="AFI95" s="30"/>
      <c r="AFJ95" s="30"/>
      <c r="AFK95" s="30"/>
      <c r="AFL95" s="30"/>
      <c r="AFM95" s="30"/>
      <c r="AFN95" s="30"/>
      <c r="AFO95" s="30"/>
      <c r="AFP95" s="30"/>
      <c r="AFQ95" s="30"/>
      <c r="AFR95" s="30"/>
      <c r="AFS95" s="30"/>
      <c r="AFT95" s="30"/>
      <c r="AFU95" s="30"/>
      <c r="AFV95" s="30"/>
      <c r="AFW95" s="30"/>
      <c r="AFX95" s="30"/>
      <c r="AFY95" s="30"/>
      <c r="AFZ95" s="30"/>
      <c r="AGA95" s="30"/>
      <c r="AGB95" s="30"/>
      <c r="AGC95" s="30"/>
      <c r="AGD95" s="30"/>
      <c r="AGE95" s="30"/>
      <c r="AGF95" s="30"/>
      <c r="AGG95" s="30"/>
      <c r="AGH95" s="30"/>
      <c r="AGI95" s="30"/>
      <c r="AGJ95" s="30"/>
      <c r="AGK95" s="30"/>
      <c r="AGL95" s="30"/>
      <c r="AGM95" s="30"/>
      <c r="AGN95" s="30"/>
      <c r="AGO95" s="30"/>
      <c r="AGP95" s="30"/>
      <c r="AGQ95" s="30"/>
      <c r="AGR95" s="30"/>
      <c r="AGS95" s="30"/>
      <c r="AGT95" s="30"/>
      <c r="AGU95" s="30"/>
      <c r="AGV95" s="30"/>
      <c r="AGW95" s="30"/>
      <c r="AGX95" s="30"/>
      <c r="AGY95" s="30"/>
      <c r="AGZ95" s="30"/>
      <c r="AHA95" s="30"/>
      <c r="AHB95" s="30"/>
      <c r="AHC95" s="30"/>
      <c r="AHD95" s="30"/>
      <c r="AHE95" s="30"/>
      <c r="AHF95" s="30"/>
      <c r="AHG95" s="30"/>
      <c r="AHH95" s="30"/>
      <c r="AHI95" s="30"/>
      <c r="AHJ95" s="30"/>
      <c r="AHK95" s="30"/>
      <c r="AHL95" s="30"/>
      <c r="AHM95" s="30"/>
      <c r="AHN95" s="30"/>
      <c r="AHO95" s="30"/>
      <c r="AHP95" s="30"/>
      <c r="AHQ95" s="30"/>
      <c r="AHR95" s="30"/>
      <c r="AHS95" s="30"/>
      <c r="AHT95" s="30"/>
      <c r="AHU95" s="30"/>
      <c r="AHV95" s="30"/>
      <c r="AHW95" s="30"/>
      <c r="AHX95" s="30"/>
      <c r="AHY95" s="30"/>
      <c r="AHZ95" s="30"/>
      <c r="AIA95" s="30"/>
      <c r="AIB95" s="30"/>
      <c r="AIC95" s="30"/>
      <c r="AID95" s="30"/>
      <c r="AIE95" s="30"/>
      <c r="AIF95" s="30"/>
      <c r="AIG95" s="30"/>
      <c r="AIH95" s="30"/>
      <c r="AII95" s="30"/>
      <c r="AIJ95" s="30"/>
      <c r="AIK95" s="30"/>
      <c r="AIL95" s="30"/>
      <c r="AIM95" s="30"/>
      <c r="AIN95" s="30"/>
      <c r="AIO95" s="30"/>
      <c r="AIP95" s="30"/>
      <c r="AIQ95" s="30"/>
      <c r="AIR95" s="30"/>
      <c r="AIS95" s="30"/>
      <c r="AIT95" s="30"/>
      <c r="AIU95" s="30"/>
      <c r="AIV95" s="30"/>
      <c r="AIW95" s="30"/>
      <c r="AIX95" s="30"/>
      <c r="AIY95" s="30"/>
      <c r="AIZ95" s="30"/>
      <c r="AJA95" s="30"/>
      <c r="AJB95" s="30"/>
      <c r="AJC95" s="30"/>
      <c r="AJD95" s="30"/>
      <c r="AJE95" s="30"/>
      <c r="AJF95" s="30"/>
      <c r="AJG95" s="30"/>
      <c r="AJH95" s="30"/>
      <c r="AJI95" s="30"/>
      <c r="AJJ95" s="30"/>
      <c r="AJK95" s="30"/>
      <c r="AJL95" s="30"/>
      <c r="AJM95" s="30"/>
      <c r="AJN95" s="30"/>
      <c r="AJO95" s="30"/>
      <c r="AJP95" s="30"/>
      <c r="AJQ95" s="30"/>
      <c r="AJR95" s="30"/>
      <c r="AJS95" s="30"/>
      <c r="AJT95" s="30"/>
      <c r="AJU95" s="30"/>
      <c r="AJV95" s="30"/>
      <c r="AJW95" s="30"/>
      <c r="AJX95" s="30"/>
      <c r="AJY95" s="30"/>
      <c r="AJZ95" s="30"/>
      <c r="AKA95" s="30"/>
      <c r="AKB95" s="30"/>
      <c r="AKC95" s="30"/>
      <c r="AKD95" s="30"/>
      <c r="AKE95" s="30"/>
      <c r="AKF95" s="30"/>
      <c r="AKG95" s="30"/>
      <c r="AKH95" s="30"/>
      <c r="AKI95" s="30"/>
      <c r="AKJ95" s="30"/>
      <c r="AKK95" s="30"/>
      <c r="AKL95" s="30"/>
      <c r="AKM95" s="30"/>
      <c r="AKN95" s="30"/>
      <c r="AKO95" s="30"/>
      <c r="AKP95" s="30"/>
      <c r="AKQ95" s="30"/>
      <c r="AKR95" s="30"/>
      <c r="AKS95" s="30"/>
      <c r="AKT95" s="30"/>
      <c r="AKU95" s="30"/>
      <c r="AKV95" s="30"/>
      <c r="AKW95" s="30"/>
      <c r="AKX95" s="30"/>
      <c r="AKY95" s="30"/>
      <c r="AKZ95" s="30"/>
      <c r="ALA95" s="30"/>
      <c r="ALB95" s="30"/>
      <c r="ALC95" s="30"/>
      <c r="ALD95" s="30"/>
      <c r="ALE95" s="30"/>
      <c r="ALF95" s="30"/>
      <c r="ALG95" s="30"/>
      <c r="ALH95" s="30"/>
      <c r="ALI95" s="30"/>
      <c r="ALJ95" s="30"/>
      <c r="ALK95" s="30"/>
      <c r="ALL95" s="30"/>
      <c r="ALM95" s="30"/>
      <c r="ALN95" s="30"/>
      <c r="ALO95" s="30"/>
      <c r="ALP95" s="30"/>
      <c r="ALQ95" s="30"/>
      <c r="ALR95" s="30"/>
      <c r="ALS95" s="30"/>
      <c r="ALT95" s="30"/>
      <c r="ALU95" s="30"/>
      <c r="ALV95" s="30"/>
      <c r="ALW95" s="30"/>
      <c r="ALX95" s="30"/>
      <c r="ALY95" s="30"/>
      <c r="ALZ95" s="30"/>
      <c r="AMA95" s="30"/>
      <c r="AMB95" s="30"/>
      <c r="AMC95" s="30"/>
      <c r="AMD95" s="30"/>
      <c r="AME95" s="30"/>
      <c r="AMF95" s="30"/>
      <c r="AMG95" s="30"/>
      <c r="AMH95" s="30"/>
      <c r="AMI95" s="30"/>
      <c r="AMJ95" s="30"/>
      <c r="AMK95" s="30"/>
      <c r="AML95" s="30"/>
      <c r="AMM95" s="30"/>
      <c r="AMN95" s="30"/>
      <c r="AMO95" s="30"/>
      <c r="AMP95" s="30"/>
      <c r="AMQ95" s="30"/>
      <c r="AMR95" s="30"/>
      <c r="AMS95" s="30"/>
      <c r="AMT95" s="30"/>
      <c r="AMU95" s="30"/>
      <c r="AMV95" s="30"/>
      <c r="AMW95" s="30"/>
      <c r="AMX95" s="30"/>
      <c r="AMY95" s="30"/>
      <c r="AMZ95" s="30"/>
      <c r="ANA95" s="30"/>
      <c r="ANB95" s="30"/>
      <c r="ANC95" s="30"/>
      <c r="AND95" s="30"/>
      <c r="ANE95" s="30"/>
      <c r="ANF95" s="30"/>
      <c r="ANG95" s="30"/>
      <c r="ANH95" s="30"/>
      <c r="ANI95" s="30"/>
      <c r="ANJ95" s="30"/>
      <c r="ANK95" s="30"/>
      <c r="ANL95" s="30"/>
      <c r="ANM95" s="30"/>
      <c r="ANN95" s="30"/>
      <c r="ANO95" s="30"/>
      <c r="ANP95" s="30"/>
      <c r="ANQ95" s="30"/>
      <c r="ANR95" s="30"/>
      <c r="ANS95" s="30"/>
      <c r="ANT95" s="30"/>
      <c r="ANU95" s="30"/>
      <c r="ANV95" s="30"/>
      <c r="ANW95" s="30"/>
      <c r="ANX95" s="30"/>
      <c r="ANY95" s="30"/>
      <c r="ANZ95" s="30"/>
      <c r="AOA95" s="30"/>
      <c r="AOB95" s="30"/>
      <c r="AOC95" s="30"/>
      <c r="AOD95" s="30"/>
      <c r="AOE95" s="30"/>
      <c r="AOF95" s="30"/>
      <c r="AOG95" s="30"/>
      <c r="AOH95" s="30"/>
      <c r="AOI95" s="30"/>
      <c r="AOJ95" s="30"/>
      <c r="AOK95" s="30"/>
      <c r="AOL95" s="30"/>
      <c r="AOM95" s="30"/>
      <c r="AON95" s="30"/>
      <c r="AOO95" s="30"/>
      <c r="AOP95" s="30"/>
      <c r="AOQ95" s="30"/>
      <c r="AOR95" s="30"/>
      <c r="AOS95" s="30"/>
      <c r="AOT95" s="30"/>
      <c r="AOU95" s="30"/>
      <c r="AOV95" s="30"/>
      <c r="AOW95" s="30"/>
      <c r="AOX95" s="30"/>
      <c r="AOY95" s="30"/>
      <c r="AOZ95" s="30"/>
      <c r="APA95" s="30"/>
      <c r="APB95" s="30"/>
      <c r="APC95" s="30"/>
      <c r="APD95" s="30"/>
      <c r="APE95" s="30"/>
      <c r="APF95" s="30"/>
      <c r="APG95" s="30"/>
      <c r="APH95" s="30"/>
      <c r="API95" s="30"/>
      <c r="APJ95" s="30"/>
      <c r="APK95" s="30"/>
      <c r="APL95" s="30"/>
      <c r="APM95" s="30"/>
      <c r="APN95" s="30"/>
      <c r="APO95" s="30"/>
      <c r="APP95" s="30"/>
      <c r="APQ95" s="30"/>
      <c r="APR95" s="30"/>
      <c r="APS95" s="30"/>
      <c r="APT95" s="30"/>
      <c r="APU95" s="30"/>
      <c r="APV95" s="30"/>
      <c r="APW95" s="30"/>
      <c r="APX95" s="30"/>
      <c r="APY95" s="30"/>
      <c r="APZ95" s="30"/>
      <c r="AQA95" s="30"/>
      <c r="AQB95" s="30"/>
      <c r="AQC95" s="30"/>
      <c r="AQD95" s="30"/>
      <c r="AQE95" s="30"/>
      <c r="AQF95" s="30"/>
      <c r="AQG95" s="30"/>
      <c r="AQH95" s="30"/>
      <c r="AQI95" s="30"/>
      <c r="AQJ95" s="30"/>
      <c r="AQK95" s="30"/>
      <c r="AQL95" s="30"/>
      <c r="AQM95" s="30"/>
      <c r="AQN95" s="30"/>
      <c r="AQO95" s="30"/>
      <c r="AQP95" s="30"/>
      <c r="AQQ95" s="30"/>
      <c r="AQR95" s="30"/>
      <c r="AQS95" s="30"/>
      <c r="AQT95" s="30"/>
      <c r="AQU95" s="30"/>
      <c r="AQV95" s="30"/>
      <c r="AQW95" s="30"/>
      <c r="AQX95" s="30"/>
      <c r="AQY95" s="30"/>
      <c r="AQZ95" s="30"/>
      <c r="ARA95" s="30"/>
      <c r="ARB95" s="30"/>
      <c r="ARC95" s="30"/>
      <c r="ARD95" s="30"/>
      <c r="ARE95" s="30"/>
      <c r="ARF95" s="30"/>
      <c r="ARG95" s="30"/>
      <c r="ARH95" s="30"/>
      <c r="ARI95" s="30"/>
      <c r="ARJ95" s="30"/>
      <c r="ARK95" s="30"/>
      <c r="ARL95" s="30"/>
      <c r="ARM95" s="30"/>
      <c r="ARN95" s="30"/>
      <c r="ARO95" s="30"/>
      <c r="ARP95" s="30"/>
      <c r="ARQ95" s="30"/>
      <c r="ARR95" s="30"/>
      <c r="ARS95" s="30"/>
      <c r="ART95" s="30"/>
      <c r="ARU95" s="30"/>
      <c r="ARV95" s="30"/>
      <c r="ARW95" s="30"/>
      <c r="ARX95" s="30"/>
      <c r="ARY95" s="30"/>
      <c r="ARZ95" s="30"/>
      <c r="ASA95" s="30"/>
      <c r="ASB95" s="30"/>
      <c r="ASC95" s="30"/>
      <c r="ASD95" s="30"/>
      <c r="ASE95" s="30"/>
      <c r="ASF95" s="30"/>
      <c r="ASG95" s="30"/>
      <c r="ASH95" s="30"/>
      <c r="ASI95" s="30"/>
      <c r="ASJ95" s="30"/>
      <c r="ASK95" s="30"/>
      <c r="ASL95" s="30"/>
      <c r="ASM95" s="30"/>
      <c r="ASN95" s="30"/>
      <c r="ASO95" s="30"/>
      <c r="ASP95" s="30"/>
      <c r="ASQ95" s="30"/>
      <c r="ASR95" s="30"/>
      <c r="ASS95" s="30"/>
      <c r="AST95" s="30"/>
      <c r="ASU95" s="30"/>
      <c r="ASV95" s="30"/>
      <c r="ASW95" s="30"/>
      <c r="ASX95" s="30"/>
      <c r="ASY95" s="30"/>
      <c r="ASZ95" s="30"/>
      <c r="ATA95" s="30"/>
      <c r="ATB95" s="30"/>
      <c r="ATC95" s="30"/>
      <c r="ATD95" s="30"/>
      <c r="ATE95" s="30"/>
      <c r="ATF95" s="30"/>
      <c r="ATG95" s="30"/>
      <c r="ATH95" s="30"/>
      <c r="ATI95" s="30"/>
      <c r="ATJ95" s="30"/>
      <c r="ATK95" s="30"/>
      <c r="ATL95" s="30"/>
      <c r="ATM95" s="30"/>
      <c r="ATN95" s="30"/>
      <c r="ATO95" s="30"/>
      <c r="ATP95" s="30"/>
      <c r="ATQ95" s="30"/>
      <c r="ATR95" s="30"/>
      <c r="ATS95" s="30"/>
      <c r="ATT95" s="30"/>
      <c r="ATU95" s="30"/>
      <c r="ATV95" s="30"/>
      <c r="ATW95" s="30"/>
      <c r="ATX95" s="30"/>
      <c r="ATY95" s="30"/>
      <c r="ATZ95" s="30"/>
      <c r="AUA95" s="30"/>
      <c r="AUB95" s="30"/>
      <c r="AUC95" s="30"/>
      <c r="AUD95" s="30"/>
      <c r="AUE95" s="30"/>
      <c r="AUF95" s="30"/>
      <c r="AUG95" s="30"/>
      <c r="AUH95" s="30"/>
      <c r="AUI95" s="30"/>
      <c r="AUJ95" s="30"/>
      <c r="AUK95" s="30"/>
      <c r="AUL95" s="30"/>
      <c r="AUM95" s="30"/>
      <c r="AUN95" s="30"/>
      <c r="AUO95" s="30"/>
      <c r="AUP95" s="30"/>
      <c r="AUQ95" s="30"/>
      <c r="AUR95" s="30"/>
      <c r="AUS95" s="30"/>
      <c r="AUT95" s="30"/>
      <c r="AUU95" s="30"/>
      <c r="AUV95" s="30"/>
      <c r="AUW95" s="30"/>
      <c r="AUX95" s="30"/>
      <c r="AUY95" s="30"/>
      <c r="AUZ95" s="30"/>
      <c r="AVA95" s="30"/>
      <c r="AVB95" s="30"/>
      <c r="AVC95" s="30"/>
      <c r="AVD95" s="30"/>
      <c r="AVE95" s="30"/>
      <c r="AVF95" s="30"/>
      <c r="AVG95" s="30"/>
      <c r="AVH95" s="30"/>
      <c r="AVI95" s="30"/>
      <c r="AVJ95" s="30"/>
      <c r="AVK95" s="30"/>
      <c r="AVL95" s="30"/>
      <c r="AVM95" s="30"/>
      <c r="AVN95" s="30"/>
      <c r="AVO95" s="30"/>
      <c r="AVP95" s="30"/>
      <c r="AVQ95" s="30"/>
      <c r="AVR95" s="30"/>
      <c r="AVS95" s="30"/>
      <c r="AVT95" s="30"/>
      <c r="AVU95" s="30"/>
      <c r="AVV95" s="30"/>
      <c r="AVW95" s="30"/>
      <c r="AVX95" s="30"/>
      <c r="AVY95" s="30"/>
      <c r="AVZ95" s="30"/>
      <c r="AWA95" s="30"/>
      <c r="AWB95" s="30"/>
      <c r="AWC95" s="30"/>
      <c r="AWD95" s="30"/>
      <c r="AWE95" s="30"/>
      <c r="AWF95" s="30"/>
      <c r="AWG95" s="30"/>
      <c r="AWH95" s="30"/>
      <c r="AWI95" s="30"/>
      <c r="AWJ95" s="30"/>
      <c r="AWK95" s="30"/>
      <c r="AWL95" s="30"/>
      <c r="AWM95" s="30"/>
      <c r="AWN95" s="30"/>
      <c r="AWO95" s="30"/>
      <c r="AWP95" s="30"/>
      <c r="AWQ95" s="30"/>
      <c r="AWR95" s="30"/>
      <c r="AWS95" s="30"/>
      <c r="AWT95" s="30"/>
      <c r="AWU95" s="30"/>
      <c r="AWV95" s="30"/>
      <c r="AWW95" s="30"/>
      <c r="AWX95" s="30"/>
      <c r="AWY95" s="30"/>
      <c r="AWZ95" s="30"/>
      <c r="AXA95" s="30"/>
      <c r="AXB95" s="30"/>
      <c r="AXC95" s="30"/>
      <c r="AXD95" s="30"/>
      <c r="AXE95" s="30"/>
      <c r="AXF95" s="30"/>
      <c r="AXG95" s="30"/>
      <c r="AXH95" s="30"/>
      <c r="AXI95" s="30"/>
      <c r="AXJ95" s="30"/>
      <c r="AXK95" s="30"/>
      <c r="AXL95" s="30"/>
      <c r="AXM95" s="30"/>
      <c r="AXN95" s="30"/>
      <c r="AXO95" s="30"/>
      <c r="AXP95" s="30"/>
      <c r="AXQ95" s="30"/>
      <c r="AXR95" s="30"/>
      <c r="AXS95" s="30"/>
      <c r="AXT95" s="30"/>
      <c r="AXU95" s="30"/>
      <c r="AXV95" s="30"/>
      <c r="AXW95" s="30"/>
      <c r="AXX95" s="30"/>
      <c r="AXY95" s="30"/>
      <c r="AXZ95" s="30"/>
      <c r="AYA95" s="30"/>
      <c r="AYB95" s="30"/>
      <c r="AYC95" s="30"/>
      <c r="AYD95" s="30"/>
      <c r="AYE95" s="30"/>
      <c r="AYF95" s="30"/>
      <c r="AYG95" s="30"/>
      <c r="AYH95" s="30"/>
      <c r="AYI95" s="30"/>
      <c r="AYJ95" s="30"/>
      <c r="AYK95" s="30"/>
      <c r="AYL95" s="30"/>
      <c r="AYM95" s="30"/>
      <c r="AYN95" s="30"/>
      <c r="AYO95" s="30"/>
      <c r="AYP95" s="30"/>
      <c r="AYQ95" s="30"/>
      <c r="AYR95" s="30"/>
      <c r="AYS95" s="30"/>
      <c r="AYT95" s="30"/>
      <c r="AYU95" s="30"/>
      <c r="AYV95" s="30"/>
      <c r="AYW95" s="30"/>
      <c r="AYX95" s="30"/>
      <c r="AYY95" s="30"/>
      <c r="AYZ95" s="30"/>
      <c r="AZA95" s="30"/>
      <c r="AZB95" s="30"/>
      <c r="AZC95" s="30"/>
      <c r="AZD95" s="30"/>
      <c r="AZE95" s="30"/>
      <c r="AZF95" s="30"/>
      <c r="AZG95" s="30"/>
      <c r="AZH95" s="30"/>
      <c r="AZI95" s="30"/>
      <c r="AZJ95" s="30"/>
      <c r="AZK95" s="30"/>
      <c r="AZL95" s="30"/>
      <c r="AZM95" s="30"/>
      <c r="AZN95" s="30"/>
      <c r="AZO95" s="30"/>
      <c r="AZP95" s="30"/>
      <c r="AZQ95" s="30"/>
      <c r="AZR95" s="30"/>
      <c r="AZS95" s="30"/>
      <c r="AZT95" s="30"/>
      <c r="AZU95" s="30"/>
      <c r="AZV95" s="30"/>
      <c r="AZW95" s="30"/>
      <c r="AZX95" s="30"/>
      <c r="AZY95" s="30"/>
      <c r="AZZ95" s="30"/>
      <c r="BAA95" s="30"/>
      <c r="BAB95" s="30"/>
      <c r="BAC95" s="30"/>
      <c r="BAD95" s="30"/>
      <c r="BAE95" s="30"/>
      <c r="BAF95" s="30"/>
      <c r="BAG95" s="30"/>
      <c r="BAH95" s="30"/>
      <c r="BAI95" s="30"/>
      <c r="BAJ95" s="30"/>
      <c r="BAK95" s="30"/>
      <c r="BAL95" s="30"/>
      <c r="BAM95" s="30"/>
      <c r="BAN95" s="30"/>
      <c r="BAO95" s="30"/>
      <c r="BAP95" s="30"/>
      <c r="BAQ95" s="30"/>
      <c r="BAR95" s="30"/>
      <c r="BAS95" s="30"/>
      <c r="BAT95" s="30"/>
      <c r="BAU95" s="30"/>
      <c r="BAV95" s="30"/>
      <c r="BAW95" s="30"/>
      <c r="BAX95" s="30"/>
      <c r="BAY95" s="30"/>
      <c r="BAZ95" s="30"/>
      <c r="BBA95" s="30"/>
      <c r="BBB95" s="30"/>
      <c r="BBC95" s="30"/>
      <c r="BBD95" s="30"/>
      <c r="BBE95" s="30"/>
      <c r="BBF95" s="30"/>
      <c r="BBG95" s="30"/>
      <c r="BBH95" s="30"/>
      <c r="BBI95" s="30"/>
      <c r="BBJ95" s="30"/>
      <c r="BBK95" s="30"/>
      <c r="BBL95" s="30"/>
      <c r="BBM95" s="30"/>
      <c r="BBN95" s="30"/>
      <c r="BBO95" s="30"/>
      <c r="BBP95" s="30"/>
      <c r="BBQ95" s="30"/>
      <c r="BBR95" s="30"/>
      <c r="BBS95" s="30"/>
      <c r="BBT95" s="30"/>
      <c r="BBU95" s="30"/>
      <c r="BBV95" s="30"/>
      <c r="BBW95" s="30"/>
      <c r="BBX95" s="30"/>
      <c r="BBY95" s="30"/>
      <c r="BBZ95" s="30"/>
      <c r="BCA95" s="30"/>
      <c r="BCB95" s="30"/>
      <c r="BCC95" s="30"/>
      <c r="BCD95" s="30"/>
      <c r="BCE95" s="30"/>
      <c r="BCF95" s="30"/>
      <c r="BCG95" s="30"/>
      <c r="BCH95" s="30"/>
      <c r="BCI95" s="30"/>
      <c r="BCJ95" s="30"/>
      <c r="BCK95" s="30"/>
      <c r="BCL95" s="30"/>
      <c r="BCM95" s="30"/>
      <c r="BCN95" s="30"/>
      <c r="BCO95" s="30"/>
      <c r="BCP95" s="30"/>
      <c r="BCQ95" s="30"/>
      <c r="BCR95" s="30"/>
      <c r="BCS95" s="30"/>
      <c r="BCT95" s="30"/>
      <c r="BCU95" s="30"/>
      <c r="BCV95" s="30"/>
      <c r="BCW95" s="30"/>
      <c r="BCX95" s="30"/>
      <c r="BCY95" s="30"/>
      <c r="BCZ95" s="30"/>
      <c r="BDA95" s="30"/>
      <c r="BDB95" s="30"/>
      <c r="BDC95" s="30"/>
      <c r="BDD95" s="30"/>
      <c r="BDE95" s="30"/>
      <c r="BDF95" s="30"/>
      <c r="BDG95" s="30"/>
      <c r="BDH95" s="30"/>
      <c r="BDI95" s="30"/>
      <c r="BDJ95" s="30"/>
      <c r="BDK95" s="30"/>
      <c r="BDL95" s="30"/>
      <c r="BDM95" s="30"/>
      <c r="BDN95" s="30"/>
      <c r="BDO95" s="30"/>
      <c r="BDP95" s="30"/>
      <c r="BDQ95" s="30"/>
      <c r="BDR95" s="30"/>
      <c r="BDS95" s="30"/>
      <c r="BDT95" s="30"/>
      <c r="BDU95" s="30"/>
      <c r="BDV95" s="30"/>
      <c r="BDW95" s="30"/>
      <c r="BDX95" s="30"/>
      <c r="BDY95" s="30"/>
      <c r="BDZ95" s="30"/>
      <c r="BEA95" s="30"/>
      <c r="BEB95" s="30"/>
      <c r="BEC95" s="30"/>
      <c r="BED95" s="30"/>
      <c r="BEE95" s="30"/>
      <c r="BEF95" s="30"/>
      <c r="BEG95" s="30"/>
      <c r="BEH95" s="30"/>
      <c r="BEI95" s="30"/>
      <c r="BEJ95" s="30"/>
      <c r="BEK95" s="30"/>
      <c r="BEL95" s="30"/>
      <c r="BEM95" s="30"/>
      <c r="BEN95" s="30"/>
      <c r="BEO95" s="30"/>
      <c r="BEP95" s="30"/>
      <c r="BEQ95" s="30"/>
      <c r="BER95" s="30"/>
      <c r="BES95" s="30"/>
      <c r="BET95" s="30"/>
      <c r="BEU95" s="30"/>
      <c r="BEV95" s="30"/>
      <c r="BEW95" s="30"/>
      <c r="BEX95" s="30"/>
      <c r="BEY95" s="30"/>
      <c r="BEZ95" s="30"/>
      <c r="BFA95" s="30"/>
      <c r="BFB95" s="30"/>
      <c r="BFC95" s="30"/>
      <c r="BFD95" s="30"/>
      <c r="BFE95" s="30"/>
      <c r="BFF95" s="30"/>
      <c r="BFG95" s="30"/>
      <c r="BFH95" s="30"/>
      <c r="BFI95" s="30"/>
      <c r="BFJ95" s="30"/>
      <c r="BFK95" s="30"/>
      <c r="BFL95" s="30"/>
      <c r="BFM95" s="30"/>
      <c r="BFN95" s="30"/>
      <c r="BFO95" s="30"/>
      <c r="BFP95" s="30"/>
      <c r="BFQ95" s="30"/>
      <c r="BFR95" s="30"/>
      <c r="BFS95" s="30"/>
      <c r="BFT95" s="30"/>
      <c r="BFU95" s="30"/>
      <c r="BFV95" s="30"/>
      <c r="BFW95" s="30"/>
      <c r="BFX95" s="30"/>
      <c r="BFY95" s="30"/>
      <c r="BFZ95" s="30"/>
      <c r="BGA95" s="30"/>
      <c r="BGB95" s="30"/>
      <c r="BGC95" s="30"/>
      <c r="BGD95" s="30"/>
      <c r="BGE95" s="30"/>
      <c r="BGF95" s="30"/>
      <c r="BGG95" s="30"/>
      <c r="BGH95" s="30"/>
      <c r="BGI95" s="30"/>
      <c r="BGJ95" s="30"/>
      <c r="BGK95" s="30"/>
      <c r="BGL95" s="30"/>
      <c r="BGM95" s="30"/>
      <c r="BGN95" s="30"/>
      <c r="BGO95" s="30"/>
      <c r="BGP95" s="30"/>
      <c r="BGQ95" s="30"/>
      <c r="BGR95" s="30"/>
      <c r="BGS95" s="30"/>
      <c r="BGT95" s="30"/>
      <c r="BGU95" s="30"/>
      <c r="BGV95" s="30"/>
      <c r="BGW95" s="30"/>
      <c r="BGX95" s="30"/>
      <c r="BGY95" s="30"/>
      <c r="BGZ95" s="30"/>
      <c r="BHA95" s="30"/>
      <c r="BHB95" s="30"/>
      <c r="BHC95" s="30"/>
      <c r="BHD95" s="30"/>
      <c r="BHE95" s="30"/>
      <c r="BHF95" s="30"/>
      <c r="BHG95" s="30"/>
      <c r="BHH95" s="30"/>
      <c r="BHI95" s="30"/>
      <c r="BHJ95" s="30"/>
      <c r="BHK95" s="30"/>
      <c r="BHL95" s="30"/>
      <c r="BHM95" s="30"/>
      <c r="BHN95" s="30"/>
      <c r="BHO95" s="30"/>
      <c r="BHP95" s="30"/>
      <c r="BHQ95" s="30"/>
      <c r="BHR95" s="30"/>
      <c r="BHS95" s="30"/>
      <c r="BHT95" s="30"/>
      <c r="BHU95" s="30"/>
      <c r="BHV95" s="30"/>
      <c r="BHW95" s="30"/>
      <c r="BHX95" s="30"/>
      <c r="BHY95" s="30"/>
      <c r="BHZ95" s="30"/>
      <c r="BIA95" s="30"/>
      <c r="BIB95" s="30"/>
      <c r="BIC95" s="30"/>
      <c r="BID95" s="30"/>
      <c r="BIE95" s="30"/>
      <c r="BIF95" s="30"/>
      <c r="BIG95" s="30"/>
      <c r="BIH95" s="30"/>
      <c r="BII95" s="30"/>
      <c r="BIJ95" s="30"/>
      <c r="BIK95" s="30"/>
      <c r="BIL95" s="30"/>
      <c r="BIM95" s="30"/>
      <c r="BIN95" s="30"/>
      <c r="BIO95" s="30"/>
      <c r="BIP95" s="30"/>
      <c r="BIQ95" s="30"/>
      <c r="BIR95" s="30"/>
      <c r="BIS95" s="30"/>
      <c r="BIT95" s="30"/>
      <c r="BIU95" s="30"/>
      <c r="BIV95" s="30"/>
      <c r="BIW95" s="30"/>
      <c r="BIX95" s="30"/>
      <c r="BIY95" s="30"/>
      <c r="BIZ95" s="30"/>
      <c r="BJA95" s="30"/>
      <c r="BJB95" s="30"/>
      <c r="BJC95" s="30"/>
      <c r="BJD95" s="30"/>
      <c r="BJE95" s="30"/>
      <c r="BJF95" s="30"/>
      <c r="BJG95" s="30"/>
      <c r="BJH95" s="30"/>
      <c r="BJI95" s="30"/>
      <c r="BJJ95" s="30"/>
      <c r="BJK95" s="30"/>
      <c r="BJL95" s="30"/>
      <c r="BJM95" s="30"/>
      <c r="BJN95" s="30"/>
      <c r="BJO95" s="30"/>
      <c r="BJP95" s="30"/>
      <c r="BJQ95" s="30"/>
      <c r="BJR95" s="30"/>
      <c r="BJS95" s="30"/>
      <c r="BJT95" s="30"/>
      <c r="BJU95" s="30"/>
      <c r="BJV95" s="30"/>
      <c r="BJW95" s="30"/>
      <c r="BJX95" s="30"/>
      <c r="BJY95" s="30"/>
      <c r="BJZ95" s="30"/>
      <c r="BKA95" s="30"/>
      <c r="BKB95" s="30"/>
      <c r="BKC95" s="30"/>
      <c r="BKD95" s="30"/>
      <c r="BKE95" s="30"/>
      <c r="BKF95" s="30"/>
      <c r="BKG95" s="30"/>
      <c r="BKH95" s="30"/>
      <c r="BKI95" s="30"/>
      <c r="BKJ95" s="30"/>
      <c r="BKK95" s="30"/>
      <c r="BKL95" s="30"/>
      <c r="BKM95" s="30"/>
      <c r="BKN95" s="30"/>
      <c r="BKO95" s="30"/>
      <c r="BKP95" s="30"/>
      <c r="BKQ95" s="30"/>
      <c r="BKR95" s="30"/>
      <c r="BKS95" s="30"/>
      <c r="BKT95" s="30"/>
      <c r="BKU95" s="30"/>
      <c r="BKV95" s="30"/>
      <c r="BKW95" s="30"/>
      <c r="BKX95" s="30"/>
      <c r="BKY95" s="30"/>
      <c r="BKZ95" s="30"/>
      <c r="BLA95" s="30"/>
      <c r="BLB95" s="30"/>
      <c r="BLC95" s="30"/>
      <c r="BLD95" s="30"/>
      <c r="BLE95" s="30"/>
      <c r="BLF95" s="30"/>
      <c r="BLG95" s="30"/>
      <c r="BLH95" s="30"/>
      <c r="BLI95" s="30"/>
      <c r="BLJ95" s="30"/>
      <c r="BLK95" s="30"/>
      <c r="BLL95" s="30"/>
      <c r="BLM95" s="30"/>
      <c r="BLN95" s="30"/>
      <c r="BLO95" s="30"/>
      <c r="BLP95" s="30"/>
      <c r="BLQ95" s="30"/>
      <c r="BLR95" s="30"/>
      <c r="BLS95" s="30"/>
      <c r="BLT95" s="30"/>
      <c r="BLU95" s="30"/>
      <c r="BLV95" s="30"/>
      <c r="BLW95" s="30"/>
      <c r="BLX95" s="30"/>
      <c r="BLY95" s="30"/>
      <c r="BLZ95" s="30"/>
      <c r="BMA95" s="30"/>
      <c r="BMB95" s="30"/>
      <c r="BMC95" s="30"/>
      <c r="BMD95" s="30"/>
      <c r="BME95" s="30"/>
      <c r="BMF95" s="30"/>
      <c r="BMG95" s="30"/>
      <c r="BMH95" s="30"/>
      <c r="BMI95" s="30"/>
      <c r="BMJ95" s="30"/>
      <c r="BMK95" s="30"/>
      <c r="BML95" s="30"/>
      <c r="BMM95" s="30"/>
      <c r="BMN95" s="30"/>
      <c r="BMO95" s="30"/>
      <c r="BMP95" s="30"/>
      <c r="BMQ95" s="30"/>
      <c r="BMR95" s="30"/>
      <c r="BMS95" s="30"/>
      <c r="BMT95" s="30"/>
      <c r="BMU95" s="30"/>
      <c r="BMV95" s="30"/>
      <c r="BMW95" s="30"/>
      <c r="BMX95" s="30"/>
      <c r="BMY95" s="30"/>
      <c r="BMZ95" s="30"/>
      <c r="BNA95" s="30"/>
      <c r="BNB95" s="30"/>
      <c r="BNC95" s="30"/>
      <c r="BND95" s="30"/>
      <c r="BNE95" s="30"/>
      <c r="BNF95" s="30"/>
      <c r="BNG95" s="30"/>
      <c r="BNH95" s="30"/>
      <c r="BNI95" s="30"/>
      <c r="BNJ95" s="30"/>
      <c r="BNK95" s="30"/>
      <c r="BNL95" s="30"/>
      <c r="BNM95" s="30"/>
      <c r="BNN95" s="30"/>
      <c r="BNO95" s="30"/>
      <c r="BNP95" s="30"/>
      <c r="BNQ95" s="30"/>
      <c r="BNR95" s="30"/>
      <c r="BNS95" s="30"/>
      <c r="BNT95" s="30"/>
      <c r="BNU95" s="30"/>
      <c r="BNV95" s="30"/>
      <c r="BNW95" s="30"/>
      <c r="BNX95" s="30"/>
      <c r="BNY95" s="30"/>
      <c r="BNZ95" s="30"/>
      <c r="BOA95" s="30"/>
      <c r="BOB95" s="30"/>
      <c r="BOC95" s="30"/>
      <c r="BOD95" s="30"/>
      <c r="BOE95" s="30"/>
      <c r="BOF95" s="30"/>
      <c r="BOG95" s="30"/>
      <c r="BOH95" s="30"/>
      <c r="BOI95" s="30"/>
      <c r="BOJ95" s="30"/>
      <c r="BOK95" s="30"/>
      <c r="BOL95" s="30"/>
      <c r="BOM95" s="30"/>
      <c r="BON95" s="30"/>
      <c r="BOO95" s="30"/>
      <c r="BOP95" s="30"/>
      <c r="BOQ95" s="30"/>
      <c r="BOR95" s="30"/>
      <c r="BOS95" s="30"/>
      <c r="BOT95" s="30"/>
      <c r="BOU95" s="30"/>
      <c r="BOV95" s="30"/>
      <c r="BOW95" s="30"/>
      <c r="BOX95" s="30"/>
      <c r="BOY95" s="30"/>
      <c r="BOZ95" s="30"/>
      <c r="BPA95" s="30"/>
      <c r="BPB95" s="30"/>
      <c r="BPC95" s="30"/>
      <c r="BPD95" s="30"/>
      <c r="BPE95" s="30"/>
      <c r="BPF95" s="30"/>
      <c r="BPG95" s="30"/>
      <c r="BPH95" s="30"/>
      <c r="BPI95" s="30"/>
      <c r="BPJ95" s="30"/>
      <c r="BPK95" s="30"/>
      <c r="BPL95" s="30"/>
      <c r="BPM95" s="30"/>
      <c r="BPN95" s="30"/>
      <c r="BPO95" s="30"/>
      <c r="BPP95" s="30"/>
      <c r="BPQ95" s="30"/>
      <c r="BPR95" s="30"/>
      <c r="BPS95" s="30"/>
      <c r="BPT95" s="30"/>
      <c r="BPU95" s="30"/>
      <c r="BPV95" s="30"/>
      <c r="BPW95" s="30"/>
      <c r="BPX95" s="30"/>
      <c r="BPY95" s="30"/>
      <c r="BPZ95" s="30"/>
      <c r="BQA95" s="30"/>
      <c r="BQB95" s="30"/>
      <c r="BQC95" s="30"/>
      <c r="BQD95" s="30"/>
      <c r="BQE95" s="30"/>
      <c r="BQF95" s="30"/>
      <c r="BQG95" s="30"/>
      <c r="BQH95" s="30"/>
      <c r="BQI95" s="30"/>
      <c r="BQJ95" s="30"/>
      <c r="BQK95" s="30"/>
      <c r="BQL95" s="30"/>
      <c r="BQM95" s="30"/>
      <c r="BQN95" s="30"/>
      <c r="BQO95" s="30"/>
      <c r="BQP95" s="30"/>
      <c r="BQQ95" s="30"/>
      <c r="BQR95" s="30"/>
      <c r="BQS95" s="30"/>
      <c r="BQT95" s="30"/>
      <c r="BQU95" s="30"/>
      <c r="BQV95" s="30"/>
      <c r="BQW95" s="30"/>
      <c r="BQX95" s="30"/>
      <c r="BQY95" s="30"/>
      <c r="BQZ95" s="30"/>
      <c r="BRA95" s="30"/>
      <c r="BRB95" s="30"/>
      <c r="BRC95" s="30"/>
      <c r="BRD95" s="30"/>
      <c r="BRE95" s="30"/>
      <c r="BRF95" s="30"/>
      <c r="BRG95" s="30"/>
      <c r="BRH95" s="30"/>
      <c r="BRI95" s="30"/>
      <c r="BRJ95" s="30"/>
      <c r="BRK95" s="30"/>
      <c r="BRL95" s="30"/>
      <c r="BRM95" s="30"/>
      <c r="BRN95" s="30"/>
      <c r="BRO95" s="30"/>
      <c r="BRP95" s="30"/>
      <c r="BRQ95" s="30"/>
      <c r="BRR95" s="30"/>
      <c r="BRS95" s="30"/>
      <c r="BRT95" s="30"/>
      <c r="BRU95" s="30"/>
      <c r="BRV95" s="30"/>
      <c r="BRW95" s="30"/>
      <c r="BRX95" s="30"/>
      <c r="BRY95" s="30"/>
      <c r="BRZ95" s="30"/>
      <c r="BSA95" s="30"/>
      <c r="BSB95" s="30"/>
      <c r="BSC95" s="30"/>
      <c r="BSD95" s="30"/>
      <c r="BSE95" s="30"/>
      <c r="BSF95" s="30"/>
      <c r="BSG95" s="30"/>
      <c r="BSH95" s="30"/>
      <c r="BSI95" s="30"/>
      <c r="BSJ95" s="30"/>
      <c r="BSK95" s="30"/>
      <c r="BSL95" s="30"/>
      <c r="BSM95" s="30"/>
      <c r="BSN95" s="30"/>
      <c r="BSO95" s="30"/>
      <c r="BSP95" s="30"/>
      <c r="BSQ95" s="30"/>
      <c r="BSR95" s="30"/>
      <c r="BSS95" s="30"/>
      <c r="BST95" s="30"/>
      <c r="BSU95" s="30"/>
      <c r="BSV95" s="30"/>
      <c r="BSW95" s="30"/>
      <c r="BSX95" s="30"/>
      <c r="BSY95" s="30"/>
      <c r="BSZ95" s="30"/>
      <c r="BTA95" s="30"/>
      <c r="BTB95" s="30"/>
      <c r="BTC95" s="30"/>
      <c r="BTD95" s="30"/>
      <c r="BTE95" s="30"/>
      <c r="BTF95" s="30"/>
      <c r="BTG95" s="30"/>
      <c r="BTH95" s="30"/>
      <c r="BTI95" s="30"/>
      <c r="BTJ95" s="30"/>
      <c r="BTK95" s="30"/>
      <c r="BTL95" s="30"/>
      <c r="BTM95" s="30"/>
      <c r="BTN95" s="30"/>
      <c r="BTO95" s="30"/>
      <c r="BTP95" s="30"/>
      <c r="BTQ95" s="30"/>
      <c r="BTR95" s="30"/>
      <c r="BTS95" s="30"/>
      <c r="BTT95" s="30"/>
      <c r="BTU95" s="30"/>
      <c r="BTV95" s="30"/>
      <c r="BTW95" s="30"/>
      <c r="BTX95" s="30"/>
      <c r="BTY95" s="30"/>
      <c r="BTZ95" s="30"/>
      <c r="BUA95" s="30"/>
      <c r="BUB95" s="30"/>
      <c r="BUC95" s="30"/>
      <c r="BUD95" s="30"/>
      <c r="BUE95" s="30"/>
      <c r="BUF95" s="30"/>
      <c r="BUG95" s="30"/>
      <c r="BUH95" s="30"/>
      <c r="BUI95" s="30"/>
      <c r="BUJ95" s="30"/>
      <c r="BUK95" s="30"/>
      <c r="BUL95" s="30"/>
      <c r="BUM95" s="30"/>
      <c r="BUN95" s="30"/>
      <c r="BUO95" s="30"/>
      <c r="BUP95" s="30"/>
      <c r="BUQ95" s="30"/>
      <c r="BUR95" s="30"/>
      <c r="BUS95" s="30"/>
      <c r="BUT95" s="30"/>
      <c r="BUU95" s="30"/>
      <c r="BUV95" s="30"/>
      <c r="BUW95" s="30"/>
      <c r="BUX95" s="30"/>
      <c r="BUY95" s="30"/>
      <c r="BUZ95" s="30"/>
      <c r="BVA95" s="30"/>
      <c r="BVB95" s="30"/>
      <c r="BVC95" s="30"/>
      <c r="BVD95" s="30"/>
      <c r="BVE95" s="30"/>
      <c r="BVF95" s="30"/>
      <c r="BVG95" s="30"/>
      <c r="BVH95" s="30"/>
      <c r="BVI95" s="30"/>
      <c r="BVJ95" s="30"/>
      <c r="BVK95" s="30"/>
      <c r="BVL95" s="30"/>
      <c r="BVM95" s="30"/>
      <c r="BVN95" s="30"/>
      <c r="BVO95" s="30"/>
      <c r="BVP95" s="30"/>
      <c r="BVQ95" s="30"/>
      <c r="BVR95" s="30"/>
      <c r="BVS95" s="30"/>
      <c r="BVT95" s="30"/>
      <c r="BVU95" s="30"/>
      <c r="BVV95" s="30"/>
      <c r="BVW95" s="30"/>
      <c r="BVX95" s="30"/>
      <c r="BVY95" s="30"/>
      <c r="BVZ95" s="30"/>
      <c r="BWA95" s="30"/>
      <c r="BWB95" s="30"/>
      <c r="BWC95" s="30"/>
      <c r="BWD95" s="30"/>
      <c r="BWE95" s="30"/>
      <c r="BWF95" s="30"/>
      <c r="BWG95" s="30"/>
      <c r="BWH95" s="30"/>
      <c r="BWI95" s="30"/>
      <c r="BWJ95" s="30"/>
      <c r="BWK95" s="30"/>
      <c r="BWL95" s="30"/>
      <c r="BWM95" s="30"/>
      <c r="BWN95" s="30"/>
      <c r="BWO95" s="30"/>
      <c r="BWP95" s="30"/>
      <c r="BWQ95" s="30"/>
      <c r="BWR95" s="30"/>
      <c r="BWS95" s="30"/>
      <c r="BWT95" s="30"/>
      <c r="BWU95" s="30"/>
      <c r="BWV95" s="30"/>
      <c r="BWW95" s="30"/>
      <c r="BWX95" s="30"/>
      <c r="BWY95" s="30"/>
      <c r="BWZ95" s="30"/>
      <c r="BXA95" s="30"/>
      <c r="BXB95" s="30"/>
      <c r="BXC95" s="30"/>
      <c r="BXD95" s="30"/>
      <c r="BXE95" s="30"/>
      <c r="BXF95" s="30"/>
      <c r="BXG95" s="30"/>
      <c r="BXH95" s="30"/>
      <c r="BXI95" s="30"/>
      <c r="BXJ95" s="30"/>
      <c r="BXK95" s="30"/>
      <c r="BXL95" s="30"/>
      <c r="BXM95" s="30"/>
      <c r="BXN95" s="30"/>
      <c r="BXO95" s="30"/>
      <c r="BXP95" s="30"/>
      <c r="BXQ95" s="30"/>
      <c r="BXR95" s="30"/>
      <c r="BXS95" s="30"/>
      <c r="BXT95" s="30"/>
      <c r="BXU95" s="30"/>
      <c r="BXV95" s="30"/>
      <c r="BXW95" s="30"/>
      <c r="BXX95" s="30"/>
      <c r="BXY95" s="30"/>
      <c r="BXZ95" s="30"/>
      <c r="BYA95" s="30"/>
      <c r="BYB95" s="30"/>
      <c r="BYC95" s="30"/>
      <c r="BYD95" s="30"/>
      <c r="BYE95" s="30"/>
      <c r="BYF95" s="30"/>
      <c r="BYG95" s="30"/>
      <c r="BYH95" s="30"/>
      <c r="BYI95" s="30"/>
      <c r="BYJ95" s="30"/>
      <c r="BYK95" s="30"/>
      <c r="BYL95" s="30"/>
      <c r="BYM95" s="30"/>
      <c r="BYN95" s="30"/>
      <c r="BYO95" s="30"/>
      <c r="BYP95" s="30"/>
      <c r="BYQ95" s="30"/>
      <c r="BYR95" s="30"/>
      <c r="BYS95" s="30"/>
      <c r="BYT95" s="30"/>
      <c r="BYU95" s="30"/>
      <c r="BYV95" s="30"/>
      <c r="BYW95" s="30"/>
      <c r="BYX95" s="30"/>
      <c r="BYY95" s="30"/>
      <c r="BYZ95" s="30"/>
      <c r="BZA95" s="30"/>
      <c r="BZB95" s="30"/>
      <c r="BZC95" s="30"/>
      <c r="BZD95" s="30"/>
      <c r="BZE95" s="30"/>
      <c r="BZF95" s="30"/>
      <c r="BZG95" s="30"/>
      <c r="BZH95" s="30"/>
      <c r="BZI95" s="30"/>
      <c r="BZJ95" s="30"/>
      <c r="BZK95" s="30"/>
      <c r="BZL95" s="30"/>
      <c r="BZM95" s="30"/>
      <c r="BZN95" s="30"/>
      <c r="BZO95" s="30"/>
      <c r="BZP95" s="30"/>
      <c r="BZQ95" s="30"/>
      <c r="BZR95" s="30"/>
      <c r="BZS95" s="30"/>
      <c r="BZT95" s="30"/>
      <c r="BZU95" s="30"/>
      <c r="BZV95" s="30"/>
      <c r="BZW95" s="30"/>
      <c r="BZX95" s="30"/>
      <c r="BZY95" s="30"/>
      <c r="BZZ95" s="30"/>
      <c r="CAA95" s="30"/>
      <c r="CAB95" s="30"/>
      <c r="CAC95" s="30"/>
      <c r="CAD95" s="30"/>
      <c r="CAE95" s="30"/>
      <c r="CAF95" s="30"/>
      <c r="CAG95" s="30"/>
      <c r="CAH95" s="30"/>
      <c r="CAI95" s="30"/>
      <c r="CAJ95" s="30"/>
      <c r="CAK95" s="30"/>
      <c r="CAL95" s="30"/>
      <c r="CAM95" s="30"/>
      <c r="CAN95" s="30"/>
      <c r="CAO95" s="30"/>
      <c r="CAP95" s="30"/>
      <c r="CAQ95" s="30"/>
      <c r="CAR95" s="30"/>
      <c r="CAS95" s="30"/>
      <c r="CAT95" s="30"/>
      <c r="CAU95" s="30"/>
      <c r="CAV95" s="30"/>
      <c r="CAW95" s="30"/>
      <c r="CAX95" s="30"/>
      <c r="CAY95" s="30"/>
      <c r="CAZ95" s="30"/>
      <c r="CBA95" s="30"/>
      <c r="CBB95" s="30"/>
      <c r="CBC95" s="30"/>
      <c r="CBD95" s="30"/>
      <c r="CBE95" s="30"/>
      <c r="CBF95" s="30"/>
      <c r="CBG95" s="30"/>
      <c r="CBH95" s="30"/>
      <c r="CBI95" s="30"/>
      <c r="CBJ95" s="30"/>
      <c r="CBK95" s="30"/>
      <c r="CBL95" s="30"/>
      <c r="CBM95" s="30"/>
      <c r="CBN95" s="30"/>
      <c r="CBO95" s="30"/>
      <c r="CBP95" s="30"/>
      <c r="CBQ95" s="30"/>
      <c r="CBR95" s="30"/>
      <c r="CBS95" s="30"/>
      <c r="CBT95" s="30"/>
      <c r="CBU95" s="30"/>
      <c r="CBV95" s="30"/>
      <c r="CBW95" s="30"/>
      <c r="CBX95" s="30"/>
      <c r="CBY95" s="30"/>
      <c r="CBZ95" s="30"/>
      <c r="CCA95" s="30"/>
      <c r="CCB95" s="30"/>
      <c r="CCC95" s="30"/>
      <c r="CCD95" s="30"/>
      <c r="CCE95" s="30"/>
      <c r="CCF95" s="30"/>
      <c r="CCG95" s="30"/>
      <c r="CCH95" s="30"/>
      <c r="CCI95" s="30"/>
      <c r="CCJ95" s="30"/>
      <c r="CCK95" s="30"/>
      <c r="CCL95" s="30"/>
      <c r="CCM95" s="30"/>
      <c r="CCN95" s="30"/>
      <c r="CCO95" s="30"/>
      <c r="CCP95" s="30"/>
      <c r="CCQ95" s="30"/>
      <c r="CCR95" s="30"/>
      <c r="CCS95" s="30"/>
      <c r="CCT95" s="30"/>
      <c r="CCU95" s="30"/>
      <c r="CCV95" s="30"/>
      <c r="CCW95" s="30"/>
      <c r="CCX95" s="30"/>
      <c r="CCY95" s="30"/>
      <c r="CCZ95" s="30"/>
      <c r="CDA95" s="30"/>
      <c r="CDB95" s="30"/>
      <c r="CDC95" s="30"/>
      <c r="CDD95" s="30"/>
      <c r="CDE95" s="30"/>
      <c r="CDF95" s="30"/>
      <c r="CDG95" s="30"/>
      <c r="CDH95" s="30"/>
      <c r="CDI95" s="30"/>
      <c r="CDJ95" s="30"/>
      <c r="CDK95" s="30"/>
      <c r="CDL95" s="30"/>
      <c r="CDM95" s="30"/>
      <c r="CDN95" s="30"/>
      <c r="CDO95" s="30"/>
      <c r="CDP95" s="30"/>
      <c r="CDQ95" s="30"/>
      <c r="CDR95" s="30"/>
      <c r="CDS95" s="30"/>
      <c r="CDT95" s="30"/>
      <c r="CDU95" s="30"/>
      <c r="CDV95" s="30"/>
      <c r="CDW95" s="30"/>
      <c r="CDX95" s="30"/>
      <c r="CDY95" s="30"/>
      <c r="CDZ95" s="30"/>
      <c r="CEA95" s="30"/>
      <c r="CEB95" s="30"/>
      <c r="CEC95" s="30"/>
      <c r="CED95" s="30"/>
      <c r="CEE95" s="30"/>
      <c r="CEF95" s="30"/>
      <c r="CEG95" s="30"/>
      <c r="CEH95" s="30"/>
      <c r="CEI95" s="30"/>
      <c r="CEJ95" s="30"/>
      <c r="CEK95" s="30"/>
      <c r="CEL95" s="30"/>
      <c r="CEM95" s="30"/>
      <c r="CEN95" s="30"/>
      <c r="CEO95" s="30"/>
      <c r="CEP95" s="30"/>
      <c r="CEQ95" s="30"/>
      <c r="CER95" s="30"/>
      <c r="CES95" s="30"/>
      <c r="CET95" s="30"/>
      <c r="CEU95" s="30"/>
      <c r="CEV95" s="30"/>
      <c r="CEW95" s="30"/>
      <c r="CEX95" s="30"/>
      <c r="CEY95" s="30"/>
      <c r="CEZ95" s="30"/>
      <c r="CFA95" s="30"/>
      <c r="CFB95" s="30"/>
      <c r="CFC95" s="30"/>
      <c r="CFD95" s="30"/>
      <c r="CFE95" s="30"/>
      <c r="CFF95" s="30"/>
      <c r="CFG95" s="30"/>
      <c r="CFH95" s="30"/>
      <c r="CFI95" s="30"/>
      <c r="CFJ95" s="30"/>
      <c r="CFK95" s="30"/>
      <c r="CFL95" s="30"/>
      <c r="CFM95" s="30"/>
      <c r="CFN95" s="30"/>
      <c r="CFO95" s="30"/>
      <c r="CFP95" s="30"/>
      <c r="CFQ95" s="30"/>
      <c r="CFR95" s="30"/>
      <c r="CFS95" s="30"/>
      <c r="CFT95" s="30"/>
      <c r="CFU95" s="30"/>
      <c r="CFV95" s="30"/>
      <c r="CFW95" s="30"/>
      <c r="CFX95" s="30"/>
      <c r="CFY95" s="30"/>
      <c r="CFZ95" s="30"/>
      <c r="CGA95" s="30"/>
      <c r="CGB95" s="30"/>
      <c r="CGC95" s="30"/>
      <c r="CGD95" s="30"/>
      <c r="CGE95" s="30"/>
      <c r="CGF95" s="30"/>
      <c r="CGG95" s="30"/>
      <c r="CGH95" s="30"/>
      <c r="CGI95" s="30"/>
      <c r="CGJ95" s="30"/>
      <c r="CGK95" s="30"/>
      <c r="CGL95" s="30"/>
      <c r="CGM95" s="30"/>
      <c r="CGN95" s="30"/>
      <c r="CGO95" s="30"/>
      <c r="CGP95" s="30"/>
      <c r="CGQ95" s="30"/>
      <c r="CGR95" s="30"/>
      <c r="CGS95" s="30"/>
      <c r="CGT95" s="30"/>
      <c r="CGU95" s="30"/>
      <c r="CGV95" s="30"/>
      <c r="CGW95" s="30"/>
      <c r="CGX95" s="30"/>
      <c r="CGY95" s="30"/>
      <c r="CGZ95" s="30"/>
      <c r="CHA95" s="30"/>
      <c r="CHB95" s="30"/>
      <c r="CHC95" s="30"/>
      <c r="CHD95" s="30"/>
      <c r="CHE95" s="30"/>
      <c r="CHF95" s="30"/>
      <c r="CHG95" s="30"/>
      <c r="CHH95" s="30"/>
      <c r="CHI95" s="30"/>
      <c r="CHJ95" s="30"/>
      <c r="CHK95" s="30"/>
      <c r="CHL95" s="30"/>
      <c r="CHM95" s="30"/>
      <c r="CHN95" s="30"/>
      <c r="CHO95" s="30"/>
      <c r="CHP95" s="30"/>
      <c r="CHQ95" s="30"/>
      <c r="CHR95" s="30"/>
      <c r="CHS95" s="30"/>
      <c r="CHT95" s="30"/>
      <c r="CHU95" s="30"/>
      <c r="CHV95" s="30"/>
      <c r="CHW95" s="30"/>
      <c r="CHX95" s="30"/>
      <c r="CHY95" s="30"/>
      <c r="CHZ95" s="30"/>
      <c r="CIA95" s="30"/>
      <c r="CIB95" s="30"/>
      <c r="CIC95" s="30"/>
      <c r="CID95" s="30"/>
      <c r="CIE95" s="30"/>
      <c r="CIF95" s="30"/>
      <c r="CIG95" s="30"/>
      <c r="CIH95" s="30"/>
      <c r="CII95" s="30"/>
      <c r="CIJ95" s="30"/>
      <c r="CIK95" s="30"/>
      <c r="CIL95" s="30"/>
      <c r="CIM95" s="30"/>
      <c r="CIN95" s="30"/>
      <c r="CIO95" s="30"/>
      <c r="CIP95" s="30"/>
      <c r="CIQ95" s="30"/>
      <c r="CIR95" s="30"/>
      <c r="CIS95" s="30"/>
      <c r="CIT95" s="30"/>
      <c r="CIU95" s="30"/>
      <c r="CIV95" s="30"/>
      <c r="CIW95" s="30"/>
      <c r="CIX95" s="30"/>
      <c r="CIY95" s="30"/>
      <c r="CIZ95" s="30"/>
      <c r="CJA95" s="30"/>
      <c r="CJB95" s="30"/>
      <c r="CJC95" s="30"/>
      <c r="CJD95" s="30"/>
      <c r="CJE95" s="30"/>
      <c r="CJF95" s="30"/>
      <c r="CJG95" s="30"/>
      <c r="CJH95" s="30"/>
      <c r="CJI95" s="30"/>
      <c r="CJJ95" s="30"/>
      <c r="CJK95" s="30"/>
      <c r="CJL95" s="30"/>
      <c r="CJM95" s="30"/>
      <c r="CJN95" s="30"/>
      <c r="CJO95" s="30"/>
      <c r="CJP95" s="30"/>
      <c r="CJQ95" s="30"/>
      <c r="CJR95" s="30"/>
      <c r="CJS95" s="30"/>
      <c r="CJT95" s="30"/>
      <c r="CJU95" s="30"/>
      <c r="CJV95" s="30"/>
      <c r="CJW95" s="30"/>
      <c r="CJX95" s="30"/>
      <c r="CJY95" s="30"/>
      <c r="CJZ95" s="30"/>
      <c r="CKA95" s="30"/>
      <c r="CKB95" s="30"/>
      <c r="CKC95" s="30"/>
      <c r="CKD95" s="30"/>
      <c r="CKE95" s="30"/>
      <c r="CKF95" s="30"/>
      <c r="CKG95" s="30"/>
      <c r="CKH95" s="30"/>
      <c r="CKI95" s="30"/>
      <c r="CKJ95" s="30"/>
      <c r="CKK95" s="30"/>
      <c r="CKL95" s="30"/>
      <c r="CKM95" s="30"/>
      <c r="CKN95" s="30"/>
      <c r="CKO95" s="30"/>
      <c r="CKP95" s="30"/>
      <c r="CKQ95" s="30"/>
      <c r="CKR95" s="30"/>
      <c r="CKS95" s="30"/>
      <c r="CKT95" s="30"/>
      <c r="CKU95" s="30"/>
      <c r="CKV95" s="30"/>
      <c r="CKW95" s="30"/>
      <c r="CKX95" s="30"/>
      <c r="CKY95" s="30"/>
      <c r="CKZ95" s="30"/>
      <c r="CLA95" s="30"/>
      <c r="CLB95" s="30"/>
      <c r="CLC95" s="30"/>
      <c r="CLD95" s="30"/>
      <c r="CLE95" s="30"/>
      <c r="CLF95" s="30"/>
      <c r="CLG95" s="30"/>
      <c r="CLH95" s="30"/>
      <c r="CLI95" s="30"/>
      <c r="CLJ95" s="30"/>
      <c r="CLK95" s="30"/>
      <c r="CLL95" s="30"/>
      <c r="CLM95" s="30"/>
      <c r="CLN95" s="30"/>
      <c r="CLO95" s="30"/>
      <c r="CLP95" s="30"/>
      <c r="CLQ95" s="30"/>
      <c r="CLR95" s="30"/>
      <c r="CLS95" s="30"/>
      <c r="CLT95" s="30"/>
      <c r="CLU95" s="30"/>
      <c r="CLV95" s="30"/>
      <c r="CLW95" s="30"/>
      <c r="CLX95" s="30"/>
      <c r="CLY95" s="30"/>
      <c r="CLZ95" s="30"/>
      <c r="CMA95" s="30"/>
      <c r="CMB95" s="30"/>
      <c r="CMC95" s="30"/>
      <c r="CMD95" s="30"/>
      <c r="CME95" s="30"/>
      <c r="CMF95" s="30"/>
      <c r="CMG95" s="30"/>
      <c r="CMH95" s="30"/>
      <c r="CMI95" s="30"/>
      <c r="CMJ95" s="30"/>
      <c r="CMK95" s="30"/>
      <c r="CML95" s="30"/>
      <c r="CMM95" s="30"/>
      <c r="CMN95" s="30"/>
      <c r="CMO95" s="30"/>
      <c r="CMP95" s="30"/>
      <c r="CMQ95" s="30"/>
      <c r="CMR95" s="30"/>
      <c r="CMS95" s="30"/>
      <c r="CMT95" s="30"/>
      <c r="CMU95" s="30"/>
      <c r="CMV95" s="30"/>
      <c r="CMW95" s="30"/>
      <c r="CMX95" s="30"/>
      <c r="CMY95" s="30"/>
      <c r="CMZ95" s="30"/>
      <c r="CNA95" s="30"/>
      <c r="CNB95" s="30"/>
      <c r="CNC95" s="30"/>
      <c r="CND95" s="30"/>
      <c r="CNE95" s="30"/>
      <c r="CNF95" s="30"/>
      <c r="CNG95" s="30"/>
      <c r="CNH95" s="30"/>
      <c r="CNI95" s="30"/>
      <c r="CNJ95" s="30"/>
      <c r="CNK95" s="30"/>
      <c r="CNL95" s="30"/>
      <c r="CNM95" s="30"/>
      <c r="CNN95" s="30"/>
      <c r="CNO95" s="30"/>
      <c r="CNP95" s="30"/>
      <c r="CNQ95" s="30"/>
      <c r="CNR95" s="30"/>
      <c r="CNS95" s="30"/>
      <c r="CNT95" s="30"/>
      <c r="CNU95" s="30"/>
      <c r="CNV95" s="30"/>
      <c r="CNW95" s="30"/>
      <c r="CNX95" s="30"/>
      <c r="CNY95" s="30"/>
      <c r="CNZ95" s="30"/>
      <c r="COA95" s="30"/>
      <c r="COB95" s="30"/>
      <c r="COC95" s="30"/>
      <c r="COD95" s="30"/>
      <c r="COE95" s="30"/>
      <c r="COF95" s="30"/>
      <c r="COG95" s="30"/>
      <c r="COH95" s="30"/>
      <c r="COI95" s="30"/>
      <c r="COJ95" s="30"/>
      <c r="COK95" s="30"/>
      <c r="COL95" s="30"/>
      <c r="COM95" s="30"/>
      <c r="CON95" s="30"/>
      <c r="COO95" s="30"/>
      <c r="COP95" s="30"/>
      <c r="COQ95" s="30"/>
      <c r="COR95" s="30"/>
      <c r="COS95" s="30"/>
      <c r="COT95" s="30"/>
      <c r="COU95" s="30"/>
      <c r="COV95" s="30"/>
      <c r="COW95" s="30"/>
      <c r="COX95" s="30"/>
      <c r="COY95" s="30"/>
      <c r="COZ95" s="30"/>
      <c r="CPA95" s="30"/>
      <c r="CPB95" s="30"/>
      <c r="CPC95" s="30"/>
      <c r="CPD95" s="30"/>
      <c r="CPE95" s="30"/>
      <c r="CPF95" s="30"/>
      <c r="CPG95" s="30"/>
      <c r="CPH95" s="30"/>
      <c r="CPI95" s="30"/>
      <c r="CPJ95" s="30"/>
      <c r="CPK95" s="30"/>
      <c r="CPL95" s="30"/>
      <c r="CPM95" s="30"/>
      <c r="CPN95" s="30"/>
      <c r="CPO95" s="30"/>
      <c r="CPP95" s="30"/>
      <c r="CPQ95" s="30"/>
      <c r="CPR95" s="30"/>
      <c r="CPS95" s="30"/>
      <c r="CPT95" s="30"/>
      <c r="CPU95" s="30"/>
      <c r="CPV95" s="30"/>
      <c r="CPW95" s="30"/>
      <c r="CPX95" s="30"/>
      <c r="CPY95" s="30"/>
      <c r="CPZ95" s="30"/>
      <c r="CQA95" s="30"/>
      <c r="CQB95" s="30"/>
      <c r="CQC95" s="30"/>
      <c r="CQD95" s="30"/>
      <c r="CQE95" s="30"/>
      <c r="CQF95" s="30"/>
      <c r="CQG95" s="30"/>
      <c r="CQH95" s="30"/>
      <c r="CQI95" s="30"/>
      <c r="CQJ95" s="30"/>
      <c r="CQK95" s="30"/>
      <c r="CQL95" s="30"/>
      <c r="CQM95" s="30"/>
      <c r="CQN95" s="30"/>
      <c r="CQO95" s="30"/>
      <c r="CQP95" s="30"/>
      <c r="CQQ95" s="30"/>
      <c r="CQR95" s="30"/>
      <c r="CQS95" s="30"/>
      <c r="CQT95" s="30"/>
      <c r="CQU95" s="30"/>
      <c r="CQV95" s="30"/>
      <c r="CQW95" s="30"/>
      <c r="CQX95" s="30"/>
      <c r="CQY95" s="30"/>
      <c r="CQZ95" s="30"/>
      <c r="CRA95" s="30"/>
      <c r="CRB95" s="30"/>
      <c r="CRC95" s="30"/>
      <c r="CRD95" s="30"/>
      <c r="CRE95" s="30"/>
      <c r="CRF95" s="30"/>
      <c r="CRG95" s="30"/>
      <c r="CRH95" s="30"/>
      <c r="CRI95" s="30"/>
      <c r="CRJ95" s="30"/>
      <c r="CRK95" s="30"/>
      <c r="CRL95" s="30"/>
      <c r="CRM95" s="30"/>
      <c r="CRN95" s="30"/>
      <c r="CRO95" s="30"/>
      <c r="CRP95" s="30"/>
      <c r="CRQ95" s="30"/>
      <c r="CRR95" s="30"/>
      <c r="CRS95" s="30"/>
      <c r="CRT95" s="30"/>
      <c r="CRU95" s="30"/>
      <c r="CRV95" s="30"/>
      <c r="CRW95" s="30"/>
      <c r="CRX95" s="30"/>
      <c r="CRY95" s="30"/>
      <c r="CRZ95" s="30"/>
      <c r="CSA95" s="30"/>
      <c r="CSB95" s="30"/>
      <c r="CSC95" s="30"/>
      <c r="CSD95" s="30"/>
      <c r="CSE95" s="30"/>
      <c r="CSF95" s="30"/>
      <c r="CSG95" s="30"/>
      <c r="CSH95" s="30"/>
      <c r="CSI95" s="30"/>
      <c r="CSJ95" s="30"/>
      <c r="CSK95" s="30"/>
      <c r="CSL95" s="30"/>
      <c r="CSM95" s="30"/>
      <c r="CSN95" s="30"/>
      <c r="CSO95" s="30"/>
      <c r="CSP95" s="30"/>
      <c r="CSQ95" s="30"/>
      <c r="CSR95" s="30"/>
      <c r="CSS95" s="30"/>
      <c r="CST95" s="30"/>
      <c r="CSU95" s="30"/>
      <c r="CSV95" s="30"/>
      <c r="CSW95" s="30"/>
      <c r="CSX95" s="30"/>
      <c r="CSY95" s="30"/>
      <c r="CSZ95" s="30"/>
      <c r="CTA95" s="30"/>
      <c r="CTB95" s="30"/>
      <c r="CTC95" s="30"/>
      <c r="CTD95" s="30"/>
      <c r="CTE95" s="30"/>
      <c r="CTF95" s="30"/>
      <c r="CTG95" s="30"/>
      <c r="CTH95" s="30"/>
      <c r="CTI95" s="30"/>
      <c r="CTJ95" s="30"/>
      <c r="CTK95" s="30"/>
      <c r="CTL95" s="30"/>
      <c r="CTM95" s="30"/>
      <c r="CTN95" s="30"/>
      <c r="CTO95" s="30"/>
      <c r="CTP95" s="30"/>
      <c r="CTQ95" s="30"/>
      <c r="CTR95" s="30"/>
      <c r="CTS95" s="30"/>
      <c r="CTT95" s="30"/>
      <c r="CTU95" s="30"/>
      <c r="CTV95" s="30"/>
      <c r="CTW95" s="30"/>
      <c r="CTX95" s="30"/>
      <c r="CTY95" s="30"/>
      <c r="CTZ95" s="30"/>
      <c r="CUA95" s="30"/>
    </row>
    <row r="96" s="30" customFormat="1" spans="1:18">
      <c r="A96" s="268">
        <v>102</v>
      </c>
      <c r="B96" s="268" t="s">
        <v>14</v>
      </c>
      <c r="C96" s="268" t="s">
        <v>54</v>
      </c>
      <c r="D96" s="82" t="s">
        <v>262</v>
      </c>
      <c r="E96" s="248" t="s">
        <v>898</v>
      </c>
      <c r="F96" s="85"/>
      <c r="G96" s="85"/>
      <c r="H96" s="277" t="s">
        <v>899</v>
      </c>
      <c r="I96" s="85"/>
      <c r="J96" s="85"/>
      <c r="K96" s="85"/>
      <c r="L96" s="31" t="s">
        <v>667</v>
      </c>
      <c r="M96" s="29" t="s">
        <v>44</v>
      </c>
      <c r="N96" s="177">
        <v>45749</v>
      </c>
      <c r="O96" s="177">
        <v>46113</v>
      </c>
      <c r="P96" s="204">
        <v>60</v>
      </c>
      <c r="Q96" s="249"/>
      <c r="R96" s="322"/>
    </row>
    <row r="97" s="30" customFormat="1" spans="1:19">
      <c r="A97" s="268">
        <v>103</v>
      </c>
      <c r="B97" s="268" t="s">
        <v>14</v>
      </c>
      <c r="C97" s="268" t="s">
        <v>54</v>
      </c>
      <c r="D97" s="82" t="s">
        <v>262</v>
      </c>
      <c r="E97" s="248" t="s">
        <v>900</v>
      </c>
      <c r="F97" s="85"/>
      <c r="G97" s="85"/>
      <c r="H97" s="277" t="s">
        <v>901</v>
      </c>
      <c r="I97" s="85"/>
      <c r="J97" s="85"/>
      <c r="K97" s="85"/>
      <c r="L97" s="31" t="s">
        <v>667</v>
      </c>
      <c r="M97" s="29" t="s">
        <v>44</v>
      </c>
      <c r="N97" s="177">
        <v>45749</v>
      </c>
      <c r="O97" s="177">
        <v>46113</v>
      </c>
      <c r="P97" s="204">
        <v>60</v>
      </c>
      <c r="Q97" s="249"/>
      <c r="R97" s="322"/>
      <c r="S97" s="267"/>
    </row>
    <row r="98" s="30" customFormat="1" spans="1:18">
      <c r="A98" s="268">
        <v>104</v>
      </c>
      <c r="B98" s="268" t="s">
        <v>14</v>
      </c>
      <c r="C98" s="268" t="s">
        <v>54</v>
      </c>
      <c r="D98" s="82" t="s">
        <v>262</v>
      </c>
      <c r="E98" s="248" t="s">
        <v>902</v>
      </c>
      <c r="F98" s="85"/>
      <c r="G98" s="85"/>
      <c r="H98" s="277" t="s">
        <v>903</v>
      </c>
      <c r="I98" s="85"/>
      <c r="J98" s="85"/>
      <c r="K98" s="85"/>
      <c r="L98" s="31" t="s">
        <v>667</v>
      </c>
      <c r="M98" s="29" t="s">
        <v>44</v>
      </c>
      <c r="N98" s="177">
        <v>45749</v>
      </c>
      <c r="O98" s="177">
        <v>46113</v>
      </c>
      <c r="P98" s="204">
        <v>60</v>
      </c>
      <c r="Q98" s="249"/>
      <c r="R98" s="322"/>
    </row>
    <row r="99" s="30" customFormat="1" spans="1:18">
      <c r="A99" s="268">
        <v>105</v>
      </c>
      <c r="B99" s="268" t="s">
        <v>15</v>
      </c>
      <c r="C99" s="268" t="s">
        <v>37</v>
      </c>
      <c r="D99" s="82" t="s">
        <v>675</v>
      </c>
      <c r="E99" s="29" t="s">
        <v>687</v>
      </c>
      <c r="F99" s="31" t="s">
        <v>904</v>
      </c>
      <c r="G99" s="31" t="s">
        <v>689</v>
      </c>
      <c r="H99" s="119" t="s">
        <v>905</v>
      </c>
      <c r="I99" s="32">
        <v>2012.01</v>
      </c>
      <c r="J99" s="283" t="s">
        <v>691</v>
      </c>
      <c r="K99" s="284" t="s">
        <v>692</v>
      </c>
      <c r="L99" s="31" t="s">
        <v>667</v>
      </c>
      <c r="M99" s="29" t="s">
        <v>674</v>
      </c>
      <c r="N99" s="94">
        <v>45764</v>
      </c>
      <c r="O99" s="94">
        <v>46128</v>
      </c>
      <c r="P99" s="29">
        <v>500</v>
      </c>
      <c r="Q99" s="85" t="s">
        <v>833</v>
      </c>
      <c r="R99" s="323"/>
    </row>
    <row r="100" s="30" customFormat="1" spans="1:19">
      <c r="A100" s="268">
        <v>106</v>
      </c>
      <c r="B100" s="268" t="s">
        <v>14</v>
      </c>
      <c r="C100" s="268" t="s">
        <v>37</v>
      </c>
      <c r="D100" s="82" t="s">
        <v>262</v>
      </c>
      <c r="E100" s="29" t="s">
        <v>669</v>
      </c>
      <c r="F100" s="85"/>
      <c r="G100" s="31" t="s">
        <v>670</v>
      </c>
      <c r="H100" s="119" t="s">
        <v>906</v>
      </c>
      <c r="I100" s="259"/>
      <c r="J100" s="31" t="s">
        <v>907</v>
      </c>
      <c r="K100" s="161">
        <v>0.001</v>
      </c>
      <c r="L100" s="29" t="s">
        <v>673</v>
      </c>
      <c r="M100" s="29" t="s">
        <v>674</v>
      </c>
      <c r="N100" s="286">
        <v>45772</v>
      </c>
      <c r="O100" s="94">
        <v>46136</v>
      </c>
      <c r="P100" s="29">
        <v>336</v>
      </c>
      <c r="Q100" s="85" t="s">
        <v>908</v>
      </c>
      <c r="R100" s="322"/>
      <c r="S100" s="292"/>
    </row>
    <row r="101" s="30" customFormat="1" spans="1:18">
      <c r="A101" s="268">
        <v>107</v>
      </c>
      <c r="B101" s="268" t="s">
        <v>15</v>
      </c>
      <c r="C101" s="268" t="s">
        <v>37</v>
      </c>
      <c r="D101" s="82" t="s">
        <v>675</v>
      </c>
      <c r="E101" s="29" t="s">
        <v>669</v>
      </c>
      <c r="F101" s="85"/>
      <c r="G101" s="31" t="s">
        <v>670</v>
      </c>
      <c r="H101" s="119" t="s">
        <v>909</v>
      </c>
      <c r="I101" s="259"/>
      <c r="J101" s="31" t="s">
        <v>907</v>
      </c>
      <c r="K101" s="161">
        <v>0.001</v>
      </c>
      <c r="L101" s="29" t="s">
        <v>673</v>
      </c>
      <c r="M101" s="29" t="s">
        <v>674</v>
      </c>
      <c r="N101" s="286">
        <v>45772</v>
      </c>
      <c r="O101" s="94">
        <v>46136</v>
      </c>
      <c r="P101" s="29">
        <v>336</v>
      </c>
      <c r="Q101" s="85"/>
      <c r="R101" s="322"/>
    </row>
    <row r="102" s="30" customFormat="1" spans="1:18">
      <c r="A102" s="268">
        <v>108</v>
      </c>
      <c r="B102" s="268" t="s">
        <v>13</v>
      </c>
      <c r="C102" s="268" t="s">
        <v>37</v>
      </c>
      <c r="D102" s="82" t="s">
        <v>330</v>
      </c>
      <c r="E102" s="29" t="s">
        <v>665</v>
      </c>
      <c r="F102" s="264"/>
      <c r="G102" s="264"/>
      <c r="H102" s="119" t="s">
        <v>910</v>
      </c>
      <c r="I102" s="264"/>
      <c r="J102" s="264"/>
      <c r="K102" s="264"/>
      <c r="L102" s="31" t="s">
        <v>667</v>
      </c>
      <c r="M102" s="29" t="s">
        <v>44</v>
      </c>
      <c r="N102" s="289">
        <v>45774</v>
      </c>
      <c r="O102" s="289">
        <v>46138</v>
      </c>
      <c r="P102" s="29">
        <v>300</v>
      </c>
      <c r="Q102" s="300" t="s">
        <v>829</v>
      </c>
      <c r="R102" s="324"/>
    </row>
    <row r="103" s="30" customFormat="1" spans="1:2575">
      <c r="A103" s="268">
        <v>109</v>
      </c>
      <c r="B103" s="268" t="s">
        <v>15</v>
      </c>
      <c r="C103" s="268" t="s">
        <v>37</v>
      </c>
      <c r="D103" s="82" t="s">
        <v>675</v>
      </c>
      <c r="E103" s="29" t="s">
        <v>665</v>
      </c>
      <c r="F103" s="264"/>
      <c r="G103" s="264"/>
      <c r="H103" s="119" t="s">
        <v>911</v>
      </c>
      <c r="I103" s="264"/>
      <c r="J103" s="264"/>
      <c r="K103" s="264"/>
      <c r="L103" s="31" t="s">
        <v>667</v>
      </c>
      <c r="M103" s="29" t="s">
        <v>44</v>
      </c>
      <c r="N103" s="289">
        <v>45774</v>
      </c>
      <c r="O103" s="289">
        <v>46138</v>
      </c>
      <c r="P103" s="29">
        <v>300</v>
      </c>
      <c r="Q103" s="300" t="s">
        <v>829</v>
      </c>
      <c r="R103" s="324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  <c r="AR103" s="267"/>
      <c r="AS103" s="267"/>
      <c r="AT103" s="267"/>
      <c r="AU103" s="267"/>
      <c r="AV103" s="267"/>
      <c r="AW103" s="267"/>
      <c r="AX103" s="267"/>
      <c r="AY103" s="267"/>
      <c r="AZ103" s="267"/>
      <c r="BA103" s="267"/>
      <c r="BB103" s="267"/>
      <c r="BC103" s="267"/>
      <c r="BD103" s="267"/>
      <c r="BE103" s="267"/>
      <c r="BF103" s="267"/>
      <c r="BG103" s="267"/>
      <c r="BH103" s="267"/>
      <c r="BI103" s="267"/>
      <c r="BJ103" s="267"/>
      <c r="BK103" s="267"/>
      <c r="BL103" s="267"/>
      <c r="BM103" s="267"/>
      <c r="BN103" s="267"/>
      <c r="BO103" s="267"/>
      <c r="BP103" s="267"/>
      <c r="BQ103" s="267"/>
      <c r="BR103" s="267"/>
      <c r="BS103" s="267"/>
      <c r="BT103" s="267"/>
      <c r="BU103" s="267"/>
      <c r="BV103" s="267"/>
      <c r="BW103" s="267"/>
      <c r="BX103" s="267"/>
      <c r="BY103" s="267"/>
      <c r="BZ103" s="267"/>
      <c r="CA103" s="267"/>
      <c r="CB103" s="267"/>
      <c r="CC103" s="267"/>
      <c r="CD103" s="267"/>
      <c r="CE103" s="267"/>
      <c r="CF103" s="267"/>
      <c r="CG103" s="267"/>
      <c r="CH103" s="267"/>
      <c r="CI103" s="267"/>
      <c r="CJ103" s="267"/>
      <c r="CK103" s="267"/>
      <c r="CL103" s="267"/>
      <c r="CM103" s="267"/>
      <c r="CN103" s="267"/>
      <c r="CO103" s="267"/>
      <c r="CP103" s="267"/>
      <c r="CQ103" s="267"/>
      <c r="CR103" s="267"/>
      <c r="CS103" s="267"/>
      <c r="CT103" s="267"/>
      <c r="CU103" s="267"/>
      <c r="CV103" s="267"/>
      <c r="CW103" s="267"/>
      <c r="CX103" s="267"/>
      <c r="CY103" s="267"/>
      <c r="CZ103" s="267"/>
      <c r="DA103" s="267"/>
      <c r="DB103" s="267"/>
      <c r="DC103" s="267"/>
      <c r="DD103" s="267"/>
      <c r="DE103" s="267"/>
      <c r="DF103" s="267"/>
      <c r="DG103" s="267"/>
      <c r="DH103" s="267"/>
      <c r="DI103" s="267"/>
      <c r="DJ103" s="267"/>
      <c r="DK103" s="267"/>
      <c r="DL103" s="267"/>
      <c r="DM103" s="267"/>
      <c r="DN103" s="267"/>
      <c r="DO103" s="267"/>
      <c r="DP103" s="267"/>
      <c r="DQ103" s="267"/>
      <c r="DR103" s="267"/>
      <c r="DS103" s="267"/>
      <c r="DT103" s="267"/>
      <c r="DU103" s="267"/>
      <c r="DV103" s="267"/>
      <c r="DW103" s="267"/>
      <c r="DX103" s="267"/>
      <c r="DY103" s="267"/>
      <c r="DZ103" s="267"/>
      <c r="EA103" s="267"/>
      <c r="EB103" s="267"/>
      <c r="EC103" s="267"/>
      <c r="ED103" s="267"/>
      <c r="EE103" s="267"/>
      <c r="EF103" s="267"/>
      <c r="EG103" s="267"/>
      <c r="EH103" s="267"/>
      <c r="EI103" s="267"/>
      <c r="EJ103" s="267"/>
      <c r="EK103" s="267"/>
      <c r="EL103" s="267"/>
      <c r="EM103" s="267"/>
      <c r="EN103" s="267"/>
      <c r="EO103" s="267"/>
      <c r="EP103" s="267"/>
      <c r="EQ103" s="267"/>
      <c r="ER103" s="267"/>
      <c r="ES103" s="267"/>
      <c r="ET103" s="267"/>
      <c r="EU103" s="267"/>
      <c r="EV103" s="267"/>
      <c r="EW103" s="267"/>
      <c r="EX103" s="267"/>
      <c r="EY103" s="267"/>
      <c r="EZ103" s="267"/>
      <c r="FA103" s="267"/>
      <c r="FB103" s="267"/>
      <c r="FC103" s="267"/>
      <c r="FD103" s="267"/>
      <c r="FE103" s="267"/>
      <c r="FF103" s="267"/>
      <c r="FG103" s="267"/>
      <c r="FH103" s="267"/>
      <c r="FI103" s="267"/>
      <c r="FJ103" s="267"/>
      <c r="FK103" s="267"/>
      <c r="FL103" s="267"/>
      <c r="FM103" s="267"/>
      <c r="FN103" s="267"/>
      <c r="FO103" s="267"/>
      <c r="FP103" s="267"/>
      <c r="FQ103" s="267"/>
      <c r="FR103" s="267"/>
      <c r="FS103" s="267"/>
      <c r="FT103" s="267"/>
      <c r="FU103" s="267"/>
      <c r="FV103" s="267"/>
      <c r="FW103" s="267"/>
      <c r="FX103" s="267"/>
      <c r="FY103" s="267"/>
      <c r="FZ103" s="267"/>
      <c r="GA103" s="267"/>
      <c r="GB103" s="267"/>
      <c r="GC103" s="267"/>
      <c r="GD103" s="267"/>
      <c r="GE103" s="267"/>
      <c r="GF103" s="267"/>
      <c r="GG103" s="267"/>
      <c r="GH103" s="267"/>
      <c r="GI103" s="267"/>
      <c r="GJ103" s="267"/>
      <c r="GK103" s="267"/>
      <c r="GL103" s="267"/>
      <c r="GM103" s="267"/>
      <c r="GN103" s="267"/>
      <c r="GO103" s="267"/>
      <c r="GP103" s="267"/>
      <c r="GQ103" s="267"/>
      <c r="GR103" s="267"/>
      <c r="GS103" s="267"/>
      <c r="GT103" s="267"/>
      <c r="GU103" s="267"/>
      <c r="GV103" s="267"/>
      <c r="GW103" s="267"/>
      <c r="GX103" s="267"/>
      <c r="GY103" s="267"/>
      <c r="GZ103" s="267"/>
      <c r="HA103" s="267"/>
      <c r="HB103" s="267"/>
      <c r="HC103" s="267"/>
      <c r="HD103" s="267"/>
      <c r="HE103" s="267"/>
      <c r="HF103" s="267"/>
      <c r="HG103" s="267"/>
      <c r="HH103" s="267"/>
      <c r="HI103" s="267"/>
      <c r="HJ103" s="267"/>
      <c r="HK103" s="267"/>
      <c r="HL103" s="267"/>
      <c r="HM103" s="267"/>
      <c r="HN103" s="267"/>
      <c r="HO103" s="267"/>
      <c r="HP103" s="267"/>
      <c r="HQ103" s="267"/>
      <c r="HR103" s="267"/>
      <c r="HS103" s="267"/>
      <c r="HT103" s="267"/>
      <c r="HU103" s="267"/>
      <c r="HV103" s="267"/>
      <c r="HW103" s="267"/>
      <c r="HX103" s="267"/>
      <c r="HY103" s="267"/>
      <c r="HZ103" s="267"/>
      <c r="IA103" s="267"/>
      <c r="IB103" s="267"/>
      <c r="IC103" s="267"/>
      <c r="ID103" s="267"/>
      <c r="IE103" s="267"/>
      <c r="IF103" s="267"/>
      <c r="IG103" s="267"/>
      <c r="IH103" s="267"/>
      <c r="II103" s="267"/>
      <c r="IJ103" s="267"/>
      <c r="IK103" s="267"/>
      <c r="IL103" s="267"/>
      <c r="IM103" s="267"/>
      <c r="IN103" s="267"/>
      <c r="IO103" s="267"/>
      <c r="IP103" s="267"/>
      <c r="IQ103" s="267"/>
      <c r="IR103" s="267"/>
      <c r="IS103" s="267"/>
      <c r="IT103" s="267"/>
      <c r="IU103" s="267"/>
      <c r="IV103" s="267"/>
      <c r="IW103" s="267"/>
      <c r="IX103" s="267"/>
      <c r="IY103" s="267"/>
      <c r="IZ103" s="267"/>
      <c r="JA103" s="267"/>
      <c r="JB103" s="267"/>
      <c r="JC103" s="267"/>
      <c r="JD103" s="267"/>
      <c r="JE103" s="267"/>
      <c r="JF103" s="267"/>
      <c r="JG103" s="267"/>
      <c r="JH103" s="267"/>
      <c r="JI103" s="267"/>
      <c r="JJ103" s="267"/>
      <c r="JK103" s="267"/>
      <c r="JL103" s="267"/>
      <c r="JM103" s="267"/>
      <c r="JN103" s="267"/>
      <c r="JO103" s="267"/>
      <c r="JP103" s="267"/>
      <c r="JQ103" s="267"/>
      <c r="JR103" s="267"/>
      <c r="JS103" s="267"/>
      <c r="JT103" s="267"/>
      <c r="JU103" s="267"/>
      <c r="JV103" s="267"/>
      <c r="JW103" s="267"/>
      <c r="JX103" s="267"/>
      <c r="JY103" s="267"/>
      <c r="JZ103" s="267"/>
      <c r="KA103" s="267"/>
      <c r="KB103" s="267"/>
      <c r="KC103" s="267"/>
      <c r="KD103" s="267"/>
      <c r="KE103" s="267"/>
      <c r="KF103" s="267"/>
      <c r="KG103" s="267"/>
      <c r="KH103" s="267"/>
      <c r="KI103" s="267"/>
      <c r="KJ103" s="267"/>
      <c r="KK103" s="267"/>
      <c r="KL103" s="267"/>
      <c r="KM103" s="267"/>
      <c r="KN103" s="267"/>
      <c r="KO103" s="267"/>
      <c r="KP103" s="267"/>
      <c r="KQ103" s="267"/>
      <c r="KR103" s="267"/>
      <c r="KS103" s="267"/>
      <c r="KT103" s="267"/>
      <c r="KU103" s="267"/>
      <c r="KV103" s="267"/>
      <c r="KW103" s="267"/>
      <c r="KX103" s="267"/>
      <c r="KY103" s="267"/>
      <c r="KZ103" s="267"/>
      <c r="LA103" s="267"/>
      <c r="LB103" s="267"/>
      <c r="LC103" s="267"/>
      <c r="LD103" s="267"/>
      <c r="LE103" s="267"/>
      <c r="LF103" s="267"/>
      <c r="LG103" s="267"/>
      <c r="LH103" s="267"/>
      <c r="LI103" s="267"/>
      <c r="LJ103" s="267"/>
      <c r="LK103" s="267"/>
      <c r="LL103" s="267"/>
      <c r="LM103" s="267"/>
      <c r="LN103" s="267"/>
      <c r="LO103" s="267"/>
      <c r="LP103" s="267"/>
      <c r="LQ103" s="267"/>
      <c r="LR103" s="267"/>
      <c r="LS103" s="267"/>
      <c r="LT103" s="267"/>
      <c r="LU103" s="267"/>
      <c r="LV103" s="267"/>
      <c r="LW103" s="267"/>
      <c r="LX103" s="267"/>
      <c r="LY103" s="267"/>
      <c r="LZ103" s="267"/>
      <c r="MA103" s="267"/>
      <c r="MB103" s="267"/>
      <c r="MC103" s="267"/>
      <c r="MD103" s="267"/>
      <c r="ME103" s="267"/>
      <c r="MF103" s="267"/>
      <c r="MG103" s="267"/>
      <c r="MH103" s="267"/>
      <c r="MI103" s="267"/>
      <c r="MJ103" s="267"/>
      <c r="MK103" s="267"/>
      <c r="ML103" s="267"/>
      <c r="MM103" s="267"/>
      <c r="MN103" s="267"/>
      <c r="MO103" s="267"/>
      <c r="MP103" s="267"/>
      <c r="MQ103" s="267"/>
      <c r="MR103" s="267"/>
      <c r="MS103" s="267"/>
      <c r="MT103" s="267"/>
      <c r="MU103" s="267"/>
      <c r="MV103" s="267"/>
      <c r="MW103" s="267"/>
      <c r="MX103" s="267"/>
      <c r="MY103" s="267"/>
      <c r="MZ103" s="267"/>
      <c r="NA103" s="267"/>
      <c r="NB103" s="267"/>
      <c r="NC103" s="267"/>
      <c r="ND103" s="267"/>
      <c r="NE103" s="267"/>
      <c r="NF103" s="267"/>
      <c r="NG103" s="267"/>
      <c r="NH103" s="267"/>
      <c r="NI103" s="267"/>
      <c r="NJ103" s="267"/>
      <c r="NK103" s="267"/>
      <c r="NL103" s="267"/>
      <c r="NM103" s="267"/>
      <c r="NN103" s="267"/>
      <c r="NO103" s="267"/>
      <c r="NP103" s="267"/>
      <c r="NQ103" s="267"/>
      <c r="NR103" s="267"/>
      <c r="NS103" s="267"/>
      <c r="NT103" s="267"/>
      <c r="NU103" s="267"/>
      <c r="NV103" s="267"/>
      <c r="NW103" s="267"/>
      <c r="NX103" s="267"/>
      <c r="NY103" s="267"/>
      <c r="NZ103" s="267"/>
      <c r="OA103" s="267"/>
      <c r="OB103" s="267"/>
      <c r="OC103" s="267"/>
      <c r="OD103" s="267"/>
      <c r="OE103" s="267"/>
      <c r="OF103" s="267"/>
      <c r="OG103" s="267"/>
      <c r="OH103" s="267"/>
      <c r="OI103" s="267"/>
      <c r="OJ103" s="267"/>
      <c r="OK103" s="267"/>
      <c r="OL103" s="267"/>
      <c r="OM103" s="267"/>
      <c r="ON103" s="267"/>
      <c r="OO103" s="267"/>
      <c r="OP103" s="267"/>
      <c r="OQ103" s="267"/>
      <c r="OR103" s="267"/>
      <c r="OS103" s="267"/>
      <c r="OT103" s="267"/>
      <c r="OU103" s="267"/>
      <c r="OV103" s="267"/>
      <c r="OW103" s="267"/>
      <c r="OX103" s="267"/>
      <c r="OY103" s="267"/>
      <c r="OZ103" s="267"/>
      <c r="PA103" s="267"/>
      <c r="PB103" s="267"/>
      <c r="PC103" s="267"/>
      <c r="PD103" s="267"/>
      <c r="PE103" s="267"/>
      <c r="PF103" s="267"/>
      <c r="PG103" s="267"/>
      <c r="PH103" s="267"/>
      <c r="PI103" s="267"/>
      <c r="PJ103" s="267"/>
      <c r="PK103" s="267"/>
      <c r="PL103" s="267"/>
      <c r="PM103" s="267"/>
      <c r="PN103" s="267"/>
      <c r="PO103" s="267"/>
      <c r="PP103" s="267"/>
      <c r="PQ103" s="267"/>
      <c r="PR103" s="267"/>
      <c r="PS103" s="267"/>
      <c r="PT103" s="267"/>
      <c r="PU103" s="267"/>
      <c r="PV103" s="267"/>
      <c r="PW103" s="267"/>
      <c r="PX103" s="267"/>
      <c r="PY103" s="267"/>
      <c r="PZ103" s="267"/>
      <c r="QA103" s="267"/>
      <c r="QB103" s="267"/>
      <c r="QC103" s="267"/>
      <c r="QD103" s="267"/>
      <c r="QE103" s="267"/>
      <c r="QF103" s="267"/>
      <c r="QG103" s="267"/>
      <c r="QH103" s="267"/>
      <c r="QI103" s="267"/>
      <c r="QJ103" s="267"/>
      <c r="QK103" s="267"/>
      <c r="QL103" s="267"/>
      <c r="QM103" s="267"/>
      <c r="QN103" s="267"/>
      <c r="QO103" s="267"/>
      <c r="QP103" s="267"/>
      <c r="QQ103" s="267"/>
      <c r="QR103" s="267"/>
      <c r="QS103" s="267"/>
      <c r="QT103" s="267"/>
      <c r="QU103" s="267"/>
      <c r="QV103" s="267"/>
      <c r="QW103" s="267"/>
      <c r="QX103" s="267"/>
      <c r="QY103" s="267"/>
      <c r="QZ103" s="267"/>
      <c r="RA103" s="267"/>
      <c r="RB103" s="267"/>
      <c r="RC103" s="267"/>
      <c r="RD103" s="267"/>
      <c r="RE103" s="267"/>
      <c r="RF103" s="267"/>
      <c r="RG103" s="267"/>
      <c r="RH103" s="267"/>
      <c r="RI103" s="267"/>
      <c r="RJ103" s="267"/>
      <c r="RK103" s="267"/>
      <c r="RL103" s="267"/>
      <c r="RM103" s="267"/>
      <c r="RN103" s="267"/>
      <c r="RO103" s="267"/>
      <c r="RP103" s="267"/>
      <c r="RQ103" s="267"/>
      <c r="RR103" s="267"/>
      <c r="RS103" s="267"/>
      <c r="RT103" s="267"/>
      <c r="RU103" s="267"/>
      <c r="RV103" s="267"/>
      <c r="RW103" s="267"/>
      <c r="RX103" s="267"/>
      <c r="RY103" s="267"/>
      <c r="RZ103" s="267"/>
      <c r="SA103" s="267"/>
      <c r="SB103" s="267"/>
      <c r="SC103" s="267"/>
      <c r="SD103" s="267"/>
      <c r="SE103" s="267"/>
      <c r="SF103" s="267"/>
      <c r="SG103" s="267"/>
      <c r="SH103" s="267"/>
      <c r="SI103" s="267"/>
      <c r="SJ103" s="267"/>
      <c r="SK103" s="267"/>
      <c r="SL103" s="267"/>
      <c r="SM103" s="267"/>
      <c r="SN103" s="267"/>
      <c r="SO103" s="267"/>
      <c r="SP103" s="267"/>
      <c r="SQ103" s="267"/>
      <c r="SR103" s="267"/>
      <c r="SS103" s="267"/>
      <c r="ST103" s="267"/>
      <c r="SU103" s="267"/>
      <c r="SV103" s="267"/>
      <c r="SW103" s="267"/>
      <c r="SX103" s="267"/>
      <c r="SY103" s="267"/>
      <c r="SZ103" s="267"/>
      <c r="TA103" s="267"/>
      <c r="TB103" s="267"/>
      <c r="TC103" s="267"/>
      <c r="TD103" s="267"/>
      <c r="TE103" s="267"/>
      <c r="TF103" s="267"/>
      <c r="TG103" s="267"/>
      <c r="TH103" s="267"/>
      <c r="TI103" s="267"/>
      <c r="TJ103" s="267"/>
      <c r="TK103" s="267"/>
      <c r="TL103" s="267"/>
      <c r="TM103" s="267"/>
      <c r="TN103" s="267"/>
      <c r="TO103" s="267"/>
      <c r="TP103" s="267"/>
      <c r="TQ103" s="267"/>
      <c r="TR103" s="267"/>
      <c r="TS103" s="267"/>
      <c r="TT103" s="267"/>
      <c r="TU103" s="267"/>
      <c r="TV103" s="267"/>
      <c r="TW103" s="267"/>
      <c r="TX103" s="267"/>
      <c r="TY103" s="267"/>
      <c r="TZ103" s="267"/>
      <c r="UA103" s="267"/>
      <c r="UB103" s="267"/>
      <c r="UC103" s="267"/>
      <c r="UD103" s="267"/>
      <c r="UE103" s="267"/>
      <c r="UF103" s="267"/>
      <c r="UG103" s="267"/>
      <c r="UH103" s="267"/>
      <c r="UI103" s="267"/>
      <c r="UJ103" s="267"/>
      <c r="UK103" s="267"/>
      <c r="UL103" s="267"/>
      <c r="UM103" s="267"/>
      <c r="UN103" s="267"/>
      <c r="UO103" s="267"/>
      <c r="UP103" s="267"/>
      <c r="UQ103" s="267"/>
      <c r="UR103" s="267"/>
      <c r="US103" s="267"/>
      <c r="UT103" s="267"/>
      <c r="UU103" s="267"/>
      <c r="UV103" s="267"/>
      <c r="UW103" s="267"/>
      <c r="UX103" s="267"/>
      <c r="UY103" s="267"/>
      <c r="UZ103" s="267"/>
      <c r="VA103" s="267"/>
      <c r="VB103" s="267"/>
      <c r="VC103" s="267"/>
      <c r="VD103" s="267"/>
      <c r="VE103" s="267"/>
      <c r="VF103" s="267"/>
      <c r="VG103" s="267"/>
      <c r="VH103" s="267"/>
      <c r="VI103" s="267"/>
      <c r="VJ103" s="267"/>
      <c r="VK103" s="267"/>
      <c r="VL103" s="267"/>
      <c r="VM103" s="267"/>
      <c r="VN103" s="267"/>
      <c r="VO103" s="267"/>
      <c r="VP103" s="267"/>
      <c r="VQ103" s="267"/>
      <c r="VR103" s="267"/>
      <c r="VS103" s="267"/>
      <c r="VT103" s="267"/>
      <c r="VU103" s="267"/>
      <c r="VV103" s="267"/>
      <c r="VW103" s="267"/>
      <c r="VX103" s="267"/>
      <c r="VY103" s="267"/>
      <c r="VZ103" s="267"/>
      <c r="WA103" s="267"/>
      <c r="WB103" s="267"/>
      <c r="WC103" s="267"/>
      <c r="WD103" s="267"/>
      <c r="WE103" s="267"/>
      <c r="WF103" s="267"/>
      <c r="WG103" s="267"/>
      <c r="WH103" s="267"/>
      <c r="WI103" s="267"/>
      <c r="WJ103" s="267"/>
      <c r="WK103" s="267"/>
      <c r="WL103" s="267"/>
      <c r="WM103" s="267"/>
      <c r="WN103" s="267"/>
      <c r="WO103" s="267"/>
      <c r="WP103" s="267"/>
      <c r="WQ103" s="267"/>
      <c r="WR103" s="267"/>
      <c r="WS103" s="267"/>
      <c r="WT103" s="267"/>
      <c r="WU103" s="267"/>
      <c r="WV103" s="267"/>
      <c r="WW103" s="267"/>
      <c r="WX103" s="267"/>
      <c r="WY103" s="267"/>
      <c r="WZ103" s="267"/>
      <c r="XA103" s="267"/>
      <c r="XB103" s="267"/>
      <c r="XC103" s="267"/>
      <c r="XD103" s="267"/>
      <c r="XE103" s="267"/>
      <c r="XF103" s="267"/>
      <c r="XG103" s="267"/>
      <c r="XH103" s="267"/>
      <c r="XI103" s="267"/>
      <c r="XJ103" s="267"/>
      <c r="XK103" s="267"/>
      <c r="XL103" s="267"/>
      <c r="XM103" s="267"/>
      <c r="XN103" s="267"/>
      <c r="XO103" s="267"/>
      <c r="XP103" s="267"/>
      <c r="XQ103" s="267"/>
      <c r="XR103" s="267"/>
      <c r="XS103" s="267"/>
      <c r="XT103" s="267"/>
      <c r="XU103" s="267"/>
      <c r="XV103" s="267"/>
      <c r="XW103" s="267"/>
      <c r="XX103" s="267"/>
      <c r="XY103" s="267"/>
      <c r="XZ103" s="267"/>
      <c r="YA103" s="267"/>
      <c r="YB103" s="267"/>
      <c r="YC103" s="267"/>
      <c r="YD103" s="267"/>
      <c r="YE103" s="267"/>
      <c r="YF103" s="267"/>
      <c r="YG103" s="267"/>
      <c r="YH103" s="267"/>
      <c r="YI103" s="267"/>
      <c r="YJ103" s="267"/>
      <c r="YK103" s="267"/>
      <c r="YL103" s="267"/>
      <c r="YM103" s="267"/>
      <c r="YN103" s="267"/>
      <c r="YO103" s="267"/>
      <c r="YP103" s="267"/>
      <c r="YQ103" s="267"/>
      <c r="YR103" s="267"/>
      <c r="YS103" s="267"/>
      <c r="YT103" s="267"/>
      <c r="YU103" s="267"/>
      <c r="YV103" s="267"/>
      <c r="YW103" s="267"/>
      <c r="YX103" s="267"/>
      <c r="YY103" s="267"/>
      <c r="YZ103" s="267"/>
      <c r="ZA103" s="267"/>
      <c r="ZB103" s="267"/>
      <c r="ZC103" s="267"/>
      <c r="ZD103" s="267"/>
      <c r="ZE103" s="267"/>
      <c r="ZF103" s="267"/>
      <c r="ZG103" s="267"/>
      <c r="ZH103" s="267"/>
      <c r="ZI103" s="267"/>
      <c r="ZJ103" s="267"/>
      <c r="ZK103" s="267"/>
      <c r="ZL103" s="267"/>
      <c r="ZM103" s="267"/>
      <c r="ZN103" s="267"/>
      <c r="ZO103" s="267"/>
      <c r="ZP103" s="267"/>
      <c r="ZQ103" s="267"/>
      <c r="ZR103" s="267"/>
      <c r="ZS103" s="267"/>
      <c r="ZT103" s="267"/>
      <c r="ZU103" s="267"/>
      <c r="ZV103" s="267"/>
      <c r="ZW103" s="267"/>
      <c r="ZX103" s="267"/>
      <c r="ZY103" s="267"/>
      <c r="ZZ103" s="267"/>
      <c r="AAA103" s="267"/>
      <c r="AAB103" s="267"/>
      <c r="AAC103" s="267"/>
      <c r="AAD103" s="267"/>
      <c r="AAE103" s="267"/>
      <c r="AAF103" s="267"/>
      <c r="AAG103" s="267"/>
      <c r="AAH103" s="267"/>
      <c r="AAI103" s="267"/>
      <c r="AAJ103" s="267"/>
      <c r="AAK103" s="267"/>
      <c r="AAL103" s="267"/>
      <c r="AAM103" s="267"/>
      <c r="AAN103" s="267"/>
      <c r="AAO103" s="267"/>
      <c r="AAP103" s="267"/>
      <c r="AAQ103" s="267"/>
      <c r="AAR103" s="267"/>
      <c r="AAS103" s="267"/>
      <c r="AAT103" s="267"/>
      <c r="AAU103" s="267"/>
      <c r="AAV103" s="267"/>
      <c r="AAW103" s="267"/>
      <c r="AAX103" s="267"/>
      <c r="AAY103" s="267"/>
      <c r="AAZ103" s="267"/>
      <c r="ABA103" s="267"/>
      <c r="ABB103" s="267"/>
      <c r="ABC103" s="267"/>
      <c r="ABD103" s="267"/>
      <c r="ABE103" s="267"/>
      <c r="ABF103" s="267"/>
      <c r="ABG103" s="267"/>
      <c r="ABH103" s="267"/>
      <c r="ABI103" s="267"/>
      <c r="ABJ103" s="267"/>
      <c r="ABK103" s="267"/>
      <c r="ABL103" s="267"/>
      <c r="ABM103" s="267"/>
      <c r="ABN103" s="267"/>
      <c r="ABO103" s="267"/>
      <c r="ABP103" s="267"/>
      <c r="ABQ103" s="267"/>
      <c r="ABR103" s="267"/>
      <c r="ABS103" s="267"/>
      <c r="ABT103" s="267"/>
      <c r="ABU103" s="267"/>
      <c r="ABV103" s="267"/>
      <c r="ABW103" s="267"/>
      <c r="ABX103" s="267"/>
      <c r="ABY103" s="267"/>
      <c r="ABZ103" s="267"/>
      <c r="ACA103" s="267"/>
      <c r="ACB103" s="267"/>
      <c r="ACC103" s="267"/>
      <c r="ACD103" s="267"/>
      <c r="ACE103" s="267"/>
      <c r="ACF103" s="267"/>
      <c r="ACG103" s="267"/>
      <c r="ACH103" s="267"/>
      <c r="ACI103" s="267"/>
      <c r="ACJ103" s="267"/>
      <c r="ACK103" s="267"/>
      <c r="ACL103" s="267"/>
      <c r="ACM103" s="267"/>
      <c r="ACN103" s="267"/>
      <c r="ACO103" s="267"/>
      <c r="ACP103" s="267"/>
      <c r="ACQ103" s="267"/>
      <c r="ACR103" s="267"/>
      <c r="ACS103" s="267"/>
      <c r="ACT103" s="267"/>
      <c r="ACU103" s="267"/>
      <c r="ACV103" s="267"/>
      <c r="ACW103" s="267"/>
      <c r="ACX103" s="267"/>
      <c r="ACY103" s="267"/>
      <c r="ACZ103" s="267"/>
      <c r="ADA103" s="267"/>
      <c r="ADB103" s="267"/>
      <c r="ADC103" s="267"/>
      <c r="ADD103" s="267"/>
      <c r="ADE103" s="267"/>
      <c r="ADF103" s="267"/>
      <c r="ADG103" s="267"/>
      <c r="ADH103" s="267"/>
      <c r="ADI103" s="267"/>
      <c r="ADJ103" s="267"/>
      <c r="ADK103" s="267"/>
      <c r="ADL103" s="267"/>
      <c r="ADM103" s="267"/>
      <c r="ADN103" s="267"/>
      <c r="ADO103" s="267"/>
      <c r="ADP103" s="267"/>
      <c r="ADQ103" s="267"/>
      <c r="ADR103" s="267"/>
      <c r="ADS103" s="267"/>
      <c r="ADT103" s="267"/>
      <c r="ADU103" s="267"/>
      <c r="ADV103" s="267"/>
      <c r="ADW103" s="267"/>
      <c r="ADX103" s="267"/>
      <c r="ADY103" s="267"/>
      <c r="ADZ103" s="267"/>
      <c r="AEA103" s="267"/>
      <c r="AEB103" s="267"/>
      <c r="AEC103" s="267"/>
      <c r="AED103" s="267"/>
      <c r="AEE103" s="267"/>
      <c r="AEF103" s="267"/>
      <c r="AEG103" s="267"/>
      <c r="AEH103" s="267"/>
      <c r="AEI103" s="267"/>
      <c r="AEJ103" s="267"/>
      <c r="AEK103" s="267"/>
      <c r="AEL103" s="267"/>
      <c r="AEM103" s="267"/>
      <c r="AEN103" s="267"/>
      <c r="AEO103" s="267"/>
      <c r="AEP103" s="267"/>
      <c r="AEQ103" s="267"/>
      <c r="AER103" s="267"/>
      <c r="AES103" s="267"/>
      <c r="AET103" s="267"/>
      <c r="AEU103" s="267"/>
      <c r="AEV103" s="267"/>
      <c r="AEW103" s="267"/>
      <c r="AEX103" s="267"/>
      <c r="AEY103" s="267"/>
      <c r="AEZ103" s="267"/>
      <c r="AFA103" s="267"/>
      <c r="AFB103" s="267"/>
      <c r="AFC103" s="267"/>
      <c r="AFD103" s="267"/>
      <c r="AFE103" s="267"/>
      <c r="AFF103" s="267"/>
      <c r="AFG103" s="267"/>
      <c r="AFH103" s="267"/>
      <c r="AFI103" s="267"/>
      <c r="AFJ103" s="267"/>
      <c r="AFK103" s="267"/>
      <c r="AFL103" s="267"/>
      <c r="AFM103" s="267"/>
      <c r="AFN103" s="267"/>
      <c r="AFO103" s="267"/>
      <c r="AFP103" s="267"/>
      <c r="AFQ103" s="267"/>
      <c r="AFR103" s="267"/>
      <c r="AFS103" s="267"/>
      <c r="AFT103" s="267"/>
      <c r="AFU103" s="267"/>
      <c r="AFV103" s="267"/>
      <c r="AFW103" s="267"/>
      <c r="AFX103" s="267"/>
      <c r="AFY103" s="267"/>
      <c r="AFZ103" s="267"/>
      <c r="AGA103" s="267"/>
      <c r="AGB103" s="267"/>
      <c r="AGC103" s="267"/>
      <c r="AGD103" s="267"/>
      <c r="AGE103" s="267"/>
      <c r="AGF103" s="267"/>
      <c r="AGG103" s="267"/>
      <c r="AGH103" s="267"/>
      <c r="AGI103" s="267"/>
      <c r="AGJ103" s="267"/>
      <c r="AGK103" s="267"/>
      <c r="AGL103" s="267"/>
      <c r="AGM103" s="267"/>
      <c r="AGN103" s="267"/>
      <c r="AGO103" s="267"/>
      <c r="AGP103" s="267"/>
      <c r="AGQ103" s="267"/>
      <c r="AGR103" s="267"/>
      <c r="AGS103" s="267"/>
      <c r="AGT103" s="267"/>
      <c r="AGU103" s="267"/>
      <c r="AGV103" s="267"/>
      <c r="AGW103" s="267"/>
      <c r="AGX103" s="267"/>
      <c r="AGY103" s="267"/>
      <c r="AGZ103" s="267"/>
      <c r="AHA103" s="267"/>
      <c r="AHB103" s="267"/>
      <c r="AHC103" s="267"/>
      <c r="AHD103" s="267"/>
      <c r="AHE103" s="267"/>
      <c r="AHF103" s="267"/>
      <c r="AHG103" s="267"/>
      <c r="AHH103" s="267"/>
      <c r="AHI103" s="267"/>
      <c r="AHJ103" s="267"/>
      <c r="AHK103" s="267"/>
      <c r="AHL103" s="267"/>
      <c r="AHM103" s="267"/>
      <c r="AHN103" s="267"/>
      <c r="AHO103" s="267"/>
      <c r="AHP103" s="267"/>
      <c r="AHQ103" s="267"/>
      <c r="AHR103" s="267"/>
      <c r="AHS103" s="267"/>
      <c r="AHT103" s="267"/>
      <c r="AHU103" s="267"/>
      <c r="AHV103" s="267"/>
      <c r="AHW103" s="267"/>
      <c r="AHX103" s="267"/>
      <c r="AHY103" s="267"/>
      <c r="AHZ103" s="267"/>
      <c r="AIA103" s="267"/>
      <c r="AIB103" s="267"/>
      <c r="AIC103" s="267"/>
      <c r="AID103" s="267"/>
      <c r="AIE103" s="267"/>
      <c r="AIF103" s="267"/>
      <c r="AIG103" s="267"/>
      <c r="AIH103" s="267"/>
      <c r="AII103" s="267"/>
      <c r="AIJ103" s="267"/>
      <c r="AIK103" s="267"/>
      <c r="AIL103" s="267"/>
      <c r="AIM103" s="267"/>
      <c r="AIN103" s="267"/>
      <c r="AIO103" s="267"/>
      <c r="AIP103" s="267"/>
      <c r="AIQ103" s="267"/>
      <c r="AIR103" s="267"/>
      <c r="AIS103" s="267"/>
      <c r="AIT103" s="267"/>
      <c r="AIU103" s="267"/>
      <c r="AIV103" s="267"/>
      <c r="AIW103" s="267"/>
      <c r="AIX103" s="267"/>
      <c r="AIY103" s="267"/>
      <c r="AIZ103" s="267"/>
      <c r="AJA103" s="267"/>
      <c r="AJB103" s="267"/>
      <c r="AJC103" s="267"/>
      <c r="AJD103" s="267"/>
      <c r="AJE103" s="267"/>
      <c r="AJF103" s="267"/>
      <c r="AJG103" s="267"/>
      <c r="AJH103" s="267"/>
      <c r="AJI103" s="267"/>
      <c r="AJJ103" s="267"/>
      <c r="AJK103" s="267"/>
      <c r="AJL103" s="267"/>
      <c r="AJM103" s="267"/>
      <c r="AJN103" s="267"/>
      <c r="AJO103" s="267"/>
      <c r="AJP103" s="267"/>
      <c r="AJQ103" s="267"/>
      <c r="AJR103" s="267"/>
      <c r="AJS103" s="267"/>
      <c r="AJT103" s="267"/>
      <c r="AJU103" s="267"/>
      <c r="AJV103" s="267"/>
      <c r="AJW103" s="267"/>
      <c r="AJX103" s="267"/>
      <c r="AJY103" s="267"/>
      <c r="AJZ103" s="267"/>
      <c r="AKA103" s="267"/>
      <c r="AKB103" s="267"/>
      <c r="AKC103" s="267"/>
      <c r="AKD103" s="267"/>
      <c r="AKE103" s="267"/>
      <c r="AKF103" s="267"/>
      <c r="AKG103" s="267"/>
      <c r="AKH103" s="267"/>
      <c r="AKI103" s="267"/>
      <c r="AKJ103" s="267"/>
      <c r="AKK103" s="267"/>
      <c r="AKL103" s="267"/>
      <c r="AKM103" s="267"/>
      <c r="AKN103" s="267"/>
      <c r="AKO103" s="267"/>
      <c r="AKP103" s="267"/>
      <c r="AKQ103" s="267"/>
      <c r="AKR103" s="267"/>
      <c r="AKS103" s="267"/>
      <c r="AKT103" s="267"/>
      <c r="AKU103" s="267"/>
      <c r="AKV103" s="267"/>
      <c r="AKW103" s="267"/>
      <c r="AKX103" s="267"/>
      <c r="AKY103" s="267"/>
      <c r="AKZ103" s="267"/>
      <c r="ALA103" s="267"/>
      <c r="ALB103" s="267"/>
      <c r="ALC103" s="267"/>
      <c r="ALD103" s="267"/>
      <c r="ALE103" s="267"/>
      <c r="ALF103" s="267"/>
      <c r="ALG103" s="267"/>
      <c r="ALH103" s="267"/>
      <c r="ALI103" s="267"/>
      <c r="ALJ103" s="267"/>
      <c r="ALK103" s="267"/>
      <c r="ALL103" s="267"/>
      <c r="ALM103" s="267"/>
      <c r="ALN103" s="267"/>
      <c r="ALO103" s="267"/>
      <c r="ALP103" s="267"/>
      <c r="ALQ103" s="267"/>
      <c r="ALR103" s="267"/>
      <c r="ALS103" s="267"/>
      <c r="ALT103" s="267"/>
      <c r="ALU103" s="267"/>
      <c r="ALV103" s="267"/>
      <c r="ALW103" s="267"/>
      <c r="ALX103" s="267"/>
      <c r="ALY103" s="267"/>
      <c r="ALZ103" s="267"/>
      <c r="AMA103" s="267"/>
      <c r="AMB103" s="267"/>
      <c r="AMC103" s="267"/>
      <c r="AMD103" s="267"/>
      <c r="AME103" s="267"/>
      <c r="AMF103" s="267"/>
      <c r="AMG103" s="267"/>
      <c r="AMH103" s="267"/>
      <c r="AMI103" s="267"/>
      <c r="AMJ103" s="267"/>
      <c r="AMK103" s="267"/>
      <c r="AML103" s="267"/>
      <c r="AMM103" s="267"/>
      <c r="AMN103" s="267"/>
      <c r="AMO103" s="267"/>
      <c r="AMP103" s="267"/>
      <c r="AMQ103" s="267"/>
      <c r="AMR103" s="267"/>
      <c r="AMS103" s="267"/>
      <c r="AMT103" s="267"/>
      <c r="AMU103" s="267"/>
      <c r="AMV103" s="267"/>
      <c r="AMW103" s="267"/>
      <c r="AMX103" s="267"/>
      <c r="AMY103" s="267"/>
      <c r="AMZ103" s="267"/>
      <c r="ANA103" s="267"/>
      <c r="ANB103" s="267"/>
      <c r="ANC103" s="267"/>
      <c r="AND103" s="267"/>
      <c r="ANE103" s="267"/>
      <c r="ANF103" s="267"/>
      <c r="ANG103" s="267"/>
      <c r="ANH103" s="267"/>
      <c r="ANI103" s="267"/>
      <c r="ANJ103" s="267"/>
      <c r="ANK103" s="267"/>
      <c r="ANL103" s="267"/>
      <c r="ANM103" s="267"/>
      <c r="ANN103" s="267"/>
      <c r="ANO103" s="267"/>
      <c r="ANP103" s="267"/>
      <c r="ANQ103" s="267"/>
      <c r="ANR103" s="267"/>
      <c r="ANS103" s="267"/>
      <c r="ANT103" s="267"/>
      <c r="ANU103" s="267"/>
      <c r="ANV103" s="267"/>
      <c r="ANW103" s="267"/>
      <c r="ANX103" s="267"/>
      <c r="ANY103" s="267"/>
      <c r="ANZ103" s="267"/>
      <c r="AOA103" s="267"/>
      <c r="AOB103" s="267"/>
      <c r="AOC103" s="267"/>
      <c r="AOD103" s="267"/>
      <c r="AOE103" s="267"/>
      <c r="AOF103" s="267"/>
      <c r="AOG103" s="267"/>
      <c r="AOH103" s="267"/>
      <c r="AOI103" s="267"/>
      <c r="AOJ103" s="267"/>
      <c r="AOK103" s="267"/>
      <c r="AOL103" s="267"/>
      <c r="AOM103" s="267"/>
      <c r="AON103" s="267"/>
      <c r="AOO103" s="267"/>
      <c r="AOP103" s="267"/>
      <c r="AOQ103" s="267"/>
      <c r="AOR103" s="267"/>
      <c r="AOS103" s="267"/>
      <c r="AOT103" s="267"/>
      <c r="AOU103" s="267"/>
      <c r="AOV103" s="267"/>
      <c r="AOW103" s="267"/>
      <c r="AOX103" s="267"/>
      <c r="AOY103" s="267"/>
      <c r="AOZ103" s="267"/>
      <c r="APA103" s="267"/>
      <c r="APB103" s="267"/>
      <c r="APC103" s="267"/>
      <c r="APD103" s="267"/>
      <c r="APE103" s="267"/>
      <c r="APF103" s="267"/>
      <c r="APG103" s="267"/>
      <c r="APH103" s="267"/>
      <c r="API103" s="267"/>
      <c r="APJ103" s="267"/>
      <c r="APK103" s="267"/>
      <c r="APL103" s="267"/>
      <c r="APM103" s="267"/>
      <c r="APN103" s="267"/>
      <c r="APO103" s="267"/>
      <c r="APP103" s="267"/>
      <c r="APQ103" s="267"/>
      <c r="APR103" s="267"/>
      <c r="APS103" s="267"/>
      <c r="APT103" s="267"/>
      <c r="APU103" s="267"/>
      <c r="APV103" s="267"/>
      <c r="APW103" s="267"/>
      <c r="APX103" s="267"/>
      <c r="APY103" s="267"/>
      <c r="APZ103" s="267"/>
      <c r="AQA103" s="267"/>
      <c r="AQB103" s="267"/>
      <c r="AQC103" s="267"/>
      <c r="AQD103" s="267"/>
      <c r="AQE103" s="267"/>
      <c r="AQF103" s="267"/>
      <c r="AQG103" s="267"/>
      <c r="AQH103" s="267"/>
      <c r="AQI103" s="267"/>
      <c r="AQJ103" s="267"/>
      <c r="AQK103" s="267"/>
      <c r="AQL103" s="267"/>
      <c r="AQM103" s="267"/>
      <c r="AQN103" s="267"/>
      <c r="AQO103" s="267"/>
      <c r="AQP103" s="267"/>
      <c r="AQQ103" s="267"/>
      <c r="AQR103" s="267"/>
      <c r="AQS103" s="267"/>
      <c r="AQT103" s="267"/>
      <c r="AQU103" s="267"/>
      <c r="AQV103" s="267"/>
      <c r="AQW103" s="267"/>
      <c r="AQX103" s="267"/>
      <c r="AQY103" s="267"/>
      <c r="AQZ103" s="267"/>
      <c r="ARA103" s="267"/>
      <c r="ARB103" s="267"/>
      <c r="ARC103" s="267"/>
      <c r="ARD103" s="267"/>
      <c r="ARE103" s="267"/>
      <c r="ARF103" s="267"/>
      <c r="ARG103" s="267"/>
      <c r="ARH103" s="267"/>
      <c r="ARI103" s="267"/>
      <c r="ARJ103" s="267"/>
      <c r="ARK103" s="267"/>
      <c r="ARL103" s="267"/>
      <c r="ARM103" s="267"/>
      <c r="ARN103" s="267"/>
      <c r="ARO103" s="267"/>
      <c r="ARP103" s="267"/>
      <c r="ARQ103" s="267"/>
      <c r="ARR103" s="267"/>
      <c r="ARS103" s="267"/>
      <c r="ART103" s="267"/>
      <c r="ARU103" s="267"/>
      <c r="ARV103" s="267"/>
      <c r="ARW103" s="267"/>
      <c r="ARX103" s="267"/>
      <c r="ARY103" s="267"/>
      <c r="ARZ103" s="267"/>
      <c r="ASA103" s="267"/>
      <c r="ASB103" s="267"/>
      <c r="ASC103" s="267"/>
      <c r="ASD103" s="267"/>
      <c r="ASE103" s="267"/>
      <c r="ASF103" s="267"/>
      <c r="ASG103" s="267"/>
      <c r="ASH103" s="267"/>
      <c r="ASI103" s="267"/>
      <c r="ASJ103" s="267"/>
      <c r="ASK103" s="267"/>
      <c r="ASL103" s="267"/>
      <c r="ASM103" s="267"/>
      <c r="ASN103" s="267"/>
      <c r="ASO103" s="267"/>
      <c r="ASP103" s="267"/>
      <c r="ASQ103" s="267"/>
      <c r="ASR103" s="267"/>
      <c r="ASS103" s="267"/>
      <c r="AST103" s="267"/>
      <c r="ASU103" s="267"/>
      <c r="ASV103" s="267"/>
      <c r="ASW103" s="267"/>
      <c r="ASX103" s="267"/>
      <c r="ASY103" s="267"/>
      <c r="ASZ103" s="267"/>
      <c r="ATA103" s="267"/>
      <c r="ATB103" s="267"/>
      <c r="ATC103" s="267"/>
      <c r="ATD103" s="267"/>
      <c r="ATE103" s="267"/>
      <c r="ATF103" s="267"/>
      <c r="ATG103" s="267"/>
      <c r="ATH103" s="267"/>
      <c r="ATI103" s="267"/>
      <c r="ATJ103" s="267"/>
      <c r="ATK103" s="267"/>
      <c r="ATL103" s="267"/>
      <c r="ATM103" s="267"/>
      <c r="ATN103" s="267"/>
      <c r="ATO103" s="267"/>
      <c r="ATP103" s="267"/>
      <c r="ATQ103" s="267"/>
      <c r="ATR103" s="267"/>
      <c r="ATS103" s="267"/>
      <c r="ATT103" s="267"/>
      <c r="ATU103" s="267"/>
      <c r="ATV103" s="267"/>
      <c r="ATW103" s="267"/>
      <c r="ATX103" s="267"/>
      <c r="ATY103" s="267"/>
      <c r="ATZ103" s="267"/>
      <c r="AUA103" s="267"/>
      <c r="AUB103" s="267"/>
      <c r="AUC103" s="267"/>
      <c r="AUD103" s="267"/>
      <c r="AUE103" s="267"/>
      <c r="AUF103" s="267"/>
      <c r="AUG103" s="267"/>
      <c r="AUH103" s="267"/>
      <c r="AUI103" s="267"/>
      <c r="AUJ103" s="267"/>
      <c r="AUK103" s="267"/>
      <c r="AUL103" s="267"/>
      <c r="AUM103" s="267"/>
      <c r="AUN103" s="267"/>
      <c r="AUO103" s="267"/>
      <c r="AUP103" s="267"/>
      <c r="AUQ103" s="267"/>
      <c r="AUR103" s="267"/>
      <c r="AUS103" s="267"/>
      <c r="AUT103" s="267"/>
      <c r="AUU103" s="267"/>
      <c r="AUV103" s="267"/>
      <c r="AUW103" s="267"/>
      <c r="AUX103" s="267"/>
      <c r="AUY103" s="267"/>
      <c r="AUZ103" s="267"/>
      <c r="AVA103" s="267"/>
      <c r="AVB103" s="267"/>
      <c r="AVC103" s="267"/>
      <c r="AVD103" s="267"/>
      <c r="AVE103" s="267"/>
      <c r="AVF103" s="267"/>
      <c r="AVG103" s="267"/>
      <c r="AVH103" s="267"/>
      <c r="AVI103" s="267"/>
      <c r="AVJ103" s="267"/>
      <c r="AVK103" s="267"/>
      <c r="AVL103" s="267"/>
      <c r="AVM103" s="267"/>
      <c r="AVN103" s="267"/>
      <c r="AVO103" s="267"/>
      <c r="AVP103" s="267"/>
      <c r="AVQ103" s="267"/>
      <c r="AVR103" s="267"/>
      <c r="AVS103" s="267"/>
      <c r="AVT103" s="267"/>
      <c r="AVU103" s="267"/>
      <c r="AVV103" s="267"/>
      <c r="AVW103" s="267"/>
      <c r="AVX103" s="267"/>
      <c r="AVY103" s="267"/>
      <c r="AVZ103" s="267"/>
      <c r="AWA103" s="267"/>
      <c r="AWB103" s="267"/>
      <c r="AWC103" s="267"/>
      <c r="AWD103" s="267"/>
      <c r="AWE103" s="267"/>
      <c r="AWF103" s="267"/>
      <c r="AWG103" s="267"/>
      <c r="AWH103" s="267"/>
      <c r="AWI103" s="267"/>
      <c r="AWJ103" s="267"/>
      <c r="AWK103" s="267"/>
      <c r="AWL103" s="267"/>
      <c r="AWM103" s="267"/>
      <c r="AWN103" s="267"/>
      <c r="AWO103" s="267"/>
      <c r="AWP103" s="267"/>
      <c r="AWQ103" s="267"/>
      <c r="AWR103" s="267"/>
      <c r="AWS103" s="267"/>
      <c r="AWT103" s="267"/>
      <c r="AWU103" s="267"/>
      <c r="AWV103" s="267"/>
      <c r="AWW103" s="267"/>
      <c r="AWX103" s="267"/>
      <c r="AWY103" s="267"/>
      <c r="AWZ103" s="267"/>
      <c r="AXA103" s="267"/>
      <c r="AXB103" s="267"/>
      <c r="AXC103" s="267"/>
      <c r="AXD103" s="267"/>
      <c r="AXE103" s="267"/>
      <c r="AXF103" s="267"/>
      <c r="AXG103" s="267"/>
      <c r="AXH103" s="267"/>
      <c r="AXI103" s="267"/>
      <c r="AXJ103" s="267"/>
      <c r="AXK103" s="267"/>
      <c r="AXL103" s="267"/>
      <c r="AXM103" s="267"/>
      <c r="AXN103" s="267"/>
      <c r="AXO103" s="267"/>
      <c r="AXP103" s="267"/>
      <c r="AXQ103" s="267"/>
      <c r="AXR103" s="267"/>
      <c r="AXS103" s="267"/>
      <c r="AXT103" s="267"/>
      <c r="AXU103" s="267"/>
      <c r="AXV103" s="267"/>
      <c r="AXW103" s="267"/>
      <c r="AXX103" s="267"/>
      <c r="AXY103" s="267"/>
      <c r="AXZ103" s="267"/>
      <c r="AYA103" s="267"/>
      <c r="AYB103" s="267"/>
      <c r="AYC103" s="267"/>
      <c r="AYD103" s="267"/>
      <c r="AYE103" s="267"/>
      <c r="AYF103" s="267"/>
      <c r="AYG103" s="267"/>
      <c r="AYH103" s="267"/>
      <c r="AYI103" s="267"/>
      <c r="AYJ103" s="267"/>
      <c r="AYK103" s="267"/>
      <c r="AYL103" s="267"/>
      <c r="AYM103" s="267"/>
      <c r="AYN103" s="267"/>
      <c r="AYO103" s="267"/>
      <c r="AYP103" s="267"/>
      <c r="AYQ103" s="267"/>
      <c r="AYR103" s="267"/>
      <c r="AYS103" s="267"/>
      <c r="AYT103" s="267"/>
      <c r="AYU103" s="267"/>
      <c r="AYV103" s="267"/>
      <c r="AYW103" s="267"/>
      <c r="AYX103" s="267"/>
      <c r="AYY103" s="267"/>
      <c r="AYZ103" s="267"/>
      <c r="AZA103" s="267"/>
      <c r="AZB103" s="267"/>
      <c r="AZC103" s="267"/>
      <c r="AZD103" s="267"/>
      <c r="AZE103" s="267"/>
      <c r="AZF103" s="267"/>
      <c r="AZG103" s="267"/>
      <c r="AZH103" s="267"/>
      <c r="AZI103" s="267"/>
      <c r="AZJ103" s="267"/>
      <c r="AZK103" s="267"/>
      <c r="AZL103" s="267"/>
      <c r="AZM103" s="267"/>
      <c r="AZN103" s="267"/>
      <c r="AZO103" s="267"/>
      <c r="AZP103" s="267"/>
      <c r="AZQ103" s="267"/>
      <c r="AZR103" s="267"/>
      <c r="AZS103" s="267"/>
      <c r="AZT103" s="267"/>
      <c r="AZU103" s="267"/>
      <c r="AZV103" s="267"/>
      <c r="AZW103" s="267"/>
      <c r="AZX103" s="267"/>
      <c r="AZY103" s="267"/>
      <c r="AZZ103" s="267"/>
      <c r="BAA103" s="267"/>
      <c r="BAB103" s="267"/>
      <c r="BAC103" s="267"/>
      <c r="BAD103" s="267"/>
      <c r="BAE103" s="267"/>
      <c r="BAF103" s="267"/>
      <c r="BAG103" s="267"/>
      <c r="BAH103" s="267"/>
      <c r="BAI103" s="267"/>
      <c r="BAJ103" s="267"/>
      <c r="BAK103" s="267"/>
      <c r="BAL103" s="267"/>
      <c r="BAM103" s="267"/>
      <c r="BAN103" s="267"/>
      <c r="BAO103" s="267"/>
      <c r="BAP103" s="267"/>
      <c r="BAQ103" s="267"/>
      <c r="BAR103" s="267"/>
      <c r="BAS103" s="267"/>
      <c r="BAT103" s="267"/>
      <c r="BAU103" s="267"/>
      <c r="BAV103" s="267"/>
      <c r="BAW103" s="267"/>
      <c r="BAX103" s="267"/>
      <c r="BAY103" s="267"/>
      <c r="BAZ103" s="267"/>
      <c r="BBA103" s="267"/>
      <c r="BBB103" s="267"/>
      <c r="BBC103" s="267"/>
      <c r="BBD103" s="267"/>
      <c r="BBE103" s="267"/>
      <c r="BBF103" s="267"/>
      <c r="BBG103" s="267"/>
      <c r="BBH103" s="267"/>
      <c r="BBI103" s="267"/>
      <c r="BBJ103" s="267"/>
      <c r="BBK103" s="267"/>
      <c r="BBL103" s="267"/>
      <c r="BBM103" s="267"/>
      <c r="BBN103" s="267"/>
      <c r="BBO103" s="267"/>
      <c r="BBP103" s="267"/>
      <c r="BBQ103" s="267"/>
      <c r="BBR103" s="267"/>
      <c r="BBS103" s="267"/>
      <c r="BBT103" s="267"/>
      <c r="BBU103" s="267"/>
      <c r="BBV103" s="267"/>
      <c r="BBW103" s="267"/>
      <c r="BBX103" s="267"/>
      <c r="BBY103" s="267"/>
      <c r="BBZ103" s="267"/>
      <c r="BCA103" s="267"/>
      <c r="BCB103" s="267"/>
      <c r="BCC103" s="267"/>
      <c r="BCD103" s="267"/>
      <c r="BCE103" s="267"/>
      <c r="BCF103" s="267"/>
      <c r="BCG103" s="267"/>
      <c r="BCH103" s="267"/>
      <c r="BCI103" s="267"/>
      <c r="BCJ103" s="267"/>
      <c r="BCK103" s="267"/>
      <c r="BCL103" s="267"/>
      <c r="BCM103" s="267"/>
      <c r="BCN103" s="267"/>
      <c r="BCO103" s="267"/>
      <c r="BCP103" s="267"/>
      <c r="BCQ103" s="267"/>
      <c r="BCR103" s="267"/>
      <c r="BCS103" s="267"/>
      <c r="BCT103" s="267"/>
      <c r="BCU103" s="267"/>
      <c r="BCV103" s="267"/>
      <c r="BCW103" s="267"/>
      <c r="BCX103" s="267"/>
      <c r="BCY103" s="267"/>
      <c r="BCZ103" s="267"/>
      <c r="BDA103" s="267"/>
      <c r="BDB103" s="267"/>
      <c r="BDC103" s="267"/>
      <c r="BDD103" s="267"/>
      <c r="BDE103" s="267"/>
      <c r="BDF103" s="267"/>
      <c r="BDG103" s="267"/>
      <c r="BDH103" s="267"/>
      <c r="BDI103" s="267"/>
      <c r="BDJ103" s="267"/>
      <c r="BDK103" s="267"/>
      <c r="BDL103" s="267"/>
      <c r="BDM103" s="267"/>
      <c r="BDN103" s="267"/>
      <c r="BDO103" s="267"/>
      <c r="BDP103" s="267"/>
      <c r="BDQ103" s="267"/>
      <c r="BDR103" s="267"/>
      <c r="BDS103" s="267"/>
      <c r="BDT103" s="267"/>
      <c r="BDU103" s="267"/>
      <c r="BDV103" s="267"/>
      <c r="BDW103" s="267"/>
      <c r="BDX103" s="267"/>
      <c r="BDY103" s="267"/>
      <c r="BDZ103" s="267"/>
      <c r="BEA103" s="267"/>
      <c r="BEB103" s="267"/>
      <c r="BEC103" s="267"/>
      <c r="BED103" s="267"/>
      <c r="BEE103" s="267"/>
      <c r="BEF103" s="267"/>
      <c r="BEG103" s="267"/>
      <c r="BEH103" s="267"/>
      <c r="BEI103" s="267"/>
      <c r="BEJ103" s="267"/>
      <c r="BEK103" s="267"/>
      <c r="BEL103" s="267"/>
      <c r="BEM103" s="267"/>
      <c r="BEN103" s="267"/>
      <c r="BEO103" s="267"/>
      <c r="BEP103" s="267"/>
      <c r="BEQ103" s="267"/>
      <c r="BER103" s="267"/>
      <c r="BES103" s="267"/>
      <c r="BET103" s="267"/>
      <c r="BEU103" s="267"/>
      <c r="BEV103" s="267"/>
      <c r="BEW103" s="267"/>
      <c r="BEX103" s="267"/>
      <c r="BEY103" s="267"/>
      <c r="BEZ103" s="267"/>
      <c r="BFA103" s="267"/>
      <c r="BFB103" s="267"/>
      <c r="BFC103" s="267"/>
      <c r="BFD103" s="267"/>
      <c r="BFE103" s="267"/>
      <c r="BFF103" s="267"/>
      <c r="BFG103" s="267"/>
      <c r="BFH103" s="267"/>
      <c r="BFI103" s="267"/>
      <c r="BFJ103" s="267"/>
      <c r="BFK103" s="267"/>
      <c r="BFL103" s="267"/>
      <c r="BFM103" s="267"/>
      <c r="BFN103" s="267"/>
      <c r="BFO103" s="267"/>
      <c r="BFP103" s="267"/>
      <c r="BFQ103" s="267"/>
      <c r="BFR103" s="267"/>
      <c r="BFS103" s="267"/>
      <c r="BFT103" s="267"/>
      <c r="BFU103" s="267"/>
      <c r="BFV103" s="267"/>
      <c r="BFW103" s="267"/>
      <c r="BFX103" s="267"/>
      <c r="BFY103" s="267"/>
      <c r="BFZ103" s="267"/>
      <c r="BGA103" s="267"/>
      <c r="BGB103" s="267"/>
      <c r="BGC103" s="267"/>
      <c r="BGD103" s="267"/>
      <c r="BGE103" s="267"/>
      <c r="BGF103" s="267"/>
      <c r="BGG103" s="267"/>
      <c r="BGH103" s="267"/>
      <c r="BGI103" s="267"/>
      <c r="BGJ103" s="267"/>
      <c r="BGK103" s="267"/>
      <c r="BGL103" s="267"/>
      <c r="BGM103" s="267"/>
      <c r="BGN103" s="267"/>
      <c r="BGO103" s="267"/>
      <c r="BGP103" s="267"/>
      <c r="BGQ103" s="267"/>
      <c r="BGR103" s="267"/>
      <c r="BGS103" s="267"/>
      <c r="BGT103" s="267"/>
      <c r="BGU103" s="267"/>
      <c r="BGV103" s="267"/>
      <c r="BGW103" s="267"/>
      <c r="BGX103" s="267"/>
      <c r="BGY103" s="267"/>
      <c r="BGZ103" s="267"/>
      <c r="BHA103" s="267"/>
      <c r="BHB103" s="267"/>
      <c r="BHC103" s="267"/>
      <c r="BHD103" s="267"/>
      <c r="BHE103" s="267"/>
      <c r="BHF103" s="267"/>
      <c r="BHG103" s="267"/>
      <c r="BHH103" s="267"/>
      <c r="BHI103" s="267"/>
      <c r="BHJ103" s="267"/>
      <c r="BHK103" s="267"/>
      <c r="BHL103" s="267"/>
      <c r="BHM103" s="267"/>
      <c r="BHN103" s="267"/>
      <c r="BHO103" s="267"/>
      <c r="BHP103" s="267"/>
      <c r="BHQ103" s="267"/>
      <c r="BHR103" s="267"/>
      <c r="BHS103" s="267"/>
      <c r="BHT103" s="267"/>
      <c r="BHU103" s="267"/>
      <c r="BHV103" s="267"/>
      <c r="BHW103" s="267"/>
      <c r="BHX103" s="267"/>
      <c r="BHY103" s="267"/>
      <c r="BHZ103" s="267"/>
      <c r="BIA103" s="267"/>
      <c r="BIB103" s="267"/>
      <c r="BIC103" s="267"/>
      <c r="BID103" s="267"/>
      <c r="BIE103" s="267"/>
      <c r="BIF103" s="267"/>
      <c r="BIG103" s="267"/>
      <c r="BIH103" s="267"/>
      <c r="BII103" s="267"/>
      <c r="BIJ103" s="267"/>
      <c r="BIK103" s="267"/>
      <c r="BIL103" s="267"/>
      <c r="BIM103" s="267"/>
      <c r="BIN103" s="267"/>
      <c r="BIO103" s="267"/>
      <c r="BIP103" s="267"/>
      <c r="BIQ103" s="267"/>
      <c r="BIR103" s="267"/>
      <c r="BIS103" s="267"/>
      <c r="BIT103" s="267"/>
      <c r="BIU103" s="267"/>
      <c r="BIV103" s="267"/>
      <c r="BIW103" s="267"/>
      <c r="BIX103" s="267"/>
      <c r="BIY103" s="267"/>
      <c r="BIZ103" s="267"/>
      <c r="BJA103" s="267"/>
      <c r="BJB103" s="267"/>
      <c r="BJC103" s="267"/>
      <c r="BJD103" s="267"/>
      <c r="BJE103" s="267"/>
      <c r="BJF103" s="267"/>
      <c r="BJG103" s="267"/>
      <c r="BJH103" s="267"/>
      <c r="BJI103" s="267"/>
      <c r="BJJ103" s="267"/>
      <c r="BJK103" s="267"/>
      <c r="BJL103" s="267"/>
      <c r="BJM103" s="267"/>
      <c r="BJN103" s="267"/>
      <c r="BJO103" s="267"/>
      <c r="BJP103" s="267"/>
      <c r="BJQ103" s="267"/>
      <c r="BJR103" s="267"/>
      <c r="BJS103" s="267"/>
      <c r="BJT103" s="267"/>
      <c r="BJU103" s="267"/>
      <c r="BJV103" s="267"/>
      <c r="BJW103" s="267"/>
      <c r="BJX103" s="267"/>
      <c r="BJY103" s="267"/>
      <c r="BJZ103" s="267"/>
      <c r="BKA103" s="267"/>
      <c r="BKB103" s="267"/>
      <c r="BKC103" s="267"/>
      <c r="BKD103" s="267"/>
      <c r="BKE103" s="267"/>
      <c r="BKF103" s="267"/>
      <c r="BKG103" s="267"/>
      <c r="BKH103" s="267"/>
      <c r="BKI103" s="267"/>
      <c r="BKJ103" s="267"/>
      <c r="BKK103" s="267"/>
      <c r="BKL103" s="267"/>
      <c r="BKM103" s="267"/>
      <c r="BKN103" s="267"/>
      <c r="BKO103" s="267"/>
      <c r="BKP103" s="267"/>
      <c r="BKQ103" s="267"/>
      <c r="BKR103" s="267"/>
      <c r="BKS103" s="267"/>
      <c r="BKT103" s="267"/>
      <c r="BKU103" s="267"/>
      <c r="BKV103" s="267"/>
      <c r="BKW103" s="267"/>
      <c r="BKX103" s="267"/>
      <c r="BKY103" s="267"/>
      <c r="BKZ103" s="267"/>
      <c r="BLA103" s="267"/>
      <c r="BLB103" s="267"/>
      <c r="BLC103" s="267"/>
      <c r="BLD103" s="267"/>
      <c r="BLE103" s="267"/>
      <c r="BLF103" s="267"/>
      <c r="BLG103" s="267"/>
      <c r="BLH103" s="267"/>
      <c r="BLI103" s="267"/>
      <c r="BLJ103" s="267"/>
      <c r="BLK103" s="267"/>
      <c r="BLL103" s="267"/>
      <c r="BLM103" s="267"/>
      <c r="BLN103" s="267"/>
      <c r="BLO103" s="267"/>
      <c r="BLP103" s="267"/>
      <c r="BLQ103" s="267"/>
      <c r="BLR103" s="267"/>
      <c r="BLS103" s="267"/>
      <c r="BLT103" s="267"/>
      <c r="BLU103" s="267"/>
      <c r="BLV103" s="267"/>
      <c r="BLW103" s="267"/>
      <c r="BLX103" s="267"/>
      <c r="BLY103" s="267"/>
      <c r="BLZ103" s="267"/>
      <c r="BMA103" s="267"/>
      <c r="BMB103" s="267"/>
      <c r="BMC103" s="267"/>
      <c r="BMD103" s="267"/>
      <c r="BME103" s="267"/>
      <c r="BMF103" s="267"/>
      <c r="BMG103" s="267"/>
      <c r="BMH103" s="267"/>
      <c r="BMI103" s="267"/>
      <c r="BMJ103" s="267"/>
      <c r="BMK103" s="267"/>
      <c r="BML103" s="267"/>
      <c r="BMM103" s="267"/>
      <c r="BMN103" s="267"/>
      <c r="BMO103" s="267"/>
      <c r="BMP103" s="267"/>
      <c r="BMQ103" s="267"/>
      <c r="BMR103" s="267"/>
      <c r="BMS103" s="267"/>
      <c r="BMT103" s="267"/>
      <c r="BMU103" s="267"/>
      <c r="BMV103" s="267"/>
      <c r="BMW103" s="267"/>
      <c r="BMX103" s="267"/>
      <c r="BMY103" s="267"/>
      <c r="BMZ103" s="267"/>
      <c r="BNA103" s="267"/>
      <c r="BNB103" s="267"/>
      <c r="BNC103" s="267"/>
      <c r="BND103" s="267"/>
      <c r="BNE103" s="267"/>
      <c r="BNF103" s="267"/>
      <c r="BNG103" s="267"/>
      <c r="BNH103" s="267"/>
      <c r="BNI103" s="267"/>
      <c r="BNJ103" s="267"/>
      <c r="BNK103" s="267"/>
      <c r="BNL103" s="267"/>
      <c r="BNM103" s="267"/>
      <c r="BNN103" s="267"/>
      <c r="BNO103" s="267"/>
      <c r="BNP103" s="267"/>
      <c r="BNQ103" s="267"/>
      <c r="BNR103" s="267"/>
      <c r="BNS103" s="267"/>
      <c r="BNT103" s="267"/>
      <c r="BNU103" s="267"/>
      <c r="BNV103" s="267"/>
      <c r="BNW103" s="267"/>
      <c r="BNX103" s="267"/>
      <c r="BNY103" s="267"/>
      <c r="BNZ103" s="267"/>
      <c r="BOA103" s="267"/>
      <c r="BOB103" s="267"/>
      <c r="BOC103" s="267"/>
      <c r="BOD103" s="267"/>
      <c r="BOE103" s="267"/>
      <c r="BOF103" s="267"/>
      <c r="BOG103" s="267"/>
      <c r="BOH103" s="267"/>
      <c r="BOI103" s="267"/>
      <c r="BOJ103" s="267"/>
      <c r="BOK103" s="267"/>
      <c r="BOL103" s="267"/>
      <c r="BOM103" s="267"/>
      <c r="BON103" s="267"/>
      <c r="BOO103" s="267"/>
      <c r="BOP103" s="267"/>
      <c r="BOQ103" s="267"/>
      <c r="BOR103" s="267"/>
      <c r="BOS103" s="267"/>
      <c r="BOT103" s="267"/>
      <c r="BOU103" s="267"/>
      <c r="BOV103" s="267"/>
      <c r="BOW103" s="267"/>
      <c r="BOX103" s="267"/>
      <c r="BOY103" s="267"/>
      <c r="BOZ103" s="267"/>
      <c r="BPA103" s="267"/>
      <c r="BPB103" s="267"/>
      <c r="BPC103" s="267"/>
      <c r="BPD103" s="267"/>
      <c r="BPE103" s="267"/>
      <c r="BPF103" s="267"/>
      <c r="BPG103" s="267"/>
      <c r="BPH103" s="267"/>
      <c r="BPI103" s="267"/>
      <c r="BPJ103" s="267"/>
      <c r="BPK103" s="267"/>
      <c r="BPL103" s="267"/>
      <c r="BPM103" s="267"/>
      <c r="BPN103" s="267"/>
      <c r="BPO103" s="267"/>
      <c r="BPP103" s="267"/>
      <c r="BPQ103" s="267"/>
      <c r="BPR103" s="267"/>
      <c r="BPS103" s="267"/>
      <c r="BPT103" s="267"/>
      <c r="BPU103" s="267"/>
      <c r="BPV103" s="267"/>
      <c r="BPW103" s="267"/>
      <c r="BPX103" s="267"/>
      <c r="BPY103" s="267"/>
      <c r="BPZ103" s="267"/>
      <c r="BQA103" s="267"/>
      <c r="BQB103" s="267"/>
      <c r="BQC103" s="267"/>
      <c r="BQD103" s="267"/>
      <c r="BQE103" s="267"/>
      <c r="BQF103" s="267"/>
      <c r="BQG103" s="267"/>
      <c r="BQH103" s="267"/>
      <c r="BQI103" s="267"/>
      <c r="BQJ103" s="267"/>
      <c r="BQK103" s="267"/>
      <c r="BQL103" s="267"/>
      <c r="BQM103" s="267"/>
      <c r="BQN103" s="267"/>
      <c r="BQO103" s="267"/>
      <c r="BQP103" s="267"/>
      <c r="BQQ103" s="267"/>
      <c r="BQR103" s="267"/>
      <c r="BQS103" s="267"/>
      <c r="BQT103" s="267"/>
      <c r="BQU103" s="267"/>
      <c r="BQV103" s="267"/>
      <c r="BQW103" s="267"/>
      <c r="BQX103" s="267"/>
      <c r="BQY103" s="267"/>
      <c r="BQZ103" s="267"/>
      <c r="BRA103" s="267"/>
      <c r="BRB103" s="267"/>
      <c r="BRC103" s="267"/>
      <c r="BRD103" s="267"/>
      <c r="BRE103" s="267"/>
      <c r="BRF103" s="267"/>
      <c r="BRG103" s="267"/>
      <c r="BRH103" s="267"/>
      <c r="BRI103" s="267"/>
      <c r="BRJ103" s="267"/>
      <c r="BRK103" s="267"/>
      <c r="BRL103" s="267"/>
      <c r="BRM103" s="267"/>
      <c r="BRN103" s="267"/>
      <c r="BRO103" s="267"/>
      <c r="BRP103" s="267"/>
      <c r="BRQ103" s="267"/>
      <c r="BRR103" s="267"/>
      <c r="BRS103" s="267"/>
      <c r="BRT103" s="267"/>
      <c r="BRU103" s="267"/>
      <c r="BRV103" s="267"/>
      <c r="BRW103" s="267"/>
      <c r="BRX103" s="267"/>
      <c r="BRY103" s="267"/>
      <c r="BRZ103" s="267"/>
      <c r="BSA103" s="267"/>
      <c r="BSB103" s="267"/>
      <c r="BSC103" s="267"/>
      <c r="BSD103" s="267"/>
      <c r="BSE103" s="267"/>
      <c r="BSF103" s="267"/>
      <c r="BSG103" s="267"/>
      <c r="BSH103" s="267"/>
      <c r="BSI103" s="267"/>
      <c r="BSJ103" s="267"/>
      <c r="BSK103" s="267"/>
      <c r="BSL103" s="267"/>
      <c r="BSM103" s="267"/>
      <c r="BSN103" s="267"/>
      <c r="BSO103" s="267"/>
      <c r="BSP103" s="267"/>
      <c r="BSQ103" s="267"/>
      <c r="BSR103" s="267"/>
      <c r="BSS103" s="267"/>
      <c r="BST103" s="267"/>
      <c r="BSU103" s="267"/>
      <c r="BSV103" s="267"/>
      <c r="BSW103" s="267"/>
      <c r="BSX103" s="267"/>
      <c r="BSY103" s="267"/>
      <c r="BSZ103" s="267"/>
      <c r="BTA103" s="267"/>
      <c r="BTB103" s="267"/>
      <c r="BTC103" s="267"/>
      <c r="BTD103" s="267"/>
      <c r="BTE103" s="267"/>
      <c r="BTF103" s="267"/>
      <c r="BTG103" s="267"/>
      <c r="BTH103" s="267"/>
      <c r="BTI103" s="267"/>
      <c r="BTJ103" s="267"/>
      <c r="BTK103" s="267"/>
      <c r="BTL103" s="267"/>
      <c r="BTM103" s="267"/>
      <c r="BTN103" s="267"/>
      <c r="BTO103" s="267"/>
      <c r="BTP103" s="267"/>
      <c r="BTQ103" s="267"/>
      <c r="BTR103" s="267"/>
      <c r="BTS103" s="267"/>
      <c r="BTT103" s="267"/>
      <c r="BTU103" s="267"/>
      <c r="BTV103" s="267"/>
      <c r="BTW103" s="267"/>
      <c r="BTX103" s="267"/>
      <c r="BTY103" s="267"/>
      <c r="BTZ103" s="267"/>
      <c r="BUA103" s="267"/>
      <c r="BUB103" s="267"/>
      <c r="BUC103" s="267"/>
      <c r="BUD103" s="267"/>
      <c r="BUE103" s="267"/>
      <c r="BUF103" s="267"/>
      <c r="BUG103" s="267"/>
      <c r="BUH103" s="267"/>
      <c r="BUI103" s="267"/>
      <c r="BUJ103" s="267"/>
      <c r="BUK103" s="267"/>
      <c r="BUL103" s="267"/>
      <c r="BUM103" s="267"/>
      <c r="BUN103" s="267"/>
      <c r="BUO103" s="267"/>
      <c r="BUP103" s="267"/>
      <c r="BUQ103" s="267"/>
      <c r="BUR103" s="267"/>
      <c r="BUS103" s="267"/>
      <c r="BUT103" s="267"/>
      <c r="BUU103" s="267"/>
      <c r="BUV103" s="267"/>
      <c r="BUW103" s="267"/>
      <c r="BUX103" s="267"/>
      <c r="BUY103" s="267"/>
      <c r="BUZ103" s="267"/>
      <c r="BVA103" s="267"/>
      <c r="BVB103" s="267"/>
      <c r="BVC103" s="267"/>
      <c r="BVD103" s="267"/>
      <c r="BVE103" s="267"/>
      <c r="BVF103" s="267"/>
      <c r="BVG103" s="267"/>
      <c r="BVH103" s="267"/>
      <c r="BVI103" s="267"/>
      <c r="BVJ103" s="267"/>
      <c r="BVK103" s="267"/>
      <c r="BVL103" s="267"/>
      <c r="BVM103" s="267"/>
      <c r="BVN103" s="267"/>
      <c r="BVO103" s="267"/>
      <c r="BVP103" s="267"/>
      <c r="BVQ103" s="267"/>
      <c r="BVR103" s="267"/>
      <c r="BVS103" s="267"/>
      <c r="BVT103" s="267"/>
      <c r="BVU103" s="267"/>
      <c r="BVV103" s="267"/>
      <c r="BVW103" s="267"/>
      <c r="BVX103" s="267"/>
      <c r="BVY103" s="267"/>
      <c r="BVZ103" s="267"/>
      <c r="BWA103" s="267"/>
      <c r="BWB103" s="267"/>
      <c r="BWC103" s="267"/>
      <c r="BWD103" s="267"/>
      <c r="BWE103" s="267"/>
      <c r="BWF103" s="267"/>
      <c r="BWG103" s="267"/>
      <c r="BWH103" s="267"/>
      <c r="BWI103" s="267"/>
      <c r="BWJ103" s="267"/>
      <c r="BWK103" s="267"/>
      <c r="BWL103" s="267"/>
      <c r="BWM103" s="267"/>
      <c r="BWN103" s="267"/>
      <c r="BWO103" s="267"/>
      <c r="BWP103" s="267"/>
      <c r="BWQ103" s="267"/>
      <c r="BWR103" s="267"/>
      <c r="BWS103" s="267"/>
      <c r="BWT103" s="267"/>
      <c r="BWU103" s="267"/>
      <c r="BWV103" s="267"/>
      <c r="BWW103" s="267"/>
      <c r="BWX103" s="267"/>
      <c r="BWY103" s="267"/>
      <c r="BWZ103" s="267"/>
      <c r="BXA103" s="267"/>
      <c r="BXB103" s="267"/>
      <c r="BXC103" s="267"/>
      <c r="BXD103" s="267"/>
      <c r="BXE103" s="267"/>
      <c r="BXF103" s="267"/>
      <c r="BXG103" s="267"/>
      <c r="BXH103" s="267"/>
      <c r="BXI103" s="267"/>
      <c r="BXJ103" s="267"/>
      <c r="BXK103" s="267"/>
      <c r="BXL103" s="267"/>
      <c r="BXM103" s="267"/>
      <c r="BXN103" s="267"/>
      <c r="BXO103" s="267"/>
      <c r="BXP103" s="267"/>
      <c r="BXQ103" s="267"/>
      <c r="BXR103" s="267"/>
      <c r="BXS103" s="267"/>
      <c r="BXT103" s="267"/>
      <c r="BXU103" s="267"/>
      <c r="BXV103" s="267"/>
      <c r="BXW103" s="267"/>
      <c r="BXX103" s="267"/>
      <c r="BXY103" s="267"/>
      <c r="BXZ103" s="267"/>
      <c r="BYA103" s="267"/>
      <c r="BYB103" s="267"/>
      <c r="BYC103" s="267"/>
      <c r="BYD103" s="267"/>
      <c r="BYE103" s="267"/>
      <c r="BYF103" s="267"/>
      <c r="BYG103" s="267"/>
      <c r="BYH103" s="267"/>
      <c r="BYI103" s="267"/>
      <c r="BYJ103" s="267"/>
      <c r="BYK103" s="267"/>
      <c r="BYL103" s="267"/>
      <c r="BYM103" s="267"/>
      <c r="BYN103" s="267"/>
      <c r="BYO103" s="267"/>
      <c r="BYP103" s="267"/>
      <c r="BYQ103" s="267"/>
      <c r="BYR103" s="267"/>
      <c r="BYS103" s="267"/>
      <c r="BYT103" s="267"/>
      <c r="BYU103" s="267"/>
      <c r="BYV103" s="267"/>
      <c r="BYW103" s="267"/>
      <c r="BYX103" s="267"/>
      <c r="BYY103" s="267"/>
      <c r="BYZ103" s="267"/>
      <c r="BZA103" s="267"/>
      <c r="BZB103" s="267"/>
      <c r="BZC103" s="267"/>
      <c r="BZD103" s="267"/>
      <c r="BZE103" s="267"/>
      <c r="BZF103" s="267"/>
      <c r="BZG103" s="267"/>
      <c r="BZH103" s="267"/>
      <c r="BZI103" s="267"/>
      <c r="BZJ103" s="267"/>
      <c r="BZK103" s="267"/>
      <c r="BZL103" s="267"/>
      <c r="BZM103" s="267"/>
      <c r="BZN103" s="267"/>
      <c r="BZO103" s="267"/>
      <c r="BZP103" s="267"/>
      <c r="BZQ103" s="267"/>
      <c r="BZR103" s="267"/>
      <c r="BZS103" s="267"/>
      <c r="BZT103" s="267"/>
      <c r="BZU103" s="267"/>
      <c r="BZV103" s="267"/>
      <c r="BZW103" s="267"/>
      <c r="BZX103" s="267"/>
      <c r="BZY103" s="267"/>
      <c r="BZZ103" s="267"/>
      <c r="CAA103" s="267"/>
      <c r="CAB103" s="267"/>
      <c r="CAC103" s="267"/>
      <c r="CAD103" s="267"/>
      <c r="CAE103" s="267"/>
      <c r="CAF103" s="267"/>
      <c r="CAG103" s="267"/>
      <c r="CAH103" s="267"/>
      <c r="CAI103" s="267"/>
      <c r="CAJ103" s="267"/>
      <c r="CAK103" s="267"/>
      <c r="CAL103" s="267"/>
      <c r="CAM103" s="267"/>
      <c r="CAN103" s="267"/>
      <c r="CAO103" s="267"/>
      <c r="CAP103" s="267"/>
      <c r="CAQ103" s="267"/>
      <c r="CAR103" s="267"/>
      <c r="CAS103" s="267"/>
      <c r="CAT103" s="267"/>
      <c r="CAU103" s="267"/>
      <c r="CAV103" s="267"/>
      <c r="CAW103" s="267"/>
      <c r="CAX103" s="267"/>
      <c r="CAY103" s="267"/>
      <c r="CAZ103" s="267"/>
      <c r="CBA103" s="267"/>
      <c r="CBB103" s="267"/>
      <c r="CBC103" s="267"/>
      <c r="CBD103" s="267"/>
      <c r="CBE103" s="267"/>
      <c r="CBF103" s="267"/>
      <c r="CBG103" s="267"/>
      <c r="CBH103" s="267"/>
      <c r="CBI103" s="267"/>
      <c r="CBJ103" s="267"/>
      <c r="CBK103" s="267"/>
      <c r="CBL103" s="267"/>
      <c r="CBM103" s="267"/>
      <c r="CBN103" s="267"/>
      <c r="CBO103" s="267"/>
      <c r="CBP103" s="267"/>
      <c r="CBQ103" s="267"/>
      <c r="CBR103" s="267"/>
      <c r="CBS103" s="267"/>
      <c r="CBT103" s="267"/>
      <c r="CBU103" s="267"/>
      <c r="CBV103" s="267"/>
      <c r="CBW103" s="267"/>
      <c r="CBX103" s="267"/>
      <c r="CBY103" s="267"/>
      <c r="CBZ103" s="267"/>
      <c r="CCA103" s="267"/>
      <c r="CCB103" s="267"/>
      <c r="CCC103" s="267"/>
      <c r="CCD103" s="267"/>
      <c r="CCE103" s="267"/>
      <c r="CCF103" s="267"/>
      <c r="CCG103" s="267"/>
      <c r="CCH103" s="267"/>
      <c r="CCI103" s="267"/>
      <c r="CCJ103" s="267"/>
      <c r="CCK103" s="267"/>
      <c r="CCL103" s="267"/>
      <c r="CCM103" s="267"/>
      <c r="CCN103" s="267"/>
      <c r="CCO103" s="267"/>
      <c r="CCP103" s="267"/>
      <c r="CCQ103" s="267"/>
      <c r="CCR103" s="267"/>
      <c r="CCS103" s="267"/>
      <c r="CCT103" s="267"/>
      <c r="CCU103" s="267"/>
      <c r="CCV103" s="267"/>
      <c r="CCW103" s="267"/>
      <c r="CCX103" s="267"/>
      <c r="CCY103" s="267"/>
      <c r="CCZ103" s="267"/>
      <c r="CDA103" s="267"/>
      <c r="CDB103" s="267"/>
      <c r="CDC103" s="267"/>
      <c r="CDD103" s="267"/>
      <c r="CDE103" s="267"/>
      <c r="CDF103" s="267"/>
      <c r="CDG103" s="267"/>
      <c r="CDH103" s="267"/>
      <c r="CDI103" s="267"/>
      <c r="CDJ103" s="267"/>
      <c r="CDK103" s="267"/>
      <c r="CDL103" s="267"/>
      <c r="CDM103" s="267"/>
      <c r="CDN103" s="267"/>
      <c r="CDO103" s="267"/>
      <c r="CDP103" s="267"/>
      <c r="CDQ103" s="267"/>
      <c r="CDR103" s="267"/>
      <c r="CDS103" s="267"/>
      <c r="CDT103" s="267"/>
      <c r="CDU103" s="267"/>
      <c r="CDV103" s="267"/>
      <c r="CDW103" s="267"/>
      <c r="CDX103" s="267"/>
      <c r="CDY103" s="267"/>
      <c r="CDZ103" s="267"/>
      <c r="CEA103" s="267"/>
      <c r="CEB103" s="267"/>
      <c r="CEC103" s="267"/>
      <c r="CED103" s="267"/>
      <c r="CEE103" s="267"/>
      <c r="CEF103" s="267"/>
      <c r="CEG103" s="267"/>
      <c r="CEH103" s="267"/>
      <c r="CEI103" s="267"/>
      <c r="CEJ103" s="267"/>
      <c r="CEK103" s="267"/>
      <c r="CEL103" s="267"/>
      <c r="CEM103" s="267"/>
      <c r="CEN103" s="267"/>
      <c r="CEO103" s="267"/>
      <c r="CEP103" s="267"/>
      <c r="CEQ103" s="267"/>
      <c r="CER103" s="267"/>
      <c r="CES103" s="267"/>
      <c r="CET103" s="267"/>
      <c r="CEU103" s="267"/>
      <c r="CEV103" s="267"/>
      <c r="CEW103" s="267"/>
      <c r="CEX103" s="267"/>
      <c r="CEY103" s="267"/>
      <c r="CEZ103" s="267"/>
      <c r="CFA103" s="267"/>
      <c r="CFB103" s="267"/>
      <c r="CFC103" s="267"/>
      <c r="CFD103" s="267"/>
      <c r="CFE103" s="267"/>
      <c r="CFF103" s="267"/>
      <c r="CFG103" s="267"/>
      <c r="CFH103" s="267"/>
      <c r="CFI103" s="267"/>
      <c r="CFJ103" s="267"/>
      <c r="CFK103" s="267"/>
      <c r="CFL103" s="267"/>
      <c r="CFM103" s="267"/>
      <c r="CFN103" s="267"/>
      <c r="CFO103" s="267"/>
      <c r="CFP103" s="267"/>
      <c r="CFQ103" s="267"/>
      <c r="CFR103" s="267"/>
      <c r="CFS103" s="267"/>
      <c r="CFT103" s="267"/>
      <c r="CFU103" s="267"/>
      <c r="CFV103" s="267"/>
      <c r="CFW103" s="267"/>
      <c r="CFX103" s="267"/>
      <c r="CFY103" s="267"/>
      <c r="CFZ103" s="267"/>
      <c r="CGA103" s="267"/>
      <c r="CGB103" s="267"/>
      <c r="CGC103" s="267"/>
      <c r="CGD103" s="267"/>
      <c r="CGE103" s="267"/>
      <c r="CGF103" s="267"/>
      <c r="CGG103" s="267"/>
      <c r="CGH103" s="267"/>
      <c r="CGI103" s="267"/>
      <c r="CGJ103" s="267"/>
      <c r="CGK103" s="267"/>
      <c r="CGL103" s="267"/>
      <c r="CGM103" s="267"/>
      <c r="CGN103" s="267"/>
      <c r="CGO103" s="267"/>
      <c r="CGP103" s="267"/>
      <c r="CGQ103" s="267"/>
      <c r="CGR103" s="267"/>
      <c r="CGS103" s="267"/>
      <c r="CGT103" s="267"/>
      <c r="CGU103" s="267"/>
      <c r="CGV103" s="267"/>
      <c r="CGW103" s="267"/>
      <c r="CGX103" s="267"/>
      <c r="CGY103" s="267"/>
      <c r="CGZ103" s="267"/>
      <c r="CHA103" s="267"/>
      <c r="CHB103" s="267"/>
      <c r="CHC103" s="267"/>
      <c r="CHD103" s="267"/>
      <c r="CHE103" s="267"/>
      <c r="CHF103" s="267"/>
      <c r="CHG103" s="267"/>
      <c r="CHH103" s="267"/>
      <c r="CHI103" s="267"/>
      <c r="CHJ103" s="267"/>
      <c r="CHK103" s="267"/>
      <c r="CHL103" s="267"/>
      <c r="CHM103" s="267"/>
      <c r="CHN103" s="267"/>
      <c r="CHO103" s="267"/>
      <c r="CHP103" s="267"/>
      <c r="CHQ103" s="267"/>
      <c r="CHR103" s="267"/>
      <c r="CHS103" s="267"/>
      <c r="CHT103" s="267"/>
      <c r="CHU103" s="267"/>
      <c r="CHV103" s="267"/>
      <c r="CHW103" s="267"/>
      <c r="CHX103" s="267"/>
      <c r="CHY103" s="267"/>
      <c r="CHZ103" s="267"/>
      <c r="CIA103" s="267"/>
      <c r="CIB103" s="267"/>
      <c r="CIC103" s="267"/>
      <c r="CID103" s="267"/>
      <c r="CIE103" s="267"/>
      <c r="CIF103" s="267"/>
      <c r="CIG103" s="267"/>
      <c r="CIH103" s="267"/>
      <c r="CII103" s="267"/>
      <c r="CIJ103" s="267"/>
      <c r="CIK103" s="267"/>
      <c r="CIL103" s="267"/>
      <c r="CIM103" s="267"/>
      <c r="CIN103" s="267"/>
      <c r="CIO103" s="267"/>
      <c r="CIP103" s="267"/>
      <c r="CIQ103" s="267"/>
      <c r="CIR103" s="267"/>
      <c r="CIS103" s="267"/>
      <c r="CIT103" s="267"/>
      <c r="CIU103" s="267"/>
      <c r="CIV103" s="267"/>
      <c r="CIW103" s="267"/>
      <c r="CIX103" s="267"/>
      <c r="CIY103" s="267"/>
      <c r="CIZ103" s="267"/>
      <c r="CJA103" s="267"/>
      <c r="CJB103" s="267"/>
      <c r="CJC103" s="267"/>
      <c r="CJD103" s="267"/>
      <c r="CJE103" s="267"/>
      <c r="CJF103" s="267"/>
      <c r="CJG103" s="267"/>
      <c r="CJH103" s="267"/>
      <c r="CJI103" s="267"/>
      <c r="CJJ103" s="267"/>
      <c r="CJK103" s="267"/>
      <c r="CJL103" s="267"/>
      <c r="CJM103" s="267"/>
      <c r="CJN103" s="267"/>
      <c r="CJO103" s="267"/>
      <c r="CJP103" s="267"/>
      <c r="CJQ103" s="267"/>
      <c r="CJR103" s="267"/>
      <c r="CJS103" s="267"/>
      <c r="CJT103" s="267"/>
      <c r="CJU103" s="267"/>
      <c r="CJV103" s="267"/>
      <c r="CJW103" s="267"/>
      <c r="CJX103" s="267"/>
      <c r="CJY103" s="267"/>
      <c r="CJZ103" s="267"/>
      <c r="CKA103" s="267"/>
      <c r="CKB103" s="267"/>
      <c r="CKC103" s="267"/>
      <c r="CKD103" s="267"/>
      <c r="CKE103" s="267"/>
      <c r="CKF103" s="267"/>
      <c r="CKG103" s="267"/>
      <c r="CKH103" s="267"/>
      <c r="CKI103" s="267"/>
      <c r="CKJ103" s="267"/>
      <c r="CKK103" s="267"/>
      <c r="CKL103" s="267"/>
      <c r="CKM103" s="267"/>
      <c r="CKN103" s="267"/>
      <c r="CKO103" s="267"/>
      <c r="CKP103" s="267"/>
      <c r="CKQ103" s="267"/>
      <c r="CKR103" s="267"/>
      <c r="CKS103" s="267"/>
      <c r="CKT103" s="267"/>
      <c r="CKU103" s="267"/>
      <c r="CKV103" s="267"/>
      <c r="CKW103" s="267"/>
      <c r="CKX103" s="267"/>
      <c r="CKY103" s="267"/>
      <c r="CKZ103" s="267"/>
      <c r="CLA103" s="267"/>
      <c r="CLB103" s="267"/>
      <c r="CLC103" s="267"/>
      <c r="CLD103" s="267"/>
      <c r="CLE103" s="267"/>
      <c r="CLF103" s="267"/>
      <c r="CLG103" s="267"/>
      <c r="CLH103" s="267"/>
      <c r="CLI103" s="267"/>
      <c r="CLJ103" s="267"/>
      <c r="CLK103" s="267"/>
      <c r="CLL103" s="267"/>
      <c r="CLM103" s="267"/>
      <c r="CLN103" s="267"/>
      <c r="CLO103" s="267"/>
      <c r="CLP103" s="267"/>
      <c r="CLQ103" s="267"/>
      <c r="CLR103" s="267"/>
      <c r="CLS103" s="267"/>
      <c r="CLT103" s="267"/>
      <c r="CLU103" s="267"/>
      <c r="CLV103" s="267"/>
      <c r="CLW103" s="267"/>
      <c r="CLX103" s="267"/>
      <c r="CLY103" s="267"/>
      <c r="CLZ103" s="267"/>
      <c r="CMA103" s="267"/>
      <c r="CMB103" s="267"/>
      <c r="CMC103" s="267"/>
      <c r="CMD103" s="267"/>
      <c r="CME103" s="267"/>
      <c r="CMF103" s="267"/>
      <c r="CMG103" s="267"/>
      <c r="CMH103" s="267"/>
      <c r="CMI103" s="267"/>
      <c r="CMJ103" s="267"/>
      <c r="CMK103" s="267"/>
      <c r="CML103" s="267"/>
      <c r="CMM103" s="267"/>
      <c r="CMN103" s="267"/>
      <c r="CMO103" s="267"/>
      <c r="CMP103" s="267"/>
      <c r="CMQ103" s="267"/>
      <c r="CMR103" s="267"/>
      <c r="CMS103" s="267"/>
      <c r="CMT103" s="267"/>
      <c r="CMU103" s="267"/>
      <c r="CMV103" s="267"/>
      <c r="CMW103" s="267"/>
      <c r="CMX103" s="267"/>
      <c r="CMY103" s="267"/>
      <c r="CMZ103" s="267"/>
      <c r="CNA103" s="267"/>
      <c r="CNB103" s="267"/>
      <c r="CNC103" s="267"/>
      <c r="CND103" s="267"/>
      <c r="CNE103" s="267"/>
      <c r="CNF103" s="267"/>
      <c r="CNG103" s="267"/>
      <c r="CNH103" s="267"/>
      <c r="CNI103" s="267"/>
      <c r="CNJ103" s="267"/>
      <c r="CNK103" s="267"/>
      <c r="CNL103" s="267"/>
      <c r="CNM103" s="267"/>
      <c r="CNN103" s="267"/>
      <c r="CNO103" s="267"/>
      <c r="CNP103" s="267"/>
      <c r="CNQ103" s="267"/>
      <c r="CNR103" s="267"/>
      <c r="CNS103" s="267"/>
      <c r="CNT103" s="267"/>
      <c r="CNU103" s="267"/>
      <c r="CNV103" s="267"/>
      <c r="CNW103" s="267"/>
      <c r="CNX103" s="267"/>
      <c r="CNY103" s="267"/>
      <c r="CNZ103" s="267"/>
      <c r="COA103" s="267"/>
      <c r="COB103" s="267"/>
      <c r="COC103" s="267"/>
      <c r="COD103" s="267"/>
      <c r="COE103" s="267"/>
      <c r="COF103" s="267"/>
      <c r="COG103" s="267"/>
      <c r="COH103" s="267"/>
      <c r="COI103" s="267"/>
      <c r="COJ103" s="267"/>
      <c r="COK103" s="267"/>
      <c r="COL103" s="267"/>
      <c r="COM103" s="267"/>
      <c r="CON103" s="267"/>
      <c r="COO103" s="267"/>
      <c r="COP103" s="267"/>
      <c r="COQ103" s="267"/>
      <c r="COR103" s="267"/>
      <c r="COS103" s="267"/>
      <c r="COT103" s="267"/>
      <c r="COU103" s="267"/>
      <c r="COV103" s="267"/>
      <c r="COW103" s="267"/>
      <c r="COX103" s="267"/>
      <c r="COY103" s="267"/>
      <c r="COZ103" s="267"/>
      <c r="CPA103" s="267"/>
      <c r="CPB103" s="267"/>
      <c r="CPC103" s="267"/>
      <c r="CPD103" s="267"/>
      <c r="CPE103" s="267"/>
      <c r="CPF103" s="267"/>
      <c r="CPG103" s="267"/>
      <c r="CPH103" s="267"/>
      <c r="CPI103" s="267"/>
      <c r="CPJ103" s="267"/>
      <c r="CPK103" s="267"/>
      <c r="CPL103" s="267"/>
      <c r="CPM103" s="267"/>
      <c r="CPN103" s="267"/>
      <c r="CPO103" s="267"/>
      <c r="CPP103" s="267"/>
      <c r="CPQ103" s="267"/>
      <c r="CPR103" s="267"/>
      <c r="CPS103" s="267"/>
      <c r="CPT103" s="267"/>
      <c r="CPU103" s="267"/>
      <c r="CPV103" s="267"/>
      <c r="CPW103" s="267"/>
      <c r="CPX103" s="267"/>
      <c r="CPY103" s="267"/>
      <c r="CPZ103" s="267"/>
      <c r="CQA103" s="267"/>
      <c r="CQB103" s="267"/>
      <c r="CQC103" s="267"/>
      <c r="CQD103" s="267"/>
      <c r="CQE103" s="267"/>
      <c r="CQF103" s="267"/>
      <c r="CQG103" s="267"/>
      <c r="CQH103" s="267"/>
      <c r="CQI103" s="267"/>
      <c r="CQJ103" s="267"/>
      <c r="CQK103" s="267"/>
      <c r="CQL103" s="267"/>
      <c r="CQM103" s="267"/>
      <c r="CQN103" s="267"/>
      <c r="CQO103" s="267"/>
      <c r="CQP103" s="267"/>
      <c r="CQQ103" s="267"/>
      <c r="CQR103" s="267"/>
      <c r="CQS103" s="267"/>
      <c r="CQT103" s="267"/>
      <c r="CQU103" s="267"/>
      <c r="CQV103" s="267"/>
      <c r="CQW103" s="267"/>
      <c r="CQX103" s="267"/>
      <c r="CQY103" s="267"/>
      <c r="CQZ103" s="267"/>
      <c r="CRA103" s="267"/>
      <c r="CRB103" s="267"/>
      <c r="CRC103" s="267"/>
      <c r="CRD103" s="267"/>
      <c r="CRE103" s="267"/>
      <c r="CRF103" s="267"/>
      <c r="CRG103" s="267"/>
      <c r="CRH103" s="267"/>
      <c r="CRI103" s="267"/>
      <c r="CRJ103" s="267"/>
      <c r="CRK103" s="267"/>
      <c r="CRL103" s="267"/>
      <c r="CRM103" s="267"/>
      <c r="CRN103" s="267"/>
      <c r="CRO103" s="267"/>
      <c r="CRP103" s="267"/>
      <c r="CRQ103" s="267"/>
      <c r="CRR103" s="267"/>
      <c r="CRS103" s="267"/>
      <c r="CRT103" s="267"/>
      <c r="CRU103" s="267"/>
      <c r="CRV103" s="267"/>
      <c r="CRW103" s="267"/>
      <c r="CRX103" s="267"/>
      <c r="CRY103" s="267"/>
      <c r="CRZ103" s="267"/>
      <c r="CSA103" s="267"/>
      <c r="CSB103" s="267"/>
      <c r="CSC103" s="267"/>
      <c r="CSD103" s="267"/>
      <c r="CSE103" s="267"/>
      <c r="CSF103" s="267"/>
      <c r="CSG103" s="267"/>
      <c r="CSH103" s="267"/>
      <c r="CSI103" s="267"/>
      <c r="CSJ103" s="267"/>
      <c r="CSK103" s="267"/>
      <c r="CSL103" s="267"/>
      <c r="CSM103" s="267"/>
      <c r="CSN103" s="267"/>
      <c r="CSO103" s="267"/>
      <c r="CSP103" s="267"/>
      <c r="CSQ103" s="267"/>
      <c r="CSR103" s="267"/>
      <c r="CSS103" s="267"/>
      <c r="CST103" s="267"/>
      <c r="CSU103" s="267"/>
      <c r="CSV103" s="267"/>
      <c r="CSW103" s="267"/>
      <c r="CSX103" s="267"/>
      <c r="CSY103" s="267"/>
      <c r="CSZ103" s="267"/>
      <c r="CTA103" s="267"/>
      <c r="CTB103" s="267"/>
      <c r="CTC103" s="267"/>
      <c r="CTD103" s="267"/>
      <c r="CTE103" s="267"/>
      <c r="CTF103" s="267"/>
      <c r="CTG103" s="267"/>
      <c r="CTH103" s="267"/>
      <c r="CTI103" s="267"/>
      <c r="CTJ103" s="267"/>
      <c r="CTK103" s="267"/>
      <c r="CTL103" s="267"/>
      <c r="CTM103" s="267"/>
      <c r="CTN103" s="267"/>
      <c r="CTO103" s="267"/>
      <c r="CTP103" s="267"/>
      <c r="CTQ103" s="267"/>
      <c r="CTR103" s="267"/>
      <c r="CTS103" s="267"/>
      <c r="CTT103" s="267"/>
      <c r="CTU103" s="267"/>
      <c r="CTV103" s="267"/>
      <c r="CTW103" s="267"/>
      <c r="CTX103" s="267"/>
      <c r="CTY103" s="267"/>
      <c r="CTZ103" s="267"/>
      <c r="CUA103" s="267"/>
    </row>
    <row r="104" s="30" customFormat="1" ht="25" customHeight="1" spans="1:2575">
      <c r="A104" s="268">
        <v>110</v>
      </c>
      <c r="B104" s="268" t="s">
        <v>13</v>
      </c>
      <c r="C104" s="268" t="s">
        <v>37</v>
      </c>
      <c r="D104" s="82" t="s">
        <v>330</v>
      </c>
      <c r="E104" s="141" t="s">
        <v>912</v>
      </c>
      <c r="F104" s="308"/>
      <c r="G104" s="308" t="s">
        <v>913</v>
      </c>
      <c r="H104" s="309">
        <v>3000638</v>
      </c>
      <c r="I104" s="315"/>
      <c r="J104" s="308" t="s">
        <v>914</v>
      </c>
      <c r="K104" s="308" t="s">
        <v>915</v>
      </c>
      <c r="L104" s="308" t="s">
        <v>667</v>
      </c>
      <c r="M104" s="141" t="s">
        <v>674</v>
      </c>
      <c r="N104" s="94">
        <v>45774</v>
      </c>
      <c r="O104" s="94">
        <v>46138</v>
      </c>
      <c r="P104" s="141">
        <v>1000</v>
      </c>
      <c r="Q104" s="85"/>
      <c r="R104" s="322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  <c r="AR104" s="267"/>
      <c r="AS104" s="267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  <c r="BF104" s="267"/>
      <c r="BG104" s="267"/>
      <c r="BH104" s="267"/>
      <c r="BI104" s="267"/>
      <c r="BJ104" s="267"/>
      <c r="BK104" s="267"/>
      <c r="BL104" s="267"/>
      <c r="BM104" s="267"/>
      <c r="BN104" s="267"/>
      <c r="BO104" s="267"/>
      <c r="BP104" s="267"/>
      <c r="BQ104" s="267"/>
      <c r="BR104" s="267"/>
      <c r="BS104" s="267"/>
      <c r="BT104" s="267"/>
      <c r="BU104" s="267"/>
      <c r="BV104" s="267"/>
      <c r="BW104" s="267"/>
      <c r="BX104" s="267"/>
      <c r="BY104" s="267"/>
      <c r="BZ104" s="267"/>
      <c r="CA104" s="267"/>
      <c r="CB104" s="267"/>
      <c r="CC104" s="267"/>
      <c r="CD104" s="267"/>
      <c r="CE104" s="267"/>
      <c r="CF104" s="267"/>
      <c r="CG104" s="267"/>
      <c r="CH104" s="267"/>
      <c r="CI104" s="267"/>
      <c r="CJ104" s="267"/>
      <c r="CK104" s="267"/>
      <c r="CL104" s="267"/>
      <c r="CM104" s="267"/>
      <c r="CN104" s="267"/>
      <c r="CO104" s="267"/>
      <c r="CP104" s="267"/>
      <c r="CQ104" s="267"/>
      <c r="CR104" s="267"/>
      <c r="CS104" s="267"/>
      <c r="CT104" s="267"/>
      <c r="CU104" s="267"/>
      <c r="CV104" s="267"/>
      <c r="CW104" s="267"/>
      <c r="CX104" s="267"/>
      <c r="CY104" s="267"/>
      <c r="CZ104" s="267"/>
      <c r="DA104" s="267"/>
      <c r="DB104" s="267"/>
      <c r="DC104" s="267"/>
      <c r="DD104" s="267"/>
      <c r="DE104" s="267"/>
      <c r="DF104" s="267"/>
      <c r="DG104" s="267"/>
      <c r="DH104" s="267"/>
      <c r="DI104" s="267"/>
      <c r="DJ104" s="267"/>
      <c r="DK104" s="267"/>
      <c r="DL104" s="267"/>
      <c r="DM104" s="267"/>
      <c r="DN104" s="267"/>
      <c r="DO104" s="267"/>
      <c r="DP104" s="267"/>
      <c r="DQ104" s="267"/>
      <c r="DR104" s="267"/>
      <c r="DS104" s="267"/>
      <c r="DT104" s="267"/>
      <c r="DU104" s="267"/>
      <c r="DV104" s="267"/>
      <c r="DW104" s="267"/>
      <c r="DX104" s="267"/>
      <c r="DY104" s="267"/>
      <c r="DZ104" s="267"/>
      <c r="EA104" s="267"/>
      <c r="EB104" s="267"/>
      <c r="EC104" s="267"/>
      <c r="ED104" s="267"/>
      <c r="EE104" s="267"/>
      <c r="EF104" s="267"/>
      <c r="EG104" s="267"/>
      <c r="EH104" s="267"/>
      <c r="EI104" s="267"/>
      <c r="EJ104" s="267"/>
      <c r="EK104" s="267"/>
      <c r="EL104" s="267"/>
      <c r="EM104" s="267"/>
      <c r="EN104" s="267"/>
      <c r="EO104" s="267"/>
      <c r="EP104" s="267"/>
      <c r="EQ104" s="267"/>
      <c r="ER104" s="267"/>
      <c r="ES104" s="267"/>
      <c r="ET104" s="267"/>
      <c r="EU104" s="267"/>
      <c r="EV104" s="267"/>
      <c r="EW104" s="267"/>
      <c r="EX104" s="267"/>
      <c r="EY104" s="267"/>
      <c r="EZ104" s="267"/>
      <c r="FA104" s="267"/>
      <c r="FB104" s="267"/>
      <c r="FC104" s="267"/>
      <c r="FD104" s="267"/>
      <c r="FE104" s="267"/>
      <c r="FF104" s="267"/>
      <c r="FG104" s="267"/>
      <c r="FH104" s="267"/>
      <c r="FI104" s="267"/>
      <c r="FJ104" s="267"/>
      <c r="FK104" s="267"/>
      <c r="FL104" s="267"/>
      <c r="FM104" s="267"/>
      <c r="FN104" s="267"/>
      <c r="FO104" s="267"/>
      <c r="FP104" s="267"/>
      <c r="FQ104" s="267"/>
      <c r="FR104" s="267"/>
      <c r="FS104" s="267"/>
      <c r="FT104" s="267"/>
      <c r="FU104" s="267"/>
      <c r="FV104" s="267"/>
      <c r="FW104" s="267"/>
      <c r="FX104" s="267"/>
      <c r="FY104" s="267"/>
      <c r="FZ104" s="267"/>
      <c r="GA104" s="267"/>
      <c r="GB104" s="267"/>
      <c r="GC104" s="267"/>
      <c r="GD104" s="267"/>
      <c r="GE104" s="267"/>
      <c r="GF104" s="267"/>
      <c r="GG104" s="267"/>
      <c r="GH104" s="267"/>
      <c r="GI104" s="267"/>
      <c r="GJ104" s="267"/>
      <c r="GK104" s="267"/>
      <c r="GL104" s="267"/>
      <c r="GM104" s="267"/>
      <c r="GN104" s="267"/>
      <c r="GO104" s="267"/>
      <c r="GP104" s="267"/>
      <c r="GQ104" s="267"/>
      <c r="GR104" s="267"/>
      <c r="GS104" s="267"/>
      <c r="GT104" s="267"/>
      <c r="GU104" s="267"/>
      <c r="GV104" s="267"/>
      <c r="GW104" s="267"/>
      <c r="GX104" s="267"/>
      <c r="GY104" s="267"/>
      <c r="GZ104" s="267"/>
      <c r="HA104" s="267"/>
      <c r="HB104" s="267"/>
      <c r="HC104" s="267"/>
      <c r="HD104" s="267"/>
      <c r="HE104" s="267"/>
      <c r="HF104" s="267"/>
      <c r="HG104" s="267"/>
      <c r="HH104" s="267"/>
      <c r="HI104" s="267"/>
      <c r="HJ104" s="267"/>
      <c r="HK104" s="267"/>
      <c r="HL104" s="267"/>
      <c r="HM104" s="267"/>
      <c r="HN104" s="267"/>
      <c r="HO104" s="267"/>
      <c r="HP104" s="267"/>
      <c r="HQ104" s="267"/>
      <c r="HR104" s="267"/>
      <c r="HS104" s="267"/>
      <c r="HT104" s="267"/>
      <c r="HU104" s="267"/>
      <c r="HV104" s="267"/>
      <c r="HW104" s="267"/>
      <c r="HX104" s="267"/>
      <c r="HY104" s="267"/>
      <c r="HZ104" s="267"/>
      <c r="IA104" s="267"/>
      <c r="IB104" s="267"/>
      <c r="IC104" s="267"/>
      <c r="ID104" s="267"/>
      <c r="IE104" s="267"/>
      <c r="IF104" s="267"/>
      <c r="IG104" s="267"/>
      <c r="IH104" s="267"/>
      <c r="II104" s="267"/>
      <c r="IJ104" s="267"/>
      <c r="IK104" s="267"/>
      <c r="IL104" s="267"/>
      <c r="IM104" s="267"/>
      <c r="IN104" s="267"/>
      <c r="IO104" s="267"/>
      <c r="IP104" s="267"/>
      <c r="IQ104" s="267"/>
      <c r="IR104" s="267"/>
      <c r="IS104" s="267"/>
      <c r="IT104" s="267"/>
      <c r="IU104" s="267"/>
      <c r="IV104" s="267"/>
      <c r="IW104" s="267"/>
      <c r="IX104" s="267"/>
      <c r="IY104" s="267"/>
      <c r="IZ104" s="267"/>
      <c r="JA104" s="267"/>
      <c r="JB104" s="267"/>
      <c r="JC104" s="267"/>
      <c r="JD104" s="267"/>
      <c r="JE104" s="267"/>
      <c r="JF104" s="267"/>
      <c r="JG104" s="267"/>
      <c r="JH104" s="267"/>
      <c r="JI104" s="267"/>
      <c r="JJ104" s="267"/>
      <c r="JK104" s="267"/>
      <c r="JL104" s="267"/>
      <c r="JM104" s="267"/>
      <c r="JN104" s="267"/>
      <c r="JO104" s="267"/>
      <c r="JP104" s="267"/>
      <c r="JQ104" s="267"/>
      <c r="JR104" s="267"/>
      <c r="JS104" s="267"/>
      <c r="JT104" s="267"/>
      <c r="JU104" s="267"/>
      <c r="JV104" s="267"/>
      <c r="JW104" s="267"/>
      <c r="JX104" s="267"/>
      <c r="JY104" s="267"/>
      <c r="JZ104" s="267"/>
      <c r="KA104" s="267"/>
      <c r="KB104" s="267"/>
      <c r="KC104" s="267"/>
      <c r="KD104" s="267"/>
      <c r="KE104" s="267"/>
      <c r="KF104" s="267"/>
      <c r="KG104" s="267"/>
      <c r="KH104" s="267"/>
      <c r="KI104" s="267"/>
      <c r="KJ104" s="267"/>
      <c r="KK104" s="267"/>
      <c r="KL104" s="267"/>
      <c r="KM104" s="267"/>
      <c r="KN104" s="267"/>
      <c r="KO104" s="267"/>
      <c r="KP104" s="267"/>
      <c r="KQ104" s="267"/>
      <c r="KR104" s="267"/>
      <c r="KS104" s="267"/>
      <c r="KT104" s="267"/>
      <c r="KU104" s="267"/>
      <c r="KV104" s="267"/>
      <c r="KW104" s="267"/>
      <c r="KX104" s="267"/>
      <c r="KY104" s="267"/>
      <c r="KZ104" s="267"/>
      <c r="LA104" s="267"/>
      <c r="LB104" s="267"/>
      <c r="LC104" s="267"/>
      <c r="LD104" s="267"/>
      <c r="LE104" s="267"/>
      <c r="LF104" s="267"/>
      <c r="LG104" s="267"/>
      <c r="LH104" s="267"/>
      <c r="LI104" s="267"/>
      <c r="LJ104" s="267"/>
      <c r="LK104" s="267"/>
      <c r="LL104" s="267"/>
      <c r="LM104" s="267"/>
      <c r="LN104" s="267"/>
      <c r="LO104" s="267"/>
      <c r="LP104" s="267"/>
      <c r="LQ104" s="267"/>
      <c r="LR104" s="267"/>
      <c r="LS104" s="267"/>
      <c r="LT104" s="267"/>
      <c r="LU104" s="267"/>
      <c r="LV104" s="267"/>
      <c r="LW104" s="267"/>
      <c r="LX104" s="267"/>
      <c r="LY104" s="267"/>
      <c r="LZ104" s="267"/>
      <c r="MA104" s="267"/>
      <c r="MB104" s="267"/>
      <c r="MC104" s="267"/>
      <c r="MD104" s="267"/>
      <c r="ME104" s="267"/>
      <c r="MF104" s="267"/>
      <c r="MG104" s="267"/>
      <c r="MH104" s="267"/>
      <c r="MI104" s="267"/>
      <c r="MJ104" s="267"/>
      <c r="MK104" s="267"/>
      <c r="ML104" s="267"/>
      <c r="MM104" s="267"/>
      <c r="MN104" s="267"/>
      <c r="MO104" s="267"/>
      <c r="MP104" s="267"/>
      <c r="MQ104" s="267"/>
      <c r="MR104" s="267"/>
      <c r="MS104" s="267"/>
      <c r="MT104" s="267"/>
      <c r="MU104" s="267"/>
      <c r="MV104" s="267"/>
      <c r="MW104" s="267"/>
      <c r="MX104" s="267"/>
      <c r="MY104" s="267"/>
      <c r="MZ104" s="267"/>
      <c r="NA104" s="267"/>
      <c r="NB104" s="267"/>
      <c r="NC104" s="267"/>
      <c r="ND104" s="267"/>
      <c r="NE104" s="267"/>
      <c r="NF104" s="267"/>
      <c r="NG104" s="267"/>
      <c r="NH104" s="267"/>
      <c r="NI104" s="267"/>
      <c r="NJ104" s="267"/>
      <c r="NK104" s="267"/>
      <c r="NL104" s="267"/>
      <c r="NM104" s="267"/>
      <c r="NN104" s="267"/>
      <c r="NO104" s="267"/>
      <c r="NP104" s="267"/>
      <c r="NQ104" s="267"/>
      <c r="NR104" s="267"/>
      <c r="NS104" s="267"/>
      <c r="NT104" s="267"/>
      <c r="NU104" s="267"/>
      <c r="NV104" s="267"/>
      <c r="NW104" s="267"/>
      <c r="NX104" s="267"/>
      <c r="NY104" s="267"/>
      <c r="NZ104" s="267"/>
      <c r="OA104" s="267"/>
      <c r="OB104" s="267"/>
      <c r="OC104" s="267"/>
      <c r="OD104" s="267"/>
      <c r="OE104" s="267"/>
      <c r="OF104" s="267"/>
      <c r="OG104" s="267"/>
      <c r="OH104" s="267"/>
      <c r="OI104" s="267"/>
      <c r="OJ104" s="267"/>
      <c r="OK104" s="267"/>
      <c r="OL104" s="267"/>
      <c r="OM104" s="267"/>
      <c r="ON104" s="267"/>
      <c r="OO104" s="267"/>
      <c r="OP104" s="267"/>
      <c r="OQ104" s="267"/>
      <c r="OR104" s="267"/>
      <c r="OS104" s="267"/>
      <c r="OT104" s="267"/>
      <c r="OU104" s="267"/>
      <c r="OV104" s="267"/>
      <c r="OW104" s="267"/>
      <c r="OX104" s="267"/>
      <c r="OY104" s="267"/>
      <c r="OZ104" s="267"/>
      <c r="PA104" s="267"/>
      <c r="PB104" s="267"/>
      <c r="PC104" s="267"/>
      <c r="PD104" s="267"/>
      <c r="PE104" s="267"/>
      <c r="PF104" s="267"/>
      <c r="PG104" s="267"/>
      <c r="PH104" s="267"/>
      <c r="PI104" s="267"/>
      <c r="PJ104" s="267"/>
      <c r="PK104" s="267"/>
      <c r="PL104" s="267"/>
      <c r="PM104" s="267"/>
      <c r="PN104" s="267"/>
      <c r="PO104" s="267"/>
      <c r="PP104" s="267"/>
      <c r="PQ104" s="267"/>
      <c r="PR104" s="267"/>
      <c r="PS104" s="267"/>
      <c r="PT104" s="267"/>
      <c r="PU104" s="267"/>
      <c r="PV104" s="267"/>
      <c r="PW104" s="267"/>
      <c r="PX104" s="267"/>
      <c r="PY104" s="267"/>
      <c r="PZ104" s="267"/>
      <c r="QA104" s="267"/>
      <c r="QB104" s="267"/>
      <c r="QC104" s="267"/>
      <c r="QD104" s="267"/>
      <c r="QE104" s="267"/>
      <c r="QF104" s="267"/>
      <c r="QG104" s="267"/>
      <c r="QH104" s="267"/>
      <c r="QI104" s="267"/>
      <c r="QJ104" s="267"/>
      <c r="QK104" s="267"/>
      <c r="QL104" s="267"/>
      <c r="QM104" s="267"/>
      <c r="QN104" s="267"/>
      <c r="QO104" s="267"/>
      <c r="QP104" s="267"/>
      <c r="QQ104" s="267"/>
      <c r="QR104" s="267"/>
      <c r="QS104" s="267"/>
      <c r="QT104" s="267"/>
      <c r="QU104" s="267"/>
      <c r="QV104" s="267"/>
      <c r="QW104" s="267"/>
      <c r="QX104" s="267"/>
      <c r="QY104" s="267"/>
      <c r="QZ104" s="267"/>
      <c r="RA104" s="267"/>
      <c r="RB104" s="267"/>
      <c r="RC104" s="267"/>
      <c r="RD104" s="267"/>
      <c r="RE104" s="267"/>
      <c r="RF104" s="267"/>
      <c r="RG104" s="267"/>
      <c r="RH104" s="267"/>
      <c r="RI104" s="267"/>
      <c r="RJ104" s="267"/>
      <c r="RK104" s="267"/>
      <c r="RL104" s="267"/>
      <c r="RM104" s="267"/>
      <c r="RN104" s="267"/>
      <c r="RO104" s="267"/>
      <c r="RP104" s="267"/>
      <c r="RQ104" s="267"/>
      <c r="RR104" s="267"/>
      <c r="RS104" s="267"/>
      <c r="RT104" s="267"/>
      <c r="RU104" s="267"/>
      <c r="RV104" s="267"/>
      <c r="RW104" s="267"/>
      <c r="RX104" s="267"/>
      <c r="RY104" s="267"/>
      <c r="RZ104" s="267"/>
      <c r="SA104" s="267"/>
      <c r="SB104" s="267"/>
      <c r="SC104" s="267"/>
      <c r="SD104" s="267"/>
      <c r="SE104" s="267"/>
      <c r="SF104" s="267"/>
      <c r="SG104" s="267"/>
      <c r="SH104" s="267"/>
      <c r="SI104" s="267"/>
      <c r="SJ104" s="267"/>
      <c r="SK104" s="267"/>
      <c r="SL104" s="267"/>
      <c r="SM104" s="267"/>
      <c r="SN104" s="267"/>
      <c r="SO104" s="267"/>
      <c r="SP104" s="267"/>
      <c r="SQ104" s="267"/>
      <c r="SR104" s="267"/>
      <c r="SS104" s="267"/>
      <c r="ST104" s="267"/>
      <c r="SU104" s="267"/>
      <c r="SV104" s="267"/>
      <c r="SW104" s="267"/>
      <c r="SX104" s="267"/>
      <c r="SY104" s="267"/>
      <c r="SZ104" s="267"/>
      <c r="TA104" s="267"/>
      <c r="TB104" s="267"/>
      <c r="TC104" s="267"/>
      <c r="TD104" s="267"/>
      <c r="TE104" s="267"/>
      <c r="TF104" s="267"/>
      <c r="TG104" s="267"/>
      <c r="TH104" s="267"/>
      <c r="TI104" s="267"/>
      <c r="TJ104" s="267"/>
      <c r="TK104" s="267"/>
      <c r="TL104" s="267"/>
      <c r="TM104" s="267"/>
      <c r="TN104" s="267"/>
      <c r="TO104" s="267"/>
      <c r="TP104" s="267"/>
      <c r="TQ104" s="267"/>
      <c r="TR104" s="267"/>
      <c r="TS104" s="267"/>
      <c r="TT104" s="267"/>
      <c r="TU104" s="267"/>
      <c r="TV104" s="267"/>
      <c r="TW104" s="267"/>
      <c r="TX104" s="267"/>
      <c r="TY104" s="267"/>
      <c r="TZ104" s="267"/>
      <c r="UA104" s="267"/>
      <c r="UB104" s="267"/>
      <c r="UC104" s="267"/>
      <c r="UD104" s="267"/>
      <c r="UE104" s="267"/>
      <c r="UF104" s="267"/>
      <c r="UG104" s="267"/>
      <c r="UH104" s="267"/>
      <c r="UI104" s="267"/>
      <c r="UJ104" s="267"/>
      <c r="UK104" s="267"/>
      <c r="UL104" s="267"/>
      <c r="UM104" s="267"/>
      <c r="UN104" s="267"/>
      <c r="UO104" s="267"/>
      <c r="UP104" s="267"/>
      <c r="UQ104" s="267"/>
      <c r="UR104" s="267"/>
      <c r="US104" s="267"/>
      <c r="UT104" s="267"/>
      <c r="UU104" s="267"/>
      <c r="UV104" s="267"/>
      <c r="UW104" s="267"/>
      <c r="UX104" s="267"/>
      <c r="UY104" s="267"/>
      <c r="UZ104" s="267"/>
      <c r="VA104" s="267"/>
      <c r="VB104" s="267"/>
      <c r="VC104" s="267"/>
      <c r="VD104" s="267"/>
      <c r="VE104" s="267"/>
      <c r="VF104" s="267"/>
      <c r="VG104" s="267"/>
      <c r="VH104" s="267"/>
      <c r="VI104" s="267"/>
      <c r="VJ104" s="267"/>
      <c r="VK104" s="267"/>
      <c r="VL104" s="267"/>
      <c r="VM104" s="267"/>
      <c r="VN104" s="267"/>
      <c r="VO104" s="267"/>
      <c r="VP104" s="267"/>
      <c r="VQ104" s="267"/>
      <c r="VR104" s="267"/>
      <c r="VS104" s="267"/>
      <c r="VT104" s="267"/>
      <c r="VU104" s="267"/>
      <c r="VV104" s="267"/>
      <c r="VW104" s="267"/>
      <c r="VX104" s="267"/>
      <c r="VY104" s="267"/>
      <c r="VZ104" s="267"/>
      <c r="WA104" s="267"/>
      <c r="WB104" s="267"/>
      <c r="WC104" s="267"/>
      <c r="WD104" s="267"/>
      <c r="WE104" s="267"/>
      <c r="WF104" s="267"/>
      <c r="WG104" s="267"/>
      <c r="WH104" s="267"/>
      <c r="WI104" s="267"/>
      <c r="WJ104" s="267"/>
      <c r="WK104" s="267"/>
      <c r="WL104" s="267"/>
      <c r="WM104" s="267"/>
      <c r="WN104" s="267"/>
      <c r="WO104" s="267"/>
      <c r="WP104" s="267"/>
      <c r="WQ104" s="267"/>
      <c r="WR104" s="267"/>
      <c r="WS104" s="267"/>
      <c r="WT104" s="267"/>
      <c r="WU104" s="267"/>
      <c r="WV104" s="267"/>
      <c r="WW104" s="267"/>
      <c r="WX104" s="267"/>
      <c r="WY104" s="267"/>
      <c r="WZ104" s="267"/>
      <c r="XA104" s="267"/>
      <c r="XB104" s="267"/>
      <c r="XC104" s="267"/>
      <c r="XD104" s="267"/>
      <c r="XE104" s="267"/>
      <c r="XF104" s="267"/>
      <c r="XG104" s="267"/>
      <c r="XH104" s="267"/>
      <c r="XI104" s="267"/>
      <c r="XJ104" s="267"/>
      <c r="XK104" s="267"/>
      <c r="XL104" s="267"/>
      <c r="XM104" s="267"/>
      <c r="XN104" s="267"/>
      <c r="XO104" s="267"/>
      <c r="XP104" s="267"/>
      <c r="XQ104" s="267"/>
      <c r="XR104" s="267"/>
      <c r="XS104" s="267"/>
      <c r="XT104" s="267"/>
      <c r="XU104" s="267"/>
      <c r="XV104" s="267"/>
      <c r="XW104" s="267"/>
      <c r="XX104" s="267"/>
      <c r="XY104" s="267"/>
      <c r="XZ104" s="267"/>
      <c r="YA104" s="267"/>
      <c r="YB104" s="267"/>
      <c r="YC104" s="267"/>
      <c r="YD104" s="267"/>
      <c r="YE104" s="267"/>
      <c r="YF104" s="267"/>
      <c r="YG104" s="267"/>
      <c r="YH104" s="267"/>
      <c r="YI104" s="267"/>
      <c r="YJ104" s="267"/>
      <c r="YK104" s="267"/>
      <c r="YL104" s="267"/>
      <c r="YM104" s="267"/>
      <c r="YN104" s="267"/>
      <c r="YO104" s="267"/>
      <c r="YP104" s="267"/>
      <c r="YQ104" s="267"/>
      <c r="YR104" s="267"/>
      <c r="YS104" s="267"/>
      <c r="YT104" s="267"/>
      <c r="YU104" s="267"/>
      <c r="YV104" s="267"/>
      <c r="YW104" s="267"/>
      <c r="YX104" s="267"/>
      <c r="YY104" s="267"/>
      <c r="YZ104" s="267"/>
      <c r="ZA104" s="267"/>
      <c r="ZB104" s="267"/>
      <c r="ZC104" s="267"/>
      <c r="ZD104" s="267"/>
      <c r="ZE104" s="267"/>
      <c r="ZF104" s="267"/>
      <c r="ZG104" s="267"/>
      <c r="ZH104" s="267"/>
      <c r="ZI104" s="267"/>
      <c r="ZJ104" s="267"/>
      <c r="ZK104" s="267"/>
      <c r="ZL104" s="267"/>
      <c r="ZM104" s="267"/>
      <c r="ZN104" s="267"/>
      <c r="ZO104" s="267"/>
      <c r="ZP104" s="267"/>
      <c r="ZQ104" s="267"/>
      <c r="ZR104" s="267"/>
      <c r="ZS104" s="267"/>
      <c r="ZT104" s="267"/>
      <c r="ZU104" s="267"/>
      <c r="ZV104" s="267"/>
      <c r="ZW104" s="267"/>
      <c r="ZX104" s="267"/>
      <c r="ZY104" s="267"/>
      <c r="ZZ104" s="267"/>
      <c r="AAA104" s="267"/>
      <c r="AAB104" s="267"/>
      <c r="AAC104" s="267"/>
      <c r="AAD104" s="267"/>
      <c r="AAE104" s="267"/>
      <c r="AAF104" s="267"/>
      <c r="AAG104" s="267"/>
      <c r="AAH104" s="267"/>
      <c r="AAI104" s="267"/>
      <c r="AAJ104" s="267"/>
      <c r="AAK104" s="267"/>
      <c r="AAL104" s="267"/>
      <c r="AAM104" s="267"/>
      <c r="AAN104" s="267"/>
      <c r="AAO104" s="267"/>
      <c r="AAP104" s="267"/>
      <c r="AAQ104" s="267"/>
      <c r="AAR104" s="267"/>
      <c r="AAS104" s="267"/>
      <c r="AAT104" s="267"/>
      <c r="AAU104" s="267"/>
      <c r="AAV104" s="267"/>
      <c r="AAW104" s="267"/>
      <c r="AAX104" s="267"/>
      <c r="AAY104" s="267"/>
      <c r="AAZ104" s="267"/>
      <c r="ABA104" s="267"/>
      <c r="ABB104" s="267"/>
      <c r="ABC104" s="267"/>
      <c r="ABD104" s="267"/>
      <c r="ABE104" s="267"/>
      <c r="ABF104" s="267"/>
      <c r="ABG104" s="267"/>
      <c r="ABH104" s="267"/>
      <c r="ABI104" s="267"/>
      <c r="ABJ104" s="267"/>
      <c r="ABK104" s="267"/>
      <c r="ABL104" s="267"/>
      <c r="ABM104" s="267"/>
      <c r="ABN104" s="267"/>
      <c r="ABO104" s="267"/>
      <c r="ABP104" s="267"/>
      <c r="ABQ104" s="267"/>
      <c r="ABR104" s="267"/>
      <c r="ABS104" s="267"/>
      <c r="ABT104" s="267"/>
      <c r="ABU104" s="267"/>
      <c r="ABV104" s="267"/>
      <c r="ABW104" s="267"/>
      <c r="ABX104" s="267"/>
      <c r="ABY104" s="267"/>
      <c r="ABZ104" s="267"/>
      <c r="ACA104" s="267"/>
      <c r="ACB104" s="267"/>
      <c r="ACC104" s="267"/>
      <c r="ACD104" s="267"/>
      <c r="ACE104" s="267"/>
      <c r="ACF104" s="267"/>
      <c r="ACG104" s="267"/>
      <c r="ACH104" s="267"/>
      <c r="ACI104" s="267"/>
      <c r="ACJ104" s="267"/>
      <c r="ACK104" s="267"/>
      <c r="ACL104" s="267"/>
      <c r="ACM104" s="267"/>
      <c r="ACN104" s="267"/>
      <c r="ACO104" s="267"/>
      <c r="ACP104" s="267"/>
      <c r="ACQ104" s="267"/>
      <c r="ACR104" s="267"/>
      <c r="ACS104" s="267"/>
      <c r="ACT104" s="267"/>
      <c r="ACU104" s="267"/>
      <c r="ACV104" s="267"/>
      <c r="ACW104" s="267"/>
      <c r="ACX104" s="267"/>
      <c r="ACY104" s="267"/>
      <c r="ACZ104" s="267"/>
      <c r="ADA104" s="267"/>
      <c r="ADB104" s="267"/>
      <c r="ADC104" s="267"/>
      <c r="ADD104" s="267"/>
      <c r="ADE104" s="267"/>
      <c r="ADF104" s="267"/>
      <c r="ADG104" s="267"/>
      <c r="ADH104" s="267"/>
      <c r="ADI104" s="267"/>
      <c r="ADJ104" s="267"/>
      <c r="ADK104" s="267"/>
      <c r="ADL104" s="267"/>
      <c r="ADM104" s="267"/>
      <c r="ADN104" s="267"/>
      <c r="ADO104" s="267"/>
      <c r="ADP104" s="267"/>
      <c r="ADQ104" s="267"/>
      <c r="ADR104" s="267"/>
      <c r="ADS104" s="267"/>
      <c r="ADT104" s="267"/>
      <c r="ADU104" s="267"/>
      <c r="ADV104" s="267"/>
      <c r="ADW104" s="267"/>
      <c r="ADX104" s="267"/>
      <c r="ADY104" s="267"/>
      <c r="ADZ104" s="267"/>
      <c r="AEA104" s="267"/>
      <c r="AEB104" s="267"/>
      <c r="AEC104" s="267"/>
      <c r="AED104" s="267"/>
      <c r="AEE104" s="267"/>
      <c r="AEF104" s="267"/>
      <c r="AEG104" s="267"/>
      <c r="AEH104" s="267"/>
      <c r="AEI104" s="267"/>
      <c r="AEJ104" s="267"/>
      <c r="AEK104" s="267"/>
      <c r="AEL104" s="267"/>
      <c r="AEM104" s="267"/>
      <c r="AEN104" s="267"/>
      <c r="AEO104" s="267"/>
      <c r="AEP104" s="267"/>
      <c r="AEQ104" s="267"/>
      <c r="AER104" s="267"/>
      <c r="AES104" s="267"/>
      <c r="AET104" s="267"/>
      <c r="AEU104" s="267"/>
      <c r="AEV104" s="267"/>
      <c r="AEW104" s="267"/>
      <c r="AEX104" s="267"/>
      <c r="AEY104" s="267"/>
      <c r="AEZ104" s="267"/>
      <c r="AFA104" s="267"/>
      <c r="AFB104" s="267"/>
      <c r="AFC104" s="267"/>
      <c r="AFD104" s="267"/>
      <c r="AFE104" s="267"/>
      <c r="AFF104" s="267"/>
      <c r="AFG104" s="267"/>
      <c r="AFH104" s="267"/>
      <c r="AFI104" s="267"/>
      <c r="AFJ104" s="267"/>
      <c r="AFK104" s="267"/>
      <c r="AFL104" s="267"/>
      <c r="AFM104" s="267"/>
      <c r="AFN104" s="267"/>
      <c r="AFO104" s="267"/>
      <c r="AFP104" s="267"/>
      <c r="AFQ104" s="267"/>
      <c r="AFR104" s="267"/>
      <c r="AFS104" s="267"/>
      <c r="AFT104" s="267"/>
      <c r="AFU104" s="267"/>
      <c r="AFV104" s="267"/>
      <c r="AFW104" s="267"/>
      <c r="AFX104" s="267"/>
      <c r="AFY104" s="267"/>
      <c r="AFZ104" s="267"/>
      <c r="AGA104" s="267"/>
      <c r="AGB104" s="267"/>
      <c r="AGC104" s="267"/>
      <c r="AGD104" s="267"/>
      <c r="AGE104" s="267"/>
      <c r="AGF104" s="267"/>
      <c r="AGG104" s="267"/>
      <c r="AGH104" s="267"/>
      <c r="AGI104" s="267"/>
      <c r="AGJ104" s="267"/>
      <c r="AGK104" s="267"/>
      <c r="AGL104" s="267"/>
      <c r="AGM104" s="267"/>
      <c r="AGN104" s="267"/>
      <c r="AGO104" s="267"/>
      <c r="AGP104" s="267"/>
      <c r="AGQ104" s="267"/>
      <c r="AGR104" s="267"/>
      <c r="AGS104" s="267"/>
      <c r="AGT104" s="267"/>
      <c r="AGU104" s="267"/>
      <c r="AGV104" s="267"/>
      <c r="AGW104" s="267"/>
      <c r="AGX104" s="267"/>
      <c r="AGY104" s="267"/>
      <c r="AGZ104" s="267"/>
      <c r="AHA104" s="267"/>
      <c r="AHB104" s="267"/>
      <c r="AHC104" s="267"/>
      <c r="AHD104" s="267"/>
      <c r="AHE104" s="267"/>
      <c r="AHF104" s="267"/>
      <c r="AHG104" s="267"/>
      <c r="AHH104" s="267"/>
      <c r="AHI104" s="267"/>
      <c r="AHJ104" s="267"/>
      <c r="AHK104" s="267"/>
      <c r="AHL104" s="267"/>
      <c r="AHM104" s="267"/>
      <c r="AHN104" s="267"/>
      <c r="AHO104" s="267"/>
      <c r="AHP104" s="267"/>
      <c r="AHQ104" s="267"/>
      <c r="AHR104" s="267"/>
      <c r="AHS104" s="267"/>
      <c r="AHT104" s="267"/>
      <c r="AHU104" s="267"/>
      <c r="AHV104" s="267"/>
      <c r="AHW104" s="267"/>
      <c r="AHX104" s="267"/>
      <c r="AHY104" s="267"/>
      <c r="AHZ104" s="267"/>
      <c r="AIA104" s="267"/>
      <c r="AIB104" s="267"/>
      <c r="AIC104" s="267"/>
      <c r="AID104" s="267"/>
      <c r="AIE104" s="267"/>
      <c r="AIF104" s="267"/>
      <c r="AIG104" s="267"/>
      <c r="AIH104" s="267"/>
      <c r="AII104" s="267"/>
      <c r="AIJ104" s="267"/>
      <c r="AIK104" s="267"/>
      <c r="AIL104" s="267"/>
      <c r="AIM104" s="267"/>
      <c r="AIN104" s="267"/>
      <c r="AIO104" s="267"/>
      <c r="AIP104" s="267"/>
      <c r="AIQ104" s="267"/>
      <c r="AIR104" s="267"/>
      <c r="AIS104" s="267"/>
      <c r="AIT104" s="267"/>
      <c r="AIU104" s="267"/>
      <c r="AIV104" s="267"/>
      <c r="AIW104" s="267"/>
      <c r="AIX104" s="267"/>
      <c r="AIY104" s="267"/>
      <c r="AIZ104" s="267"/>
      <c r="AJA104" s="267"/>
      <c r="AJB104" s="267"/>
      <c r="AJC104" s="267"/>
      <c r="AJD104" s="267"/>
      <c r="AJE104" s="267"/>
      <c r="AJF104" s="267"/>
      <c r="AJG104" s="267"/>
      <c r="AJH104" s="267"/>
      <c r="AJI104" s="267"/>
      <c r="AJJ104" s="267"/>
      <c r="AJK104" s="267"/>
      <c r="AJL104" s="267"/>
      <c r="AJM104" s="267"/>
      <c r="AJN104" s="267"/>
      <c r="AJO104" s="267"/>
      <c r="AJP104" s="267"/>
      <c r="AJQ104" s="267"/>
      <c r="AJR104" s="267"/>
      <c r="AJS104" s="267"/>
      <c r="AJT104" s="267"/>
      <c r="AJU104" s="267"/>
      <c r="AJV104" s="267"/>
      <c r="AJW104" s="267"/>
      <c r="AJX104" s="267"/>
      <c r="AJY104" s="267"/>
      <c r="AJZ104" s="267"/>
      <c r="AKA104" s="267"/>
      <c r="AKB104" s="267"/>
      <c r="AKC104" s="267"/>
      <c r="AKD104" s="267"/>
      <c r="AKE104" s="267"/>
      <c r="AKF104" s="267"/>
      <c r="AKG104" s="267"/>
      <c r="AKH104" s="267"/>
      <c r="AKI104" s="267"/>
      <c r="AKJ104" s="267"/>
      <c r="AKK104" s="267"/>
      <c r="AKL104" s="267"/>
      <c r="AKM104" s="267"/>
      <c r="AKN104" s="267"/>
      <c r="AKO104" s="267"/>
      <c r="AKP104" s="267"/>
      <c r="AKQ104" s="267"/>
      <c r="AKR104" s="267"/>
      <c r="AKS104" s="267"/>
      <c r="AKT104" s="267"/>
      <c r="AKU104" s="267"/>
      <c r="AKV104" s="267"/>
      <c r="AKW104" s="267"/>
      <c r="AKX104" s="267"/>
      <c r="AKY104" s="267"/>
      <c r="AKZ104" s="267"/>
      <c r="ALA104" s="267"/>
      <c r="ALB104" s="267"/>
      <c r="ALC104" s="267"/>
      <c r="ALD104" s="267"/>
      <c r="ALE104" s="267"/>
      <c r="ALF104" s="267"/>
      <c r="ALG104" s="267"/>
      <c r="ALH104" s="267"/>
      <c r="ALI104" s="267"/>
      <c r="ALJ104" s="267"/>
      <c r="ALK104" s="267"/>
      <c r="ALL104" s="267"/>
      <c r="ALM104" s="267"/>
      <c r="ALN104" s="267"/>
      <c r="ALO104" s="267"/>
      <c r="ALP104" s="267"/>
      <c r="ALQ104" s="267"/>
      <c r="ALR104" s="267"/>
      <c r="ALS104" s="267"/>
      <c r="ALT104" s="267"/>
      <c r="ALU104" s="267"/>
      <c r="ALV104" s="267"/>
      <c r="ALW104" s="267"/>
      <c r="ALX104" s="267"/>
      <c r="ALY104" s="267"/>
      <c r="ALZ104" s="267"/>
      <c r="AMA104" s="267"/>
      <c r="AMB104" s="267"/>
      <c r="AMC104" s="267"/>
      <c r="AMD104" s="267"/>
      <c r="AME104" s="267"/>
      <c r="AMF104" s="267"/>
      <c r="AMG104" s="267"/>
      <c r="AMH104" s="267"/>
      <c r="AMI104" s="267"/>
      <c r="AMJ104" s="267"/>
      <c r="AMK104" s="267"/>
      <c r="AML104" s="267"/>
      <c r="AMM104" s="267"/>
      <c r="AMN104" s="267"/>
      <c r="AMO104" s="267"/>
      <c r="AMP104" s="267"/>
      <c r="AMQ104" s="267"/>
      <c r="AMR104" s="267"/>
      <c r="AMS104" s="267"/>
      <c r="AMT104" s="267"/>
      <c r="AMU104" s="267"/>
      <c r="AMV104" s="267"/>
      <c r="AMW104" s="267"/>
      <c r="AMX104" s="267"/>
      <c r="AMY104" s="267"/>
      <c r="AMZ104" s="267"/>
      <c r="ANA104" s="267"/>
      <c r="ANB104" s="267"/>
      <c r="ANC104" s="267"/>
      <c r="AND104" s="267"/>
      <c r="ANE104" s="267"/>
      <c r="ANF104" s="267"/>
      <c r="ANG104" s="267"/>
      <c r="ANH104" s="267"/>
      <c r="ANI104" s="267"/>
      <c r="ANJ104" s="267"/>
      <c r="ANK104" s="267"/>
      <c r="ANL104" s="267"/>
      <c r="ANM104" s="267"/>
      <c r="ANN104" s="267"/>
      <c r="ANO104" s="267"/>
      <c r="ANP104" s="267"/>
      <c r="ANQ104" s="267"/>
      <c r="ANR104" s="267"/>
      <c r="ANS104" s="267"/>
      <c r="ANT104" s="267"/>
      <c r="ANU104" s="267"/>
      <c r="ANV104" s="267"/>
      <c r="ANW104" s="267"/>
      <c r="ANX104" s="267"/>
      <c r="ANY104" s="267"/>
      <c r="ANZ104" s="267"/>
      <c r="AOA104" s="267"/>
      <c r="AOB104" s="267"/>
      <c r="AOC104" s="267"/>
      <c r="AOD104" s="267"/>
      <c r="AOE104" s="267"/>
      <c r="AOF104" s="267"/>
      <c r="AOG104" s="267"/>
      <c r="AOH104" s="267"/>
      <c r="AOI104" s="267"/>
      <c r="AOJ104" s="267"/>
      <c r="AOK104" s="267"/>
      <c r="AOL104" s="267"/>
      <c r="AOM104" s="267"/>
      <c r="AON104" s="267"/>
      <c r="AOO104" s="267"/>
      <c r="AOP104" s="267"/>
      <c r="AOQ104" s="267"/>
      <c r="AOR104" s="267"/>
      <c r="AOS104" s="267"/>
      <c r="AOT104" s="267"/>
      <c r="AOU104" s="267"/>
      <c r="AOV104" s="267"/>
      <c r="AOW104" s="267"/>
      <c r="AOX104" s="267"/>
      <c r="AOY104" s="267"/>
      <c r="AOZ104" s="267"/>
      <c r="APA104" s="267"/>
      <c r="APB104" s="267"/>
      <c r="APC104" s="267"/>
      <c r="APD104" s="267"/>
      <c r="APE104" s="267"/>
      <c r="APF104" s="267"/>
      <c r="APG104" s="267"/>
      <c r="APH104" s="267"/>
      <c r="API104" s="267"/>
      <c r="APJ104" s="267"/>
      <c r="APK104" s="267"/>
      <c r="APL104" s="267"/>
      <c r="APM104" s="267"/>
      <c r="APN104" s="267"/>
      <c r="APO104" s="267"/>
      <c r="APP104" s="267"/>
      <c r="APQ104" s="267"/>
      <c r="APR104" s="267"/>
      <c r="APS104" s="267"/>
      <c r="APT104" s="267"/>
      <c r="APU104" s="267"/>
      <c r="APV104" s="267"/>
      <c r="APW104" s="267"/>
      <c r="APX104" s="267"/>
      <c r="APY104" s="267"/>
      <c r="APZ104" s="267"/>
      <c r="AQA104" s="267"/>
      <c r="AQB104" s="267"/>
      <c r="AQC104" s="267"/>
      <c r="AQD104" s="267"/>
      <c r="AQE104" s="267"/>
      <c r="AQF104" s="267"/>
      <c r="AQG104" s="267"/>
      <c r="AQH104" s="267"/>
      <c r="AQI104" s="267"/>
      <c r="AQJ104" s="267"/>
      <c r="AQK104" s="267"/>
      <c r="AQL104" s="267"/>
      <c r="AQM104" s="267"/>
      <c r="AQN104" s="267"/>
      <c r="AQO104" s="267"/>
      <c r="AQP104" s="267"/>
      <c r="AQQ104" s="267"/>
      <c r="AQR104" s="267"/>
      <c r="AQS104" s="267"/>
      <c r="AQT104" s="267"/>
      <c r="AQU104" s="267"/>
      <c r="AQV104" s="267"/>
      <c r="AQW104" s="267"/>
      <c r="AQX104" s="267"/>
      <c r="AQY104" s="267"/>
      <c r="AQZ104" s="267"/>
      <c r="ARA104" s="267"/>
      <c r="ARB104" s="267"/>
      <c r="ARC104" s="267"/>
      <c r="ARD104" s="267"/>
      <c r="ARE104" s="267"/>
      <c r="ARF104" s="267"/>
      <c r="ARG104" s="267"/>
      <c r="ARH104" s="267"/>
      <c r="ARI104" s="267"/>
      <c r="ARJ104" s="267"/>
      <c r="ARK104" s="267"/>
      <c r="ARL104" s="267"/>
      <c r="ARM104" s="267"/>
      <c r="ARN104" s="267"/>
      <c r="ARO104" s="267"/>
      <c r="ARP104" s="267"/>
      <c r="ARQ104" s="267"/>
      <c r="ARR104" s="267"/>
      <c r="ARS104" s="267"/>
      <c r="ART104" s="267"/>
      <c r="ARU104" s="267"/>
      <c r="ARV104" s="267"/>
      <c r="ARW104" s="267"/>
      <c r="ARX104" s="267"/>
      <c r="ARY104" s="267"/>
      <c r="ARZ104" s="267"/>
      <c r="ASA104" s="267"/>
      <c r="ASB104" s="267"/>
      <c r="ASC104" s="267"/>
      <c r="ASD104" s="267"/>
      <c r="ASE104" s="267"/>
      <c r="ASF104" s="267"/>
      <c r="ASG104" s="267"/>
      <c r="ASH104" s="267"/>
      <c r="ASI104" s="267"/>
      <c r="ASJ104" s="267"/>
      <c r="ASK104" s="267"/>
      <c r="ASL104" s="267"/>
      <c r="ASM104" s="267"/>
      <c r="ASN104" s="267"/>
      <c r="ASO104" s="267"/>
      <c r="ASP104" s="267"/>
      <c r="ASQ104" s="267"/>
      <c r="ASR104" s="267"/>
      <c r="ASS104" s="267"/>
      <c r="AST104" s="267"/>
      <c r="ASU104" s="267"/>
      <c r="ASV104" s="267"/>
      <c r="ASW104" s="267"/>
      <c r="ASX104" s="267"/>
      <c r="ASY104" s="267"/>
      <c r="ASZ104" s="267"/>
      <c r="ATA104" s="267"/>
      <c r="ATB104" s="267"/>
      <c r="ATC104" s="267"/>
      <c r="ATD104" s="267"/>
      <c r="ATE104" s="267"/>
      <c r="ATF104" s="267"/>
      <c r="ATG104" s="267"/>
      <c r="ATH104" s="267"/>
      <c r="ATI104" s="267"/>
      <c r="ATJ104" s="267"/>
      <c r="ATK104" s="267"/>
      <c r="ATL104" s="267"/>
      <c r="ATM104" s="267"/>
      <c r="ATN104" s="267"/>
      <c r="ATO104" s="267"/>
      <c r="ATP104" s="267"/>
      <c r="ATQ104" s="267"/>
      <c r="ATR104" s="267"/>
      <c r="ATS104" s="267"/>
      <c r="ATT104" s="267"/>
      <c r="ATU104" s="267"/>
      <c r="ATV104" s="267"/>
      <c r="ATW104" s="267"/>
      <c r="ATX104" s="267"/>
      <c r="ATY104" s="267"/>
      <c r="ATZ104" s="267"/>
      <c r="AUA104" s="267"/>
      <c r="AUB104" s="267"/>
      <c r="AUC104" s="267"/>
      <c r="AUD104" s="267"/>
      <c r="AUE104" s="267"/>
      <c r="AUF104" s="267"/>
      <c r="AUG104" s="267"/>
      <c r="AUH104" s="267"/>
      <c r="AUI104" s="267"/>
      <c r="AUJ104" s="267"/>
      <c r="AUK104" s="267"/>
      <c r="AUL104" s="267"/>
      <c r="AUM104" s="267"/>
      <c r="AUN104" s="267"/>
      <c r="AUO104" s="267"/>
      <c r="AUP104" s="267"/>
      <c r="AUQ104" s="267"/>
      <c r="AUR104" s="267"/>
      <c r="AUS104" s="267"/>
      <c r="AUT104" s="267"/>
      <c r="AUU104" s="267"/>
      <c r="AUV104" s="267"/>
      <c r="AUW104" s="267"/>
      <c r="AUX104" s="267"/>
      <c r="AUY104" s="267"/>
      <c r="AUZ104" s="267"/>
      <c r="AVA104" s="267"/>
      <c r="AVB104" s="267"/>
      <c r="AVC104" s="267"/>
      <c r="AVD104" s="267"/>
      <c r="AVE104" s="267"/>
      <c r="AVF104" s="267"/>
      <c r="AVG104" s="267"/>
      <c r="AVH104" s="267"/>
      <c r="AVI104" s="267"/>
      <c r="AVJ104" s="267"/>
      <c r="AVK104" s="267"/>
      <c r="AVL104" s="267"/>
      <c r="AVM104" s="267"/>
      <c r="AVN104" s="267"/>
      <c r="AVO104" s="267"/>
      <c r="AVP104" s="267"/>
      <c r="AVQ104" s="267"/>
      <c r="AVR104" s="267"/>
      <c r="AVS104" s="267"/>
      <c r="AVT104" s="267"/>
      <c r="AVU104" s="267"/>
      <c r="AVV104" s="267"/>
      <c r="AVW104" s="267"/>
      <c r="AVX104" s="267"/>
      <c r="AVY104" s="267"/>
      <c r="AVZ104" s="267"/>
      <c r="AWA104" s="267"/>
      <c r="AWB104" s="267"/>
      <c r="AWC104" s="267"/>
      <c r="AWD104" s="267"/>
      <c r="AWE104" s="267"/>
      <c r="AWF104" s="267"/>
      <c r="AWG104" s="267"/>
      <c r="AWH104" s="267"/>
      <c r="AWI104" s="267"/>
      <c r="AWJ104" s="267"/>
      <c r="AWK104" s="267"/>
      <c r="AWL104" s="267"/>
      <c r="AWM104" s="267"/>
      <c r="AWN104" s="267"/>
      <c r="AWO104" s="267"/>
      <c r="AWP104" s="267"/>
      <c r="AWQ104" s="267"/>
      <c r="AWR104" s="267"/>
      <c r="AWS104" s="267"/>
      <c r="AWT104" s="267"/>
      <c r="AWU104" s="267"/>
      <c r="AWV104" s="267"/>
      <c r="AWW104" s="267"/>
      <c r="AWX104" s="267"/>
      <c r="AWY104" s="267"/>
      <c r="AWZ104" s="267"/>
      <c r="AXA104" s="267"/>
      <c r="AXB104" s="267"/>
      <c r="AXC104" s="267"/>
      <c r="AXD104" s="267"/>
      <c r="AXE104" s="267"/>
      <c r="AXF104" s="267"/>
      <c r="AXG104" s="267"/>
      <c r="AXH104" s="267"/>
      <c r="AXI104" s="267"/>
      <c r="AXJ104" s="267"/>
      <c r="AXK104" s="267"/>
      <c r="AXL104" s="267"/>
      <c r="AXM104" s="267"/>
      <c r="AXN104" s="267"/>
      <c r="AXO104" s="267"/>
      <c r="AXP104" s="267"/>
      <c r="AXQ104" s="267"/>
      <c r="AXR104" s="267"/>
      <c r="AXS104" s="267"/>
      <c r="AXT104" s="267"/>
      <c r="AXU104" s="267"/>
      <c r="AXV104" s="267"/>
      <c r="AXW104" s="267"/>
      <c r="AXX104" s="267"/>
      <c r="AXY104" s="267"/>
      <c r="AXZ104" s="267"/>
      <c r="AYA104" s="267"/>
      <c r="AYB104" s="267"/>
      <c r="AYC104" s="267"/>
      <c r="AYD104" s="267"/>
      <c r="AYE104" s="267"/>
      <c r="AYF104" s="267"/>
      <c r="AYG104" s="267"/>
      <c r="AYH104" s="267"/>
      <c r="AYI104" s="267"/>
      <c r="AYJ104" s="267"/>
      <c r="AYK104" s="267"/>
      <c r="AYL104" s="267"/>
      <c r="AYM104" s="267"/>
      <c r="AYN104" s="267"/>
      <c r="AYO104" s="267"/>
      <c r="AYP104" s="267"/>
      <c r="AYQ104" s="267"/>
      <c r="AYR104" s="267"/>
      <c r="AYS104" s="267"/>
      <c r="AYT104" s="267"/>
      <c r="AYU104" s="267"/>
      <c r="AYV104" s="267"/>
      <c r="AYW104" s="267"/>
      <c r="AYX104" s="267"/>
      <c r="AYY104" s="267"/>
      <c r="AYZ104" s="267"/>
      <c r="AZA104" s="267"/>
      <c r="AZB104" s="267"/>
      <c r="AZC104" s="267"/>
      <c r="AZD104" s="267"/>
      <c r="AZE104" s="267"/>
      <c r="AZF104" s="267"/>
      <c r="AZG104" s="267"/>
      <c r="AZH104" s="267"/>
      <c r="AZI104" s="267"/>
      <c r="AZJ104" s="267"/>
      <c r="AZK104" s="267"/>
      <c r="AZL104" s="267"/>
      <c r="AZM104" s="267"/>
      <c r="AZN104" s="267"/>
      <c r="AZO104" s="267"/>
      <c r="AZP104" s="267"/>
      <c r="AZQ104" s="267"/>
      <c r="AZR104" s="267"/>
      <c r="AZS104" s="267"/>
      <c r="AZT104" s="267"/>
      <c r="AZU104" s="267"/>
      <c r="AZV104" s="267"/>
      <c r="AZW104" s="267"/>
      <c r="AZX104" s="267"/>
      <c r="AZY104" s="267"/>
      <c r="AZZ104" s="267"/>
      <c r="BAA104" s="267"/>
      <c r="BAB104" s="267"/>
      <c r="BAC104" s="267"/>
      <c r="BAD104" s="267"/>
      <c r="BAE104" s="267"/>
      <c r="BAF104" s="267"/>
      <c r="BAG104" s="267"/>
      <c r="BAH104" s="267"/>
      <c r="BAI104" s="267"/>
      <c r="BAJ104" s="267"/>
      <c r="BAK104" s="267"/>
      <c r="BAL104" s="267"/>
      <c r="BAM104" s="267"/>
      <c r="BAN104" s="267"/>
      <c r="BAO104" s="267"/>
      <c r="BAP104" s="267"/>
      <c r="BAQ104" s="267"/>
      <c r="BAR104" s="267"/>
      <c r="BAS104" s="267"/>
      <c r="BAT104" s="267"/>
      <c r="BAU104" s="267"/>
      <c r="BAV104" s="267"/>
      <c r="BAW104" s="267"/>
      <c r="BAX104" s="267"/>
      <c r="BAY104" s="267"/>
      <c r="BAZ104" s="267"/>
      <c r="BBA104" s="267"/>
      <c r="BBB104" s="267"/>
      <c r="BBC104" s="267"/>
      <c r="BBD104" s="267"/>
      <c r="BBE104" s="267"/>
      <c r="BBF104" s="267"/>
      <c r="BBG104" s="267"/>
      <c r="BBH104" s="267"/>
      <c r="BBI104" s="267"/>
      <c r="BBJ104" s="267"/>
      <c r="BBK104" s="267"/>
      <c r="BBL104" s="267"/>
      <c r="BBM104" s="267"/>
      <c r="BBN104" s="267"/>
      <c r="BBO104" s="267"/>
      <c r="BBP104" s="267"/>
      <c r="BBQ104" s="267"/>
      <c r="BBR104" s="267"/>
      <c r="BBS104" s="267"/>
      <c r="BBT104" s="267"/>
      <c r="BBU104" s="267"/>
      <c r="BBV104" s="267"/>
      <c r="BBW104" s="267"/>
      <c r="BBX104" s="267"/>
      <c r="BBY104" s="267"/>
      <c r="BBZ104" s="267"/>
      <c r="BCA104" s="267"/>
      <c r="BCB104" s="267"/>
      <c r="BCC104" s="267"/>
      <c r="BCD104" s="267"/>
      <c r="BCE104" s="267"/>
      <c r="BCF104" s="267"/>
      <c r="BCG104" s="267"/>
      <c r="BCH104" s="267"/>
      <c r="BCI104" s="267"/>
      <c r="BCJ104" s="267"/>
      <c r="BCK104" s="267"/>
      <c r="BCL104" s="267"/>
      <c r="BCM104" s="267"/>
      <c r="BCN104" s="267"/>
      <c r="BCO104" s="267"/>
      <c r="BCP104" s="267"/>
      <c r="BCQ104" s="267"/>
      <c r="BCR104" s="267"/>
      <c r="BCS104" s="267"/>
      <c r="BCT104" s="267"/>
      <c r="BCU104" s="267"/>
      <c r="BCV104" s="267"/>
      <c r="BCW104" s="267"/>
      <c r="BCX104" s="267"/>
      <c r="BCY104" s="267"/>
      <c r="BCZ104" s="267"/>
      <c r="BDA104" s="267"/>
      <c r="BDB104" s="267"/>
      <c r="BDC104" s="267"/>
      <c r="BDD104" s="267"/>
      <c r="BDE104" s="267"/>
      <c r="BDF104" s="267"/>
      <c r="BDG104" s="267"/>
      <c r="BDH104" s="267"/>
      <c r="BDI104" s="267"/>
      <c r="BDJ104" s="267"/>
      <c r="BDK104" s="267"/>
      <c r="BDL104" s="267"/>
      <c r="BDM104" s="267"/>
      <c r="BDN104" s="267"/>
      <c r="BDO104" s="267"/>
      <c r="BDP104" s="267"/>
      <c r="BDQ104" s="267"/>
      <c r="BDR104" s="267"/>
      <c r="BDS104" s="267"/>
      <c r="BDT104" s="267"/>
      <c r="BDU104" s="267"/>
      <c r="BDV104" s="267"/>
      <c r="BDW104" s="267"/>
      <c r="BDX104" s="267"/>
      <c r="BDY104" s="267"/>
      <c r="BDZ104" s="267"/>
      <c r="BEA104" s="267"/>
      <c r="BEB104" s="267"/>
      <c r="BEC104" s="267"/>
      <c r="BED104" s="267"/>
      <c r="BEE104" s="267"/>
      <c r="BEF104" s="267"/>
      <c r="BEG104" s="267"/>
      <c r="BEH104" s="267"/>
      <c r="BEI104" s="267"/>
      <c r="BEJ104" s="267"/>
      <c r="BEK104" s="267"/>
      <c r="BEL104" s="267"/>
      <c r="BEM104" s="267"/>
      <c r="BEN104" s="267"/>
      <c r="BEO104" s="267"/>
      <c r="BEP104" s="267"/>
      <c r="BEQ104" s="267"/>
      <c r="BER104" s="267"/>
      <c r="BES104" s="267"/>
      <c r="BET104" s="267"/>
      <c r="BEU104" s="267"/>
      <c r="BEV104" s="267"/>
      <c r="BEW104" s="267"/>
      <c r="BEX104" s="267"/>
      <c r="BEY104" s="267"/>
      <c r="BEZ104" s="267"/>
      <c r="BFA104" s="267"/>
      <c r="BFB104" s="267"/>
      <c r="BFC104" s="267"/>
      <c r="BFD104" s="267"/>
      <c r="BFE104" s="267"/>
      <c r="BFF104" s="267"/>
      <c r="BFG104" s="267"/>
      <c r="BFH104" s="267"/>
      <c r="BFI104" s="267"/>
      <c r="BFJ104" s="267"/>
      <c r="BFK104" s="267"/>
      <c r="BFL104" s="267"/>
      <c r="BFM104" s="267"/>
      <c r="BFN104" s="267"/>
      <c r="BFO104" s="267"/>
      <c r="BFP104" s="267"/>
      <c r="BFQ104" s="267"/>
      <c r="BFR104" s="267"/>
      <c r="BFS104" s="267"/>
      <c r="BFT104" s="267"/>
      <c r="BFU104" s="267"/>
      <c r="BFV104" s="267"/>
      <c r="BFW104" s="267"/>
      <c r="BFX104" s="267"/>
      <c r="BFY104" s="267"/>
      <c r="BFZ104" s="267"/>
      <c r="BGA104" s="267"/>
      <c r="BGB104" s="267"/>
      <c r="BGC104" s="267"/>
      <c r="BGD104" s="267"/>
      <c r="BGE104" s="267"/>
      <c r="BGF104" s="267"/>
      <c r="BGG104" s="267"/>
      <c r="BGH104" s="267"/>
      <c r="BGI104" s="267"/>
      <c r="BGJ104" s="267"/>
      <c r="BGK104" s="267"/>
      <c r="BGL104" s="267"/>
      <c r="BGM104" s="267"/>
      <c r="BGN104" s="267"/>
      <c r="BGO104" s="267"/>
      <c r="BGP104" s="267"/>
      <c r="BGQ104" s="267"/>
      <c r="BGR104" s="267"/>
      <c r="BGS104" s="267"/>
      <c r="BGT104" s="267"/>
      <c r="BGU104" s="267"/>
      <c r="BGV104" s="267"/>
      <c r="BGW104" s="267"/>
      <c r="BGX104" s="267"/>
      <c r="BGY104" s="267"/>
      <c r="BGZ104" s="267"/>
      <c r="BHA104" s="267"/>
      <c r="BHB104" s="267"/>
      <c r="BHC104" s="267"/>
      <c r="BHD104" s="267"/>
      <c r="BHE104" s="267"/>
      <c r="BHF104" s="267"/>
      <c r="BHG104" s="267"/>
      <c r="BHH104" s="267"/>
      <c r="BHI104" s="267"/>
      <c r="BHJ104" s="267"/>
      <c r="BHK104" s="267"/>
      <c r="BHL104" s="267"/>
      <c r="BHM104" s="267"/>
      <c r="BHN104" s="267"/>
      <c r="BHO104" s="267"/>
      <c r="BHP104" s="267"/>
      <c r="BHQ104" s="267"/>
      <c r="BHR104" s="267"/>
      <c r="BHS104" s="267"/>
      <c r="BHT104" s="267"/>
      <c r="BHU104" s="267"/>
      <c r="BHV104" s="267"/>
      <c r="BHW104" s="267"/>
      <c r="BHX104" s="267"/>
      <c r="BHY104" s="267"/>
      <c r="BHZ104" s="267"/>
      <c r="BIA104" s="267"/>
      <c r="BIB104" s="267"/>
      <c r="BIC104" s="267"/>
      <c r="BID104" s="267"/>
      <c r="BIE104" s="267"/>
      <c r="BIF104" s="267"/>
      <c r="BIG104" s="267"/>
      <c r="BIH104" s="267"/>
      <c r="BII104" s="267"/>
      <c r="BIJ104" s="267"/>
      <c r="BIK104" s="267"/>
      <c r="BIL104" s="267"/>
      <c r="BIM104" s="267"/>
      <c r="BIN104" s="267"/>
      <c r="BIO104" s="267"/>
      <c r="BIP104" s="267"/>
      <c r="BIQ104" s="267"/>
      <c r="BIR104" s="267"/>
      <c r="BIS104" s="267"/>
      <c r="BIT104" s="267"/>
      <c r="BIU104" s="267"/>
      <c r="BIV104" s="267"/>
      <c r="BIW104" s="267"/>
      <c r="BIX104" s="267"/>
      <c r="BIY104" s="267"/>
      <c r="BIZ104" s="267"/>
      <c r="BJA104" s="267"/>
      <c r="BJB104" s="267"/>
      <c r="BJC104" s="267"/>
      <c r="BJD104" s="267"/>
      <c r="BJE104" s="267"/>
      <c r="BJF104" s="267"/>
      <c r="BJG104" s="267"/>
      <c r="BJH104" s="267"/>
      <c r="BJI104" s="267"/>
      <c r="BJJ104" s="267"/>
      <c r="BJK104" s="267"/>
      <c r="BJL104" s="267"/>
      <c r="BJM104" s="267"/>
      <c r="BJN104" s="267"/>
      <c r="BJO104" s="267"/>
      <c r="BJP104" s="267"/>
      <c r="BJQ104" s="267"/>
      <c r="BJR104" s="267"/>
      <c r="BJS104" s="267"/>
      <c r="BJT104" s="267"/>
      <c r="BJU104" s="267"/>
      <c r="BJV104" s="267"/>
      <c r="BJW104" s="267"/>
      <c r="BJX104" s="267"/>
      <c r="BJY104" s="267"/>
      <c r="BJZ104" s="267"/>
      <c r="BKA104" s="267"/>
      <c r="BKB104" s="267"/>
      <c r="BKC104" s="267"/>
      <c r="BKD104" s="267"/>
      <c r="BKE104" s="267"/>
      <c r="BKF104" s="267"/>
      <c r="BKG104" s="267"/>
      <c r="BKH104" s="267"/>
      <c r="BKI104" s="267"/>
      <c r="BKJ104" s="267"/>
      <c r="BKK104" s="267"/>
      <c r="BKL104" s="267"/>
      <c r="BKM104" s="267"/>
      <c r="BKN104" s="267"/>
      <c r="BKO104" s="267"/>
      <c r="BKP104" s="267"/>
      <c r="BKQ104" s="267"/>
      <c r="BKR104" s="267"/>
      <c r="BKS104" s="267"/>
      <c r="BKT104" s="267"/>
      <c r="BKU104" s="267"/>
      <c r="BKV104" s="267"/>
      <c r="BKW104" s="267"/>
      <c r="BKX104" s="267"/>
      <c r="BKY104" s="267"/>
      <c r="BKZ104" s="267"/>
      <c r="BLA104" s="267"/>
      <c r="BLB104" s="267"/>
      <c r="BLC104" s="267"/>
      <c r="BLD104" s="267"/>
      <c r="BLE104" s="267"/>
      <c r="BLF104" s="267"/>
      <c r="BLG104" s="267"/>
      <c r="BLH104" s="267"/>
      <c r="BLI104" s="267"/>
      <c r="BLJ104" s="267"/>
      <c r="BLK104" s="267"/>
      <c r="BLL104" s="267"/>
      <c r="BLM104" s="267"/>
      <c r="BLN104" s="267"/>
      <c r="BLO104" s="267"/>
      <c r="BLP104" s="267"/>
      <c r="BLQ104" s="267"/>
      <c r="BLR104" s="267"/>
      <c r="BLS104" s="267"/>
      <c r="BLT104" s="267"/>
      <c r="BLU104" s="267"/>
      <c r="BLV104" s="267"/>
      <c r="BLW104" s="267"/>
      <c r="BLX104" s="267"/>
      <c r="BLY104" s="267"/>
      <c r="BLZ104" s="267"/>
      <c r="BMA104" s="267"/>
      <c r="BMB104" s="267"/>
      <c r="BMC104" s="267"/>
      <c r="BMD104" s="267"/>
      <c r="BME104" s="267"/>
      <c r="BMF104" s="267"/>
      <c r="BMG104" s="267"/>
      <c r="BMH104" s="267"/>
      <c r="BMI104" s="267"/>
      <c r="BMJ104" s="267"/>
      <c r="BMK104" s="267"/>
      <c r="BML104" s="267"/>
      <c r="BMM104" s="267"/>
      <c r="BMN104" s="267"/>
      <c r="BMO104" s="267"/>
      <c r="BMP104" s="267"/>
      <c r="BMQ104" s="267"/>
      <c r="BMR104" s="267"/>
      <c r="BMS104" s="267"/>
      <c r="BMT104" s="267"/>
      <c r="BMU104" s="267"/>
      <c r="BMV104" s="267"/>
      <c r="BMW104" s="267"/>
      <c r="BMX104" s="267"/>
      <c r="BMY104" s="267"/>
      <c r="BMZ104" s="267"/>
      <c r="BNA104" s="267"/>
      <c r="BNB104" s="267"/>
      <c r="BNC104" s="267"/>
      <c r="BND104" s="267"/>
      <c r="BNE104" s="267"/>
      <c r="BNF104" s="267"/>
      <c r="BNG104" s="267"/>
      <c r="BNH104" s="267"/>
      <c r="BNI104" s="267"/>
      <c r="BNJ104" s="267"/>
      <c r="BNK104" s="267"/>
      <c r="BNL104" s="267"/>
      <c r="BNM104" s="267"/>
      <c r="BNN104" s="267"/>
      <c r="BNO104" s="267"/>
      <c r="BNP104" s="267"/>
      <c r="BNQ104" s="267"/>
      <c r="BNR104" s="267"/>
      <c r="BNS104" s="267"/>
      <c r="BNT104" s="267"/>
      <c r="BNU104" s="267"/>
      <c r="BNV104" s="267"/>
      <c r="BNW104" s="267"/>
      <c r="BNX104" s="267"/>
      <c r="BNY104" s="267"/>
      <c r="BNZ104" s="267"/>
      <c r="BOA104" s="267"/>
      <c r="BOB104" s="267"/>
      <c r="BOC104" s="267"/>
      <c r="BOD104" s="267"/>
      <c r="BOE104" s="267"/>
      <c r="BOF104" s="267"/>
      <c r="BOG104" s="267"/>
      <c r="BOH104" s="267"/>
      <c r="BOI104" s="267"/>
      <c r="BOJ104" s="267"/>
      <c r="BOK104" s="267"/>
      <c r="BOL104" s="267"/>
      <c r="BOM104" s="267"/>
      <c r="BON104" s="267"/>
      <c r="BOO104" s="267"/>
      <c r="BOP104" s="267"/>
      <c r="BOQ104" s="267"/>
      <c r="BOR104" s="267"/>
      <c r="BOS104" s="267"/>
      <c r="BOT104" s="267"/>
      <c r="BOU104" s="267"/>
      <c r="BOV104" s="267"/>
      <c r="BOW104" s="267"/>
      <c r="BOX104" s="267"/>
      <c r="BOY104" s="267"/>
      <c r="BOZ104" s="267"/>
      <c r="BPA104" s="267"/>
      <c r="BPB104" s="267"/>
      <c r="BPC104" s="267"/>
      <c r="BPD104" s="267"/>
      <c r="BPE104" s="267"/>
      <c r="BPF104" s="267"/>
      <c r="BPG104" s="267"/>
      <c r="BPH104" s="267"/>
      <c r="BPI104" s="267"/>
      <c r="BPJ104" s="267"/>
      <c r="BPK104" s="267"/>
      <c r="BPL104" s="267"/>
      <c r="BPM104" s="267"/>
      <c r="BPN104" s="267"/>
      <c r="BPO104" s="267"/>
      <c r="BPP104" s="267"/>
      <c r="BPQ104" s="267"/>
      <c r="BPR104" s="267"/>
      <c r="BPS104" s="267"/>
      <c r="BPT104" s="267"/>
      <c r="BPU104" s="267"/>
      <c r="BPV104" s="267"/>
      <c r="BPW104" s="267"/>
      <c r="BPX104" s="267"/>
      <c r="BPY104" s="267"/>
      <c r="BPZ104" s="267"/>
      <c r="BQA104" s="267"/>
      <c r="BQB104" s="267"/>
      <c r="BQC104" s="267"/>
      <c r="BQD104" s="267"/>
      <c r="BQE104" s="267"/>
      <c r="BQF104" s="267"/>
      <c r="BQG104" s="267"/>
      <c r="BQH104" s="267"/>
      <c r="BQI104" s="267"/>
      <c r="BQJ104" s="267"/>
      <c r="BQK104" s="267"/>
      <c r="BQL104" s="267"/>
      <c r="BQM104" s="267"/>
      <c r="BQN104" s="267"/>
      <c r="BQO104" s="267"/>
      <c r="BQP104" s="267"/>
      <c r="BQQ104" s="267"/>
      <c r="BQR104" s="267"/>
      <c r="BQS104" s="267"/>
      <c r="BQT104" s="267"/>
      <c r="BQU104" s="267"/>
      <c r="BQV104" s="267"/>
      <c r="BQW104" s="267"/>
      <c r="BQX104" s="267"/>
      <c r="BQY104" s="267"/>
      <c r="BQZ104" s="267"/>
      <c r="BRA104" s="267"/>
      <c r="BRB104" s="267"/>
      <c r="BRC104" s="267"/>
      <c r="BRD104" s="267"/>
      <c r="BRE104" s="267"/>
      <c r="BRF104" s="267"/>
      <c r="BRG104" s="267"/>
      <c r="BRH104" s="267"/>
      <c r="BRI104" s="267"/>
      <c r="BRJ104" s="267"/>
      <c r="BRK104" s="267"/>
      <c r="BRL104" s="267"/>
      <c r="BRM104" s="267"/>
      <c r="BRN104" s="267"/>
      <c r="BRO104" s="267"/>
      <c r="BRP104" s="267"/>
      <c r="BRQ104" s="267"/>
      <c r="BRR104" s="267"/>
      <c r="BRS104" s="267"/>
      <c r="BRT104" s="267"/>
      <c r="BRU104" s="267"/>
      <c r="BRV104" s="267"/>
      <c r="BRW104" s="267"/>
      <c r="BRX104" s="267"/>
      <c r="BRY104" s="267"/>
      <c r="BRZ104" s="267"/>
      <c r="BSA104" s="267"/>
      <c r="BSB104" s="267"/>
      <c r="BSC104" s="267"/>
      <c r="BSD104" s="267"/>
      <c r="BSE104" s="267"/>
      <c r="BSF104" s="267"/>
      <c r="BSG104" s="267"/>
      <c r="BSH104" s="267"/>
      <c r="BSI104" s="267"/>
      <c r="BSJ104" s="267"/>
      <c r="BSK104" s="267"/>
      <c r="BSL104" s="267"/>
      <c r="BSM104" s="267"/>
      <c r="BSN104" s="267"/>
      <c r="BSO104" s="267"/>
      <c r="BSP104" s="267"/>
      <c r="BSQ104" s="267"/>
      <c r="BSR104" s="267"/>
      <c r="BSS104" s="267"/>
      <c r="BST104" s="267"/>
      <c r="BSU104" s="267"/>
      <c r="BSV104" s="267"/>
      <c r="BSW104" s="267"/>
      <c r="BSX104" s="267"/>
      <c r="BSY104" s="267"/>
      <c r="BSZ104" s="267"/>
      <c r="BTA104" s="267"/>
      <c r="BTB104" s="267"/>
      <c r="BTC104" s="267"/>
      <c r="BTD104" s="267"/>
      <c r="BTE104" s="267"/>
      <c r="BTF104" s="267"/>
      <c r="BTG104" s="267"/>
      <c r="BTH104" s="267"/>
      <c r="BTI104" s="267"/>
      <c r="BTJ104" s="267"/>
      <c r="BTK104" s="267"/>
      <c r="BTL104" s="267"/>
      <c r="BTM104" s="267"/>
      <c r="BTN104" s="267"/>
      <c r="BTO104" s="267"/>
      <c r="BTP104" s="267"/>
      <c r="BTQ104" s="267"/>
      <c r="BTR104" s="267"/>
      <c r="BTS104" s="267"/>
      <c r="BTT104" s="267"/>
      <c r="BTU104" s="267"/>
      <c r="BTV104" s="267"/>
      <c r="BTW104" s="267"/>
      <c r="BTX104" s="267"/>
      <c r="BTY104" s="267"/>
      <c r="BTZ104" s="267"/>
      <c r="BUA104" s="267"/>
      <c r="BUB104" s="267"/>
      <c r="BUC104" s="267"/>
      <c r="BUD104" s="267"/>
      <c r="BUE104" s="267"/>
      <c r="BUF104" s="267"/>
      <c r="BUG104" s="267"/>
      <c r="BUH104" s="267"/>
      <c r="BUI104" s="267"/>
      <c r="BUJ104" s="267"/>
      <c r="BUK104" s="267"/>
      <c r="BUL104" s="267"/>
      <c r="BUM104" s="267"/>
      <c r="BUN104" s="267"/>
      <c r="BUO104" s="267"/>
      <c r="BUP104" s="267"/>
      <c r="BUQ104" s="267"/>
      <c r="BUR104" s="267"/>
      <c r="BUS104" s="267"/>
      <c r="BUT104" s="267"/>
      <c r="BUU104" s="267"/>
      <c r="BUV104" s="267"/>
      <c r="BUW104" s="267"/>
      <c r="BUX104" s="267"/>
      <c r="BUY104" s="267"/>
      <c r="BUZ104" s="267"/>
      <c r="BVA104" s="267"/>
      <c r="BVB104" s="267"/>
      <c r="BVC104" s="267"/>
      <c r="BVD104" s="267"/>
      <c r="BVE104" s="267"/>
      <c r="BVF104" s="267"/>
      <c r="BVG104" s="267"/>
      <c r="BVH104" s="267"/>
      <c r="BVI104" s="267"/>
      <c r="BVJ104" s="267"/>
      <c r="BVK104" s="267"/>
      <c r="BVL104" s="267"/>
      <c r="BVM104" s="267"/>
      <c r="BVN104" s="267"/>
      <c r="BVO104" s="267"/>
      <c r="BVP104" s="267"/>
      <c r="BVQ104" s="267"/>
      <c r="BVR104" s="267"/>
      <c r="BVS104" s="267"/>
      <c r="BVT104" s="267"/>
      <c r="BVU104" s="267"/>
      <c r="BVV104" s="267"/>
      <c r="BVW104" s="267"/>
      <c r="BVX104" s="267"/>
      <c r="BVY104" s="267"/>
      <c r="BVZ104" s="267"/>
      <c r="BWA104" s="267"/>
      <c r="BWB104" s="267"/>
      <c r="BWC104" s="267"/>
      <c r="BWD104" s="267"/>
      <c r="BWE104" s="267"/>
      <c r="BWF104" s="267"/>
      <c r="BWG104" s="267"/>
      <c r="BWH104" s="267"/>
      <c r="BWI104" s="267"/>
      <c r="BWJ104" s="267"/>
      <c r="BWK104" s="267"/>
      <c r="BWL104" s="267"/>
      <c r="BWM104" s="267"/>
      <c r="BWN104" s="267"/>
      <c r="BWO104" s="267"/>
      <c r="BWP104" s="267"/>
      <c r="BWQ104" s="267"/>
      <c r="BWR104" s="267"/>
      <c r="BWS104" s="267"/>
      <c r="BWT104" s="267"/>
      <c r="BWU104" s="267"/>
      <c r="BWV104" s="267"/>
      <c r="BWW104" s="267"/>
      <c r="BWX104" s="267"/>
      <c r="BWY104" s="267"/>
      <c r="BWZ104" s="267"/>
      <c r="BXA104" s="267"/>
      <c r="BXB104" s="267"/>
      <c r="BXC104" s="267"/>
      <c r="BXD104" s="267"/>
      <c r="BXE104" s="267"/>
      <c r="BXF104" s="267"/>
      <c r="BXG104" s="267"/>
      <c r="BXH104" s="267"/>
      <c r="BXI104" s="267"/>
      <c r="BXJ104" s="267"/>
      <c r="BXK104" s="267"/>
      <c r="BXL104" s="267"/>
      <c r="BXM104" s="267"/>
      <c r="BXN104" s="267"/>
      <c r="BXO104" s="267"/>
      <c r="BXP104" s="267"/>
      <c r="BXQ104" s="267"/>
      <c r="BXR104" s="267"/>
      <c r="BXS104" s="267"/>
      <c r="BXT104" s="267"/>
      <c r="BXU104" s="267"/>
      <c r="BXV104" s="267"/>
      <c r="BXW104" s="267"/>
      <c r="BXX104" s="267"/>
      <c r="BXY104" s="267"/>
      <c r="BXZ104" s="267"/>
      <c r="BYA104" s="267"/>
      <c r="BYB104" s="267"/>
      <c r="BYC104" s="267"/>
      <c r="BYD104" s="267"/>
      <c r="BYE104" s="267"/>
      <c r="BYF104" s="267"/>
      <c r="BYG104" s="267"/>
      <c r="BYH104" s="267"/>
      <c r="BYI104" s="267"/>
      <c r="BYJ104" s="267"/>
      <c r="BYK104" s="267"/>
      <c r="BYL104" s="267"/>
      <c r="BYM104" s="267"/>
      <c r="BYN104" s="267"/>
      <c r="BYO104" s="267"/>
      <c r="BYP104" s="267"/>
      <c r="BYQ104" s="267"/>
      <c r="BYR104" s="267"/>
      <c r="BYS104" s="267"/>
      <c r="BYT104" s="267"/>
      <c r="BYU104" s="267"/>
      <c r="BYV104" s="267"/>
      <c r="BYW104" s="267"/>
      <c r="BYX104" s="267"/>
      <c r="BYY104" s="267"/>
      <c r="BYZ104" s="267"/>
      <c r="BZA104" s="267"/>
      <c r="BZB104" s="267"/>
      <c r="BZC104" s="267"/>
      <c r="BZD104" s="267"/>
      <c r="BZE104" s="267"/>
      <c r="BZF104" s="267"/>
      <c r="BZG104" s="267"/>
      <c r="BZH104" s="267"/>
      <c r="BZI104" s="267"/>
      <c r="BZJ104" s="267"/>
      <c r="BZK104" s="267"/>
      <c r="BZL104" s="267"/>
      <c r="BZM104" s="267"/>
      <c r="BZN104" s="267"/>
      <c r="BZO104" s="267"/>
      <c r="BZP104" s="267"/>
      <c r="BZQ104" s="267"/>
      <c r="BZR104" s="267"/>
      <c r="BZS104" s="267"/>
      <c r="BZT104" s="267"/>
      <c r="BZU104" s="267"/>
      <c r="BZV104" s="267"/>
      <c r="BZW104" s="267"/>
      <c r="BZX104" s="267"/>
      <c r="BZY104" s="267"/>
      <c r="BZZ104" s="267"/>
      <c r="CAA104" s="267"/>
      <c r="CAB104" s="267"/>
      <c r="CAC104" s="267"/>
      <c r="CAD104" s="267"/>
      <c r="CAE104" s="267"/>
      <c r="CAF104" s="267"/>
      <c r="CAG104" s="267"/>
      <c r="CAH104" s="267"/>
      <c r="CAI104" s="267"/>
      <c r="CAJ104" s="267"/>
      <c r="CAK104" s="267"/>
      <c r="CAL104" s="267"/>
      <c r="CAM104" s="267"/>
      <c r="CAN104" s="267"/>
      <c r="CAO104" s="267"/>
      <c r="CAP104" s="267"/>
      <c r="CAQ104" s="267"/>
      <c r="CAR104" s="267"/>
      <c r="CAS104" s="267"/>
      <c r="CAT104" s="267"/>
      <c r="CAU104" s="267"/>
      <c r="CAV104" s="267"/>
      <c r="CAW104" s="267"/>
      <c r="CAX104" s="267"/>
      <c r="CAY104" s="267"/>
      <c r="CAZ104" s="267"/>
      <c r="CBA104" s="267"/>
      <c r="CBB104" s="267"/>
      <c r="CBC104" s="267"/>
      <c r="CBD104" s="267"/>
      <c r="CBE104" s="267"/>
      <c r="CBF104" s="267"/>
      <c r="CBG104" s="267"/>
      <c r="CBH104" s="267"/>
      <c r="CBI104" s="267"/>
      <c r="CBJ104" s="267"/>
      <c r="CBK104" s="267"/>
      <c r="CBL104" s="267"/>
      <c r="CBM104" s="267"/>
      <c r="CBN104" s="267"/>
      <c r="CBO104" s="267"/>
      <c r="CBP104" s="267"/>
      <c r="CBQ104" s="267"/>
      <c r="CBR104" s="267"/>
      <c r="CBS104" s="267"/>
      <c r="CBT104" s="267"/>
      <c r="CBU104" s="267"/>
      <c r="CBV104" s="267"/>
      <c r="CBW104" s="267"/>
      <c r="CBX104" s="267"/>
      <c r="CBY104" s="267"/>
      <c r="CBZ104" s="267"/>
      <c r="CCA104" s="267"/>
      <c r="CCB104" s="267"/>
      <c r="CCC104" s="267"/>
      <c r="CCD104" s="267"/>
      <c r="CCE104" s="267"/>
      <c r="CCF104" s="267"/>
      <c r="CCG104" s="267"/>
      <c r="CCH104" s="267"/>
      <c r="CCI104" s="267"/>
      <c r="CCJ104" s="267"/>
      <c r="CCK104" s="267"/>
      <c r="CCL104" s="267"/>
      <c r="CCM104" s="267"/>
      <c r="CCN104" s="267"/>
      <c r="CCO104" s="267"/>
      <c r="CCP104" s="267"/>
      <c r="CCQ104" s="267"/>
      <c r="CCR104" s="267"/>
      <c r="CCS104" s="267"/>
      <c r="CCT104" s="267"/>
      <c r="CCU104" s="267"/>
      <c r="CCV104" s="267"/>
      <c r="CCW104" s="267"/>
      <c r="CCX104" s="267"/>
      <c r="CCY104" s="267"/>
      <c r="CCZ104" s="267"/>
      <c r="CDA104" s="267"/>
      <c r="CDB104" s="267"/>
      <c r="CDC104" s="267"/>
      <c r="CDD104" s="267"/>
      <c r="CDE104" s="267"/>
      <c r="CDF104" s="267"/>
      <c r="CDG104" s="267"/>
      <c r="CDH104" s="267"/>
      <c r="CDI104" s="267"/>
      <c r="CDJ104" s="267"/>
      <c r="CDK104" s="267"/>
      <c r="CDL104" s="267"/>
      <c r="CDM104" s="267"/>
      <c r="CDN104" s="267"/>
      <c r="CDO104" s="267"/>
      <c r="CDP104" s="267"/>
      <c r="CDQ104" s="267"/>
      <c r="CDR104" s="267"/>
      <c r="CDS104" s="267"/>
      <c r="CDT104" s="267"/>
      <c r="CDU104" s="267"/>
      <c r="CDV104" s="267"/>
      <c r="CDW104" s="267"/>
      <c r="CDX104" s="267"/>
      <c r="CDY104" s="267"/>
      <c r="CDZ104" s="267"/>
      <c r="CEA104" s="267"/>
      <c r="CEB104" s="267"/>
      <c r="CEC104" s="267"/>
      <c r="CED104" s="267"/>
      <c r="CEE104" s="267"/>
      <c r="CEF104" s="267"/>
      <c r="CEG104" s="267"/>
      <c r="CEH104" s="267"/>
      <c r="CEI104" s="267"/>
      <c r="CEJ104" s="267"/>
      <c r="CEK104" s="267"/>
      <c r="CEL104" s="267"/>
      <c r="CEM104" s="267"/>
      <c r="CEN104" s="267"/>
      <c r="CEO104" s="267"/>
      <c r="CEP104" s="267"/>
      <c r="CEQ104" s="267"/>
      <c r="CER104" s="267"/>
      <c r="CES104" s="267"/>
      <c r="CET104" s="267"/>
      <c r="CEU104" s="267"/>
      <c r="CEV104" s="267"/>
      <c r="CEW104" s="267"/>
      <c r="CEX104" s="267"/>
      <c r="CEY104" s="267"/>
      <c r="CEZ104" s="267"/>
      <c r="CFA104" s="267"/>
      <c r="CFB104" s="267"/>
      <c r="CFC104" s="267"/>
      <c r="CFD104" s="267"/>
      <c r="CFE104" s="267"/>
      <c r="CFF104" s="267"/>
      <c r="CFG104" s="267"/>
      <c r="CFH104" s="267"/>
      <c r="CFI104" s="267"/>
      <c r="CFJ104" s="267"/>
      <c r="CFK104" s="267"/>
      <c r="CFL104" s="267"/>
      <c r="CFM104" s="267"/>
      <c r="CFN104" s="267"/>
      <c r="CFO104" s="267"/>
      <c r="CFP104" s="267"/>
      <c r="CFQ104" s="267"/>
      <c r="CFR104" s="267"/>
      <c r="CFS104" s="267"/>
      <c r="CFT104" s="267"/>
      <c r="CFU104" s="267"/>
      <c r="CFV104" s="267"/>
      <c r="CFW104" s="267"/>
      <c r="CFX104" s="267"/>
      <c r="CFY104" s="267"/>
      <c r="CFZ104" s="267"/>
      <c r="CGA104" s="267"/>
      <c r="CGB104" s="267"/>
      <c r="CGC104" s="267"/>
      <c r="CGD104" s="267"/>
      <c r="CGE104" s="267"/>
      <c r="CGF104" s="267"/>
      <c r="CGG104" s="267"/>
      <c r="CGH104" s="267"/>
      <c r="CGI104" s="267"/>
      <c r="CGJ104" s="267"/>
      <c r="CGK104" s="267"/>
      <c r="CGL104" s="267"/>
      <c r="CGM104" s="267"/>
      <c r="CGN104" s="267"/>
      <c r="CGO104" s="267"/>
      <c r="CGP104" s="267"/>
      <c r="CGQ104" s="267"/>
      <c r="CGR104" s="267"/>
      <c r="CGS104" s="267"/>
      <c r="CGT104" s="267"/>
      <c r="CGU104" s="267"/>
      <c r="CGV104" s="267"/>
      <c r="CGW104" s="267"/>
      <c r="CGX104" s="267"/>
      <c r="CGY104" s="267"/>
      <c r="CGZ104" s="267"/>
      <c r="CHA104" s="267"/>
      <c r="CHB104" s="267"/>
      <c r="CHC104" s="267"/>
      <c r="CHD104" s="267"/>
      <c r="CHE104" s="267"/>
      <c r="CHF104" s="267"/>
      <c r="CHG104" s="267"/>
      <c r="CHH104" s="267"/>
      <c r="CHI104" s="267"/>
      <c r="CHJ104" s="267"/>
      <c r="CHK104" s="267"/>
      <c r="CHL104" s="267"/>
      <c r="CHM104" s="267"/>
      <c r="CHN104" s="267"/>
      <c r="CHO104" s="267"/>
      <c r="CHP104" s="267"/>
      <c r="CHQ104" s="267"/>
      <c r="CHR104" s="267"/>
      <c r="CHS104" s="267"/>
      <c r="CHT104" s="267"/>
      <c r="CHU104" s="267"/>
      <c r="CHV104" s="267"/>
      <c r="CHW104" s="267"/>
      <c r="CHX104" s="267"/>
      <c r="CHY104" s="267"/>
      <c r="CHZ104" s="267"/>
      <c r="CIA104" s="267"/>
      <c r="CIB104" s="267"/>
      <c r="CIC104" s="267"/>
      <c r="CID104" s="267"/>
      <c r="CIE104" s="267"/>
      <c r="CIF104" s="267"/>
      <c r="CIG104" s="267"/>
      <c r="CIH104" s="267"/>
      <c r="CII104" s="267"/>
      <c r="CIJ104" s="267"/>
      <c r="CIK104" s="267"/>
      <c r="CIL104" s="267"/>
      <c r="CIM104" s="267"/>
      <c r="CIN104" s="267"/>
      <c r="CIO104" s="267"/>
      <c r="CIP104" s="267"/>
      <c r="CIQ104" s="267"/>
      <c r="CIR104" s="267"/>
      <c r="CIS104" s="267"/>
      <c r="CIT104" s="267"/>
      <c r="CIU104" s="267"/>
      <c r="CIV104" s="267"/>
      <c r="CIW104" s="267"/>
      <c r="CIX104" s="267"/>
      <c r="CIY104" s="267"/>
      <c r="CIZ104" s="267"/>
      <c r="CJA104" s="267"/>
      <c r="CJB104" s="267"/>
      <c r="CJC104" s="267"/>
      <c r="CJD104" s="267"/>
      <c r="CJE104" s="267"/>
      <c r="CJF104" s="267"/>
      <c r="CJG104" s="267"/>
      <c r="CJH104" s="267"/>
      <c r="CJI104" s="267"/>
      <c r="CJJ104" s="267"/>
      <c r="CJK104" s="267"/>
      <c r="CJL104" s="267"/>
      <c r="CJM104" s="267"/>
      <c r="CJN104" s="267"/>
      <c r="CJO104" s="267"/>
      <c r="CJP104" s="267"/>
      <c r="CJQ104" s="267"/>
      <c r="CJR104" s="267"/>
      <c r="CJS104" s="267"/>
      <c r="CJT104" s="267"/>
      <c r="CJU104" s="267"/>
      <c r="CJV104" s="267"/>
      <c r="CJW104" s="267"/>
      <c r="CJX104" s="267"/>
      <c r="CJY104" s="267"/>
      <c r="CJZ104" s="267"/>
      <c r="CKA104" s="267"/>
      <c r="CKB104" s="267"/>
      <c r="CKC104" s="267"/>
      <c r="CKD104" s="267"/>
      <c r="CKE104" s="267"/>
      <c r="CKF104" s="267"/>
      <c r="CKG104" s="267"/>
      <c r="CKH104" s="267"/>
      <c r="CKI104" s="267"/>
      <c r="CKJ104" s="267"/>
      <c r="CKK104" s="267"/>
      <c r="CKL104" s="267"/>
      <c r="CKM104" s="267"/>
      <c r="CKN104" s="267"/>
      <c r="CKO104" s="267"/>
      <c r="CKP104" s="267"/>
      <c r="CKQ104" s="267"/>
      <c r="CKR104" s="267"/>
      <c r="CKS104" s="267"/>
      <c r="CKT104" s="267"/>
      <c r="CKU104" s="267"/>
      <c r="CKV104" s="267"/>
      <c r="CKW104" s="267"/>
      <c r="CKX104" s="267"/>
      <c r="CKY104" s="267"/>
      <c r="CKZ104" s="267"/>
      <c r="CLA104" s="267"/>
      <c r="CLB104" s="267"/>
      <c r="CLC104" s="267"/>
      <c r="CLD104" s="267"/>
      <c r="CLE104" s="267"/>
      <c r="CLF104" s="267"/>
      <c r="CLG104" s="267"/>
      <c r="CLH104" s="267"/>
      <c r="CLI104" s="267"/>
      <c r="CLJ104" s="267"/>
      <c r="CLK104" s="267"/>
      <c r="CLL104" s="267"/>
      <c r="CLM104" s="267"/>
      <c r="CLN104" s="267"/>
      <c r="CLO104" s="267"/>
      <c r="CLP104" s="267"/>
      <c r="CLQ104" s="267"/>
      <c r="CLR104" s="267"/>
      <c r="CLS104" s="267"/>
      <c r="CLT104" s="267"/>
      <c r="CLU104" s="267"/>
      <c r="CLV104" s="267"/>
      <c r="CLW104" s="267"/>
      <c r="CLX104" s="267"/>
      <c r="CLY104" s="267"/>
      <c r="CLZ104" s="267"/>
      <c r="CMA104" s="267"/>
      <c r="CMB104" s="267"/>
      <c r="CMC104" s="267"/>
      <c r="CMD104" s="267"/>
      <c r="CME104" s="267"/>
      <c r="CMF104" s="267"/>
      <c r="CMG104" s="267"/>
      <c r="CMH104" s="267"/>
      <c r="CMI104" s="267"/>
      <c r="CMJ104" s="267"/>
      <c r="CMK104" s="267"/>
      <c r="CML104" s="267"/>
      <c r="CMM104" s="267"/>
      <c r="CMN104" s="267"/>
      <c r="CMO104" s="267"/>
      <c r="CMP104" s="267"/>
      <c r="CMQ104" s="267"/>
      <c r="CMR104" s="267"/>
      <c r="CMS104" s="267"/>
      <c r="CMT104" s="267"/>
      <c r="CMU104" s="267"/>
      <c r="CMV104" s="267"/>
      <c r="CMW104" s="267"/>
      <c r="CMX104" s="267"/>
      <c r="CMY104" s="267"/>
      <c r="CMZ104" s="267"/>
      <c r="CNA104" s="267"/>
      <c r="CNB104" s="267"/>
      <c r="CNC104" s="267"/>
      <c r="CND104" s="267"/>
      <c r="CNE104" s="267"/>
      <c r="CNF104" s="267"/>
      <c r="CNG104" s="267"/>
      <c r="CNH104" s="267"/>
      <c r="CNI104" s="267"/>
      <c r="CNJ104" s="267"/>
      <c r="CNK104" s="267"/>
      <c r="CNL104" s="267"/>
      <c r="CNM104" s="267"/>
      <c r="CNN104" s="267"/>
      <c r="CNO104" s="267"/>
      <c r="CNP104" s="267"/>
      <c r="CNQ104" s="267"/>
      <c r="CNR104" s="267"/>
      <c r="CNS104" s="267"/>
      <c r="CNT104" s="267"/>
      <c r="CNU104" s="267"/>
      <c r="CNV104" s="267"/>
      <c r="CNW104" s="267"/>
      <c r="CNX104" s="267"/>
      <c r="CNY104" s="267"/>
      <c r="CNZ104" s="267"/>
      <c r="COA104" s="267"/>
      <c r="COB104" s="267"/>
      <c r="COC104" s="267"/>
      <c r="COD104" s="267"/>
      <c r="COE104" s="267"/>
      <c r="COF104" s="267"/>
      <c r="COG104" s="267"/>
      <c r="COH104" s="267"/>
      <c r="COI104" s="267"/>
      <c r="COJ104" s="267"/>
      <c r="COK104" s="267"/>
      <c r="COL104" s="267"/>
      <c r="COM104" s="267"/>
      <c r="CON104" s="267"/>
      <c r="COO104" s="267"/>
      <c r="COP104" s="267"/>
      <c r="COQ104" s="267"/>
      <c r="COR104" s="267"/>
      <c r="COS104" s="267"/>
      <c r="COT104" s="267"/>
      <c r="COU104" s="267"/>
      <c r="COV104" s="267"/>
      <c r="COW104" s="267"/>
      <c r="COX104" s="267"/>
      <c r="COY104" s="267"/>
      <c r="COZ104" s="267"/>
      <c r="CPA104" s="267"/>
      <c r="CPB104" s="267"/>
      <c r="CPC104" s="267"/>
      <c r="CPD104" s="267"/>
      <c r="CPE104" s="267"/>
      <c r="CPF104" s="267"/>
      <c r="CPG104" s="267"/>
      <c r="CPH104" s="267"/>
      <c r="CPI104" s="267"/>
      <c r="CPJ104" s="267"/>
      <c r="CPK104" s="267"/>
      <c r="CPL104" s="267"/>
      <c r="CPM104" s="267"/>
      <c r="CPN104" s="267"/>
      <c r="CPO104" s="267"/>
      <c r="CPP104" s="267"/>
      <c r="CPQ104" s="267"/>
      <c r="CPR104" s="267"/>
      <c r="CPS104" s="267"/>
      <c r="CPT104" s="267"/>
      <c r="CPU104" s="267"/>
      <c r="CPV104" s="267"/>
      <c r="CPW104" s="267"/>
      <c r="CPX104" s="267"/>
      <c r="CPY104" s="267"/>
      <c r="CPZ104" s="267"/>
      <c r="CQA104" s="267"/>
      <c r="CQB104" s="267"/>
      <c r="CQC104" s="267"/>
      <c r="CQD104" s="267"/>
      <c r="CQE104" s="267"/>
      <c r="CQF104" s="267"/>
      <c r="CQG104" s="267"/>
      <c r="CQH104" s="267"/>
      <c r="CQI104" s="267"/>
      <c r="CQJ104" s="267"/>
      <c r="CQK104" s="267"/>
      <c r="CQL104" s="267"/>
      <c r="CQM104" s="267"/>
      <c r="CQN104" s="267"/>
      <c r="CQO104" s="267"/>
      <c r="CQP104" s="267"/>
      <c r="CQQ104" s="267"/>
      <c r="CQR104" s="267"/>
      <c r="CQS104" s="267"/>
      <c r="CQT104" s="267"/>
      <c r="CQU104" s="267"/>
      <c r="CQV104" s="267"/>
      <c r="CQW104" s="267"/>
      <c r="CQX104" s="267"/>
      <c r="CQY104" s="267"/>
      <c r="CQZ104" s="267"/>
      <c r="CRA104" s="267"/>
      <c r="CRB104" s="267"/>
      <c r="CRC104" s="267"/>
      <c r="CRD104" s="267"/>
      <c r="CRE104" s="267"/>
      <c r="CRF104" s="267"/>
      <c r="CRG104" s="267"/>
      <c r="CRH104" s="267"/>
      <c r="CRI104" s="267"/>
      <c r="CRJ104" s="267"/>
      <c r="CRK104" s="267"/>
      <c r="CRL104" s="267"/>
      <c r="CRM104" s="267"/>
      <c r="CRN104" s="267"/>
      <c r="CRO104" s="267"/>
      <c r="CRP104" s="267"/>
      <c r="CRQ104" s="267"/>
      <c r="CRR104" s="267"/>
      <c r="CRS104" s="267"/>
      <c r="CRT104" s="267"/>
      <c r="CRU104" s="267"/>
      <c r="CRV104" s="267"/>
      <c r="CRW104" s="267"/>
      <c r="CRX104" s="267"/>
      <c r="CRY104" s="267"/>
      <c r="CRZ104" s="267"/>
      <c r="CSA104" s="267"/>
      <c r="CSB104" s="267"/>
      <c r="CSC104" s="267"/>
      <c r="CSD104" s="267"/>
      <c r="CSE104" s="267"/>
      <c r="CSF104" s="267"/>
      <c r="CSG104" s="267"/>
      <c r="CSH104" s="267"/>
      <c r="CSI104" s="267"/>
      <c r="CSJ104" s="267"/>
      <c r="CSK104" s="267"/>
      <c r="CSL104" s="267"/>
      <c r="CSM104" s="267"/>
      <c r="CSN104" s="267"/>
      <c r="CSO104" s="267"/>
      <c r="CSP104" s="267"/>
      <c r="CSQ104" s="267"/>
      <c r="CSR104" s="267"/>
      <c r="CSS104" s="267"/>
      <c r="CST104" s="267"/>
      <c r="CSU104" s="267"/>
      <c r="CSV104" s="267"/>
      <c r="CSW104" s="267"/>
      <c r="CSX104" s="267"/>
      <c r="CSY104" s="267"/>
      <c r="CSZ104" s="267"/>
      <c r="CTA104" s="267"/>
      <c r="CTB104" s="267"/>
      <c r="CTC104" s="267"/>
      <c r="CTD104" s="267"/>
      <c r="CTE104" s="267"/>
      <c r="CTF104" s="267"/>
      <c r="CTG104" s="267"/>
      <c r="CTH104" s="267"/>
      <c r="CTI104" s="267"/>
      <c r="CTJ104" s="267"/>
      <c r="CTK104" s="267"/>
      <c r="CTL104" s="267"/>
      <c r="CTM104" s="267"/>
      <c r="CTN104" s="267"/>
      <c r="CTO104" s="267"/>
      <c r="CTP104" s="267"/>
      <c r="CTQ104" s="267"/>
      <c r="CTR104" s="267"/>
      <c r="CTS104" s="267"/>
      <c r="CTT104" s="267"/>
      <c r="CTU104" s="267"/>
      <c r="CTV104" s="267"/>
      <c r="CTW104" s="267"/>
      <c r="CTX104" s="267"/>
      <c r="CTY104" s="267"/>
      <c r="CTZ104" s="267"/>
      <c r="CUA104" s="267"/>
    </row>
    <row r="105" s="30" customFormat="1" ht="25" customHeight="1" spans="1:2575">
      <c r="A105" s="268">
        <v>111</v>
      </c>
      <c r="B105" s="268" t="s">
        <v>13</v>
      </c>
      <c r="C105" s="268" t="s">
        <v>37</v>
      </c>
      <c r="D105" s="82" t="s">
        <v>330</v>
      </c>
      <c r="E105" s="29" t="s">
        <v>916</v>
      </c>
      <c r="F105" s="31" t="s">
        <v>917</v>
      </c>
      <c r="G105" s="31" t="s">
        <v>918</v>
      </c>
      <c r="H105" s="32">
        <v>10043915</v>
      </c>
      <c r="I105" s="32">
        <v>2010.1</v>
      </c>
      <c r="J105" s="31" t="s">
        <v>918</v>
      </c>
      <c r="K105" s="31" t="s">
        <v>708</v>
      </c>
      <c r="L105" s="31" t="s">
        <v>667</v>
      </c>
      <c r="M105" s="29" t="s">
        <v>674</v>
      </c>
      <c r="N105" s="94">
        <v>45775</v>
      </c>
      <c r="O105" s="94">
        <v>46139</v>
      </c>
      <c r="P105" s="29">
        <v>200</v>
      </c>
      <c r="Q105" s="85"/>
      <c r="R105" s="322"/>
      <c r="S105" s="2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  <c r="AR105" s="267"/>
      <c r="AS105" s="267"/>
      <c r="AT105" s="267"/>
      <c r="AU105" s="267"/>
      <c r="AV105" s="267"/>
      <c r="AW105" s="267"/>
      <c r="AX105" s="267"/>
      <c r="AY105" s="267"/>
      <c r="AZ105" s="267"/>
      <c r="BA105" s="267"/>
      <c r="BB105" s="267"/>
      <c r="BC105" s="267"/>
      <c r="BD105" s="267"/>
      <c r="BE105" s="267"/>
      <c r="BF105" s="267"/>
      <c r="BG105" s="267"/>
      <c r="BH105" s="267"/>
      <c r="BI105" s="267"/>
      <c r="BJ105" s="267"/>
      <c r="BK105" s="267"/>
      <c r="BL105" s="267"/>
      <c r="BM105" s="267"/>
      <c r="BN105" s="267"/>
      <c r="BO105" s="267"/>
      <c r="BP105" s="267"/>
      <c r="BQ105" s="267"/>
      <c r="BR105" s="267"/>
      <c r="BS105" s="267"/>
      <c r="BT105" s="267"/>
      <c r="BU105" s="267"/>
      <c r="BV105" s="267"/>
      <c r="BW105" s="267"/>
      <c r="BX105" s="267"/>
      <c r="BY105" s="267"/>
      <c r="BZ105" s="267"/>
      <c r="CA105" s="267"/>
      <c r="CB105" s="267"/>
      <c r="CC105" s="267"/>
      <c r="CD105" s="267"/>
      <c r="CE105" s="267"/>
      <c r="CF105" s="267"/>
      <c r="CG105" s="267"/>
      <c r="CH105" s="267"/>
      <c r="CI105" s="267"/>
      <c r="CJ105" s="267"/>
      <c r="CK105" s="267"/>
      <c r="CL105" s="267"/>
      <c r="CM105" s="267"/>
      <c r="CN105" s="267"/>
      <c r="CO105" s="267"/>
      <c r="CP105" s="267"/>
      <c r="CQ105" s="267"/>
      <c r="CR105" s="267"/>
      <c r="CS105" s="267"/>
      <c r="CT105" s="267"/>
      <c r="CU105" s="267"/>
      <c r="CV105" s="267"/>
      <c r="CW105" s="267"/>
      <c r="CX105" s="267"/>
      <c r="CY105" s="267"/>
      <c r="CZ105" s="267"/>
      <c r="DA105" s="267"/>
      <c r="DB105" s="267"/>
      <c r="DC105" s="267"/>
      <c r="DD105" s="267"/>
      <c r="DE105" s="267"/>
      <c r="DF105" s="267"/>
      <c r="DG105" s="267"/>
      <c r="DH105" s="267"/>
      <c r="DI105" s="267"/>
      <c r="DJ105" s="267"/>
      <c r="DK105" s="267"/>
      <c r="DL105" s="267"/>
      <c r="DM105" s="267"/>
      <c r="DN105" s="267"/>
      <c r="DO105" s="267"/>
      <c r="DP105" s="267"/>
      <c r="DQ105" s="267"/>
      <c r="DR105" s="267"/>
      <c r="DS105" s="267"/>
      <c r="DT105" s="267"/>
      <c r="DU105" s="267"/>
      <c r="DV105" s="267"/>
      <c r="DW105" s="267"/>
      <c r="DX105" s="267"/>
      <c r="DY105" s="267"/>
      <c r="DZ105" s="267"/>
      <c r="EA105" s="267"/>
      <c r="EB105" s="267"/>
      <c r="EC105" s="267"/>
      <c r="ED105" s="267"/>
      <c r="EE105" s="267"/>
      <c r="EF105" s="267"/>
      <c r="EG105" s="267"/>
      <c r="EH105" s="267"/>
      <c r="EI105" s="267"/>
      <c r="EJ105" s="267"/>
      <c r="EK105" s="267"/>
      <c r="EL105" s="267"/>
      <c r="EM105" s="267"/>
      <c r="EN105" s="267"/>
      <c r="EO105" s="267"/>
      <c r="EP105" s="267"/>
      <c r="EQ105" s="267"/>
      <c r="ER105" s="267"/>
      <c r="ES105" s="267"/>
      <c r="ET105" s="267"/>
      <c r="EU105" s="267"/>
      <c r="EV105" s="267"/>
      <c r="EW105" s="267"/>
      <c r="EX105" s="267"/>
      <c r="EY105" s="267"/>
      <c r="EZ105" s="267"/>
      <c r="FA105" s="267"/>
      <c r="FB105" s="267"/>
      <c r="FC105" s="267"/>
      <c r="FD105" s="267"/>
      <c r="FE105" s="267"/>
      <c r="FF105" s="267"/>
      <c r="FG105" s="267"/>
      <c r="FH105" s="267"/>
      <c r="FI105" s="267"/>
      <c r="FJ105" s="267"/>
      <c r="FK105" s="267"/>
      <c r="FL105" s="267"/>
      <c r="FM105" s="267"/>
      <c r="FN105" s="267"/>
      <c r="FO105" s="267"/>
      <c r="FP105" s="267"/>
      <c r="FQ105" s="267"/>
      <c r="FR105" s="267"/>
      <c r="FS105" s="267"/>
      <c r="FT105" s="267"/>
      <c r="FU105" s="267"/>
      <c r="FV105" s="267"/>
      <c r="FW105" s="267"/>
      <c r="FX105" s="267"/>
      <c r="FY105" s="267"/>
      <c r="FZ105" s="267"/>
      <c r="GA105" s="267"/>
      <c r="GB105" s="267"/>
      <c r="GC105" s="267"/>
      <c r="GD105" s="267"/>
      <c r="GE105" s="267"/>
      <c r="GF105" s="267"/>
      <c r="GG105" s="267"/>
      <c r="GH105" s="267"/>
      <c r="GI105" s="267"/>
      <c r="GJ105" s="267"/>
      <c r="GK105" s="267"/>
      <c r="GL105" s="267"/>
      <c r="GM105" s="267"/>
      <c r="GN105" s="267"/>
      <c r="GO105" s="267"/>
      <c r="GP105" s="267"/>
      <c r="GQ105" s="267"/>
      <c r="GR105" s="267"/>
      <c r="GS105" s="267"/>
      <c r="GT105" s="267"/>
      <c r="GU105" s="267"/>
      <c r="GV105" s="267"/>
      <c r="GW105" s="267"/>
      <c r="GX105" s="267"/>
      <c r="GY105" s="267"/>
      <c r="GZ105" s="267"/>
      <c r="HA105" s="267"/>
      <c r="HB105" s="267"/>
      <c r="HC105" s="267"/>
      <c r="HD105" s="267"/>
      <c r="HE105" s="267"/>
      <c r="HF105" s="267"/>
      <c r="HG105" s="267"/>
      <c r="HH105" s="267"/>
      <c r="HI105" s="267"/>
      <c r="HJ105" s="267"/>
      <c r="HK105" s="267"/>
      <c r="HL105" s="267"/>
      <c r="HM105" s="267"/>
      <c r="HN105" s="267"/>
      <c r="HO105" s="267"/>
      <c r="HP105" s="267"/>
      <c r="HQ105" s="267"/>
      <c r="HR105" s="267"/>
      <c r="HS105" s="267"/>
      <c r="HT105" s="267"/>
      <c r="HU105" s="267"/>
      <c r="HV105" s="267"/>
      <c r="HW105" s="267"/>
      <c r="HX105" s="267"/>
      <c r="HY105" s="267"/>
      <c r="HZ105" s="267"/>
      <c r="IA105" s="267"/>
      <c r="IB105" s="267"/>
      <c r="IC105" s="267"/>
      <c r="ID105" s="267"/>
      <c r="IE105" s="267"/>
      <c r="IF105" s="267"/>
      <c r="IG105" s="267"/>
      <c r="IH105" s="267"/>
      <c r="II105" s="267"/>
      <c r="IJ105" s="267"/>
      <c r="IK105" s="267"/>
      <c r="IL105" s="267"/>
      <c r="IM105" s="267"/>
      <c r="IN105" s="267"/>
      <c r="IO105" s="267"/>
      <c r="IP105" s="267"/>
      <c r="IQ105" s="267"/>
      <c r="IR105" s="267"/>
      <c r="IS105" s="267"/>
      <c r="IT105" s="267"/>
      <c r="IU105" s="267"/>
      <c r="IV105" s="267"/>
      <c r="IW105" s="267"/>
      <c r="IX105" s="267"/>
      <c r="IY105" s="267"/>
      <c r="IZ105" s="267"/>
      <c r="JA105" s="267"/>
      <c r="JB105" s="267"/>
      <c r="JC105" s="267"/>
      <c r="JD105" s="267"/>
      <c r="JE105" s="267"/>
      <c r="JF105" s="267"/>
      <c r="JG105" s="267"/>
      <c r="JH105" s="267"/>
      <c r="JI105" s="267"/>
      <c r="JJ105" s="267"/>
      <c r="JK105" s="267"/>
      <c r="JL105" s="267"/>
      <c r="JM105" s="267"/>
      <c r="JN105" s="267"/>
      <c r="JO105" s="267"/>
      <c r="JP105" s="267"/>
      <c r="JQ105" s="267"/>
      <c r="JR105" s="267"/>
      <c r="JS105" s="267"/>
      <c r="JT105" s="267"/>
      <c r="JU105" s="267"/>
      <c r="JV105" s="267"/>
      <c r="JW105" s="267"/>
      <c r="JX105" s="267"/>
      <c r="JY105" s="267"/>
      <c r="JZ105" s="267"/>
      <c r="KA105" s="267"/>
      <c r="KB105" s="267"/>
      <c r="KC105" s="267"/>
      <c r="KD105" s="267"/>
      <c r="KE105" s="267"/>
      <c r="KF105" s="267"/>
      <c r="KG105" s="267"/>
      <c r="KH105" s="267"/>
      <c r="KI105" s="267"/>
      <c r="KJ105" s="267"/>
      <c r="KK105" s="267"/>
      <c r="KL105" s="267"/>
      <c r="KM105" s="267"/>
      <c r="KN105" s="267"/>
      <c r="KO105" s="267"/>
      <c r="KP105" s="267"/>
      <c r="KQ105" s="267"/>
      <c r="KR105" s="267"/>
      <c r="KS105" s="267"/>
      <c r="KT105" s="267"/>
      <c r="KU105" s="267"/>
      <c r="KV105" s="267"/>
      <c r="KW105" s="267"/>
      <c r="KX105" s="267"/>
      <c r="KY105" s="267"/>
      <c r="KZ105" s="267"/>
      <c r="LA105" s="267"/>
      <c r="LB105" s="267"/>
      <c r="LC105" s="267"/>
      <c r="LD105" s="267"/>
      <c r="LE105" s="267"/>
      <c r="LF105" s="267"/>
      <c r="LG105" s="267"/>
      <c r="LH105" s="267"/>
      <c r="LI105" s="267"/>
      <c r="LJ105" s="267"/>
      <c r="LK105" s="267"/>
      <c r="LL105" s="267"/>
      <c r="LM105" s="267"/>
      <c r="LN105" s="267"/>
      <c r="LO105" s="267"/>
      <c r="LP105" s="267"/>
      <c r="LQ105" s="267"/>
      <c r="LR105" s="267"/>
      <c r="LS105" s="267"/>
      <c r="LT105" s="267"/>
      <c r="LU105" s="267"/>
      <c r="LV105" s="267"/>
      <c r="LW105" s="267"/>
      <c r="LX105" s="267"/>
      <c r="LY105" s="267"/>
      <c r="LZ105" s="267"/>
      <c r="MA105" s="267"/>
      <c r="MB105" s="267"/>
      <c r="MC105" s="267"/>
      <c r="MD105" s="267"/>
      <c r="ME105" s="267"/>
      <c r="MF105" s="267"/>
      <c r="MG105" s="267"/>
      <c r="MH105" s="267"/>
      <c r="MI105" s="267"/>
      <c r="MJ105" s="267"/>
      <c r="MK105" s="267"/>
      <c r="ML105" s="267"/>
      <c r="MM105" s="267"/>
      <c r="MN105" s="267"/>
      <c r="MO105" s="267"/>
      <c r="MP105" s="267"/>
      <c r="MQ105" s="267"/>
      <c r="MR105" s="267"/>
      <c r="MS105" s="267"/>
      <c r="MT105" s="267"/>
      <c r="MU105" s="267"/>
      <c r="MV105" s="267"/>
      <c r="MW105" s="267"/>
      <c r="MX105" s="267"/>
      <c r="MY105" s="267"/>
      <c r="MZ105" s="267"/>
      <c r="NA105" s="267"/>
      <c r="NB105" s="267"/>
      <c r="NC105" s="267"/>
      <c r="ND105" s="267"/>
      <c r="NE105" s="267"/>
      <c r="NF105" s="267"/>
      <c r="NG105" s="267"/>
      <c r="NH105" s="267"/>
      <c r="NI105" s="267"/>
      <c r="NJ105" s="267"/>
      <c r="NK105" s="267"/>
      <c r="NL105" s="267"/>
      <c r="NM105" s="267"/>
      <c r="NN105" s="267"/>
      <c r="NO105" s="267"/>
      <c r="NP105" s="267"/>
      <c r="NQ105" s="267"/>
      <c r="NR105" s="267"/>
      <c r="NS105" s="267"/>
      <c r="NT105" s="267"/>
      <c r="NU105" s="267"/>
      <c r="NV105" s="267"/>
      <c r="NW105" s="267"/>
      <c r="NX105" s="267"/>
      <c r="NY105" s="267"/>
      <c r="NZ105" s="267"/>
      <c r="OA105" s="267"/>
      <c r="OB105" s="267"/>
      <c r="OC105" s="267"/>
      <c r="OD105" s="267"/>
      <c r="OE105" s="267"/>
      <c r="OF105" s="267"/>
      <c r="OG105" s="267"/>
      <c r="OH105" s="267"/>
      <c r="OI105" s="267"/>
      <c r="OJ105" s="267"/>
      <c r="OK105" s="267"/>
      <c r="OL105" s="267"/>
      <c r="OM105" s="267"/>
      <c r="ON105" s="267"/>
      <c r="OO105" s="267"/>
      <c r="OP105" s="267"/>
      <c r="OQ105" s="267"/>
      <c r="OR105" s="267"/>
      <c r="OS105" s="267"/>
      <c r="OT105" s="267"/>
      <c r="OU105" s="267"/>
      <c r="OV105" s="267"/>
      <c r="OW105" s="267"/>
      <c r="OX105" s="267"/>
      <c r="OY105" s="267"/>
      <c r="OZ105" s="267"/>
      <c r="PA105" s="267"/>
      <c r="PB105" s="267"/>
      <c r="PC105" s="267"/>
      <c r="PD105" s="267"/>
      <c r="PE105" s="267"/>
      <c r="PF105" s="267"/>
      <c r="PG105" s="267"/>
      <c r="PH105" s="267"/>
      <c r="PI105" s="267"/>
      <c r="PJ105" s="267"/>
      <c r="PK105" s="267"/>
      <c r="PL105" s="267"/>
      <c r="PM105" s="267"/>
      <c r="PN105" s="267"/>
      <c r="PO105" s="267"/>
      <c r="PP105" s="267"/>
      <c r="PQ105" s="267"/>
      <c r="PR105" s="267"/>
      <c r="PS105" s="267"/>
      <c r="PT105" s="267"/>
      <c r="PU105" s="267"/>
      <c r="PV105" s="267"/>
      <c r="PW105" s="267"/>
      <c r="PX105" s="267"/>
      <c r="PY105" s="267"/>
      <c r="PZ105" s="267"/>
      <c r="QA105" s="267"/>
      <c r="QB105" s="267"/>
      <c r="QC105" s="267"/>
      <c r="QD105" s="267"/>
      <c r="QE105" s="267"/>
      <c r="QF105" s="267"/>
      <c r="QG105" s="267"/>
      <c r="QH105" s="267"/>
      <c r="QI105" s="267"/>
      <c r="QJ105" s="267"/>
      <c r="QK105" s="267"/>
      <c r="QL105" s="267"/>
      <c r="QM105" s="267"/>
      <c r="QN105" s="267"/>
      <c r="QO105" s="267"/>
      <c r="QP105" s="267"/>
      <c r="QQ105" s="267"/>
      <c r="QR105" s="267"/>
      <c r="QS105" s="267"/>
      <c r="QT105" s="267"/>
      <c r="QU105" s="267"/>
      <c r="QV105" s="267"/>
      <c r="QW105" s="267"/>
      <c r="QX105" s="267"/>
      <c r="QY105" s="267"/>
      <c r="QZ105" s="267"/>
      <c r="RA105" s="267"/>
      <c r="RB105" s="267"/>
      <c r="RC105" s="267"/>
      <c r="RD105" s="267"/>
      <c r="RE105" s="267"/>
      <c r="RF105" s="267"/>
      <c r="RG105" s="267"/>
      <c r="RH105" s="267"/>
      <c r="RI105" s="267"/>
      <c r="RJ105" s="267"/>
      <c r="RK105" s="267"/>
      <c r="RL105" s="267"/>
      <c r="RM105" s="267"/>
      <c r="RN105" s="267"/>
      <c r="RO105" s="267"/>
      <c r="RP105" s="267"/>
      <c r="RQ105" s="267"/>
      <c r="RR105" s="267"/>
      <c r="RS105" s="267"/>
      <c r="RT105" s="267"/>
      <c r="RU105" s="267"/>
      <c r="RV105" s="267"/>
      <c r="RW105" s="267"/>
      <c r="RX105" s="267"/>
      <c r="RY105" s="267"/>
      <c r="RZ105" s="267"/>
      <c r="SA105" s="267"/>
      <c r="SB105" s="267"/>
      <c r="SC105" s="267"/>
      <c r="SD105" s="267"/>
      <c r="SE105" s="267"/>
      <c r="SF105" s="267"/>
      <c r="SG105" s="267"/>
      <c r="SH105" s="267"/>
      <c r="SI105" s="267"/>
      <c r="SJ105" s="267"/>
      <c r="SK105" s="267"/>
      <c r="SL105" s="267"/>
      <c r="SM105" s="267"/>
      <c r="SN105" s="267"/>
      <c r="SO105" s="267"/>
      <c r="SP105" s="267"/>
      <c r="SQ105" s="267"/>
      <c r="SR105" s="267"/>
      <c r="SS105" s="267"/>
      <c r="ST105" s="267"/>
      <c r="SU105" s="267"/>
      <c r="SV105" s="267"/>
      <c r="SW105" s="267"/>
      <c r="SX105" s="267"/>
      <c r="SY105" s="267"/>
      <c r="SZ105" s="267"/>
      <c r="TA105" s="267"/>
      <c r="TB105" s="267"/>
      <c r="TC105" s="267"/>
      <c r="TD105" s="267"/>
      <c r="TE105" s="267"/>
      <c r="TF105" s="267"/>
      <c r="TG105" s="267"/>
      <c r="TH105" s="267"/>
      <c r="TI105" s="267"/>
      <c r="TJ105" s="267"/>
      <c r="TK105" s="267"/>
      <c r="TL105" s="267"/>
      <c r="TM105" s="267"/>
      <c r="TN105" s="267"/>
      <c r="TO105" s="267"/>
      <c r="TP105" s="267"/>
      <c r="TQ105" s="267"/>
      <c r="TR105" s="267"/>
      <c r="TS105" s="267"/>
      <c r="TT105" s="267"/>
      <c r="TU105" s="267"/>
      <c r="TV105" s="267"/>
      <c r="TW105" s="267"/>
      <c r="TX105" s="267"/>
      <c r="TY105" s="267"/>
      <c r="TZ105" s="267"/>
      <c r="UA105" s="267"/>
      <c r="UB105" s="267"/>
      <c r="UC105" s="267"/>
      <c r="UD105" s="267"/>
      <c r="UE105" s="267"/>
      <c r="UF105" s="267"/>
      <c r="UG105" s="267"/>
      <c r="UH105" s="267"/>
      <c r="UI105" s="267"/>
      <c r="UJ105" s="267"/>
      <c r="UK105" s="267"/>
      <c r="UL105" s="267"/>
      <c r="UM105" s="267"/>
      <c r="UN105" s="267"/>
      <c r="UO105" s="267"/>
      <c r="UP105" s="267"/>
      <c r="UQ105" s="267"/>
      <c r="UR105" s="267"/>
      <c r="US105" s="267"/>
      <c r="UT105" s="267"/>
      <c r="UU105" s="267"/>
      <c r="UV105" s="267"/>
      <c r="UW105" s="267"/>
      <c r="UX105" s="267"/>
      <c r="UY105" s="267"/>
      <c r="UZ105" s="267"/>
      <c r="VA105" s="267"/>
      <c r="VB105" s="267"/>
      <c r="VC105" s="267"/>
      <c r="VD105" s="267"/>
      <c r="VE105" s="267"/>
      <c r="VF105" s="267"/>
      <c r="VG105" s="267"/>
      <c r="VH105" s="267"/>
      <c r="VI105" s="267"/>
      <c r="VJ105" s="267"/>
      <c r="VK105" s="267"/>
      <c r="VL105" s="267"/>
      <c r="VM105" s="267"/>
      <c r="VN105" s="267"/>
      <c r="VO105" s="267"/>
      <c r="VP105" s="267"/>
      <c r="VQ105" s="267"/>
      <c r="VR105" s="267"/>
      <c r="VS105" s="267"/>
      <c r="VT105" s="267"/>
      <c r="VU105" s="267"/>
      <c r="VV105" s="267"/>
      <c r="VW105" s="267"/>
      <c r="VX105" s="267"/>
      <c r="VY105" s="267"/>
      <c r="VZ105" s="267"/>
      <c r="WA105" s="267"/>
      <c r="WB105" s="267"/>
      <c r="WC105" s="267"/>
      <c r="WD105" s="267"/>
      <c r="WE105" s="267"/>
      <c r="WF105" s="267"/>
      <c r="WG105" s="267"/>
      <c r="WH105" s="267"/>
      <c r="WI105" s="267"/>
      <c r="WJ105" s="267"/>
      <c r="WK105" s="267"/>
      <c r="WL105" s="267"/>
      <c r="WM105" s="267"/>
      <c r="WN105" s="267"/>
      <c r="WO105" s="267"/>
      <c r="WP105" s="267"/>
      <c r="WQ105" s="267"/>
      <c r="WR105" s="267"/>
      <c r="WS105" s="267"/>
      <c r="WT105" s="267"/>
      <c r="WU105" s="267"/>
      <c r="WV105" s="267"/>
      <c r="WW105" s="267"/>
      <c r="WX105" s="267"/>
      <c r="WY105" s="267"/>
      <c r="WZ105" s="267"/>
      <c r="XA105" s="267"/>
      <c r="XB105" s="267"/>
      <c r="XC105" s="267"/>
      <c r="XD105" s="267"/>
      <c r="XE105" s="267"/>
      <c r="XF105" s="267"/>
      <c r="XG105" s="267"/>
      <c r="XH105" s="267"/>
      <c r="XI105" s="267"/>
      <c r="XJ105" s="267"/>
      <c r="XK105" s="267"/>
      <c r="XL105" s="267"/>
      <c r="XM105" s="267"/>
      <c r="XN105" s="267"/>
      <c r="XO105" s="267"/>
      <c r="XP105" s="267"/>
      <c r="XQ105" s="267"/>
      <c r="XR105" s="267"/>
      <c r="XS105" s="267"/>
      <c r="XT105" s="267"/>
      <c r="XU105" s="267"/>
      <c r="XV105" s="267"/>
      <c r="XW105" s="267"/>
      <c r="XX105" s="267"/>
      <c r="XY105" s="267"/>
      <c r="XZ105" s="267"/>
      <c r="YA105" s="267"/>
      <c r="YB105" s="267"/>
      <c r="YC105" s="267"/>
      <c r="YD105" s="267"/>
      <c r="YE105" s="267"/>
      <c r="YF105" s="267"/>
      <c r="YG105" s="267"/>
      <c r="YH105" s="267"/>
      <c r="YI105" s="267"/>
      <c r="YJ105" s="267"/>
      <c r="YK105" s="267"/>
      <c r="YL105" s="267"/>
      <c r="YM105" s="267"/>
      <c r="YN105" s="267"/>
      <c r="YO105" s="267"/>
      <c r="YP105" s="267"/>
      <c r="YQ105" s="267"/>
      <c r="YR105" s="267"/>
      <c r="YS105" s="267"/>
      <c r="YT105" s="267"/>
      <c r="YU105" s="267"/>
      <c r="YV105" s="267"/>
      <c r="YW105" s="267"/>
      <c r="YX105" s="267"/>
      <c r="YY105" s="267"/>
      <c r="YZ105" s="267"/>
      <c r="ZA105" s="267"/>
      <c r="ZB105" s="267"/>
      <c r="ZC105" s="267"/>
      <c r="ZD105" s="267"/>
      <c r="ZE105" s="267"/>
      <c r="ZF105" s="267"/>
      <c r="ZG105" s="267"/>
      <c r="ZH105" s="267"/>
      <c r="ZI105" s="267"/>
      <c r="ZJ105" s="267"/>
      <c r="ZK105" s="267"/>
      <c r="ZL105" s="267"/>
      <c r="ZM105" s="267"/>
      <c r="ZN105" s="267"/>
      <c r="ZO105" s="267"/>
      <c r="ZP105" s="267"/>
      <c r="ZQ105" s="267"/>
      <c r="ZR105" s="267"/>
      <c r="ZS105" s="267"/>
      <c r="ZT105" s="267"/>
      <c r="ZU105" s="267"/>
      <c r="ZV105" s="267"/>
      <c r="ZW105" s="267"/>
      <c r="ZX105" s="267"/>
      <c r="ZY105" s="267"/>
      <c r="ZZ105" s="267"/>
      <c r="AAA105" s="267"/>
      <c r="AAB105" s="267"/>
      <c r="AAC105" s="267"/>
      <c r="AAD105" s="267"/>
      <c r="AAE105" s="267"/>
      <c r="AAF105" s="267"/>
      <c r="AAG105" s="267"/>
      <c r="AAH105" s="267"/>
      <c r="AAI105" s="267"/>
      <c r="AAJ105" s="267"/>
      <c r="AAK105" s="267"/>
      <c r="AAL105" s="267"/>
      <c r="AAM105" s="267"/>
      <c r="AAN105" s="267"/>
      <c r="AAO105" s="267"/>
      <c r="AAP105" s="267"/>
      <c r="AAQ105" s="267"/>
      <c r="AAR105" s="267"/>
      <c r="AAS105" s="267"/>
      <c r="AAT105" s="267"/>
      <c r="AAU105" s="267"/>
      <c r="AAV105" s="267"/>
      <c r="AAW105" s="267"/>
      <c r="AAX105" s="267"/>
      <c r="AAY105" s="267"/>
      <c r="AAZ105" s="267"/>
      <c r="ABA105" s="267"/>
      <c r="ABB105" s="267"/>
      <c r="ABC105" s="267"/>
      <c r="ABD105" s="267"/>
      <c r="ABE105" s="267"/>
      <c r="ABF105" s="267"/>
      <c r="ABG105" s="267"/>
      <c r="ABH105" s="267"/>
      <c r="ABI105" s="267"/>
      <c r="ABJ105" s="267"/>
      <c r="ABK105" s="267"/>
      <c r="ABL105" s="267"/>
      <c r="ABM105" s="267"/>
      <c r="ABN105" s="267"/>
      <c r="ABO105" s="267"/>
      <c r="ABP105" s="267"/>
      <c r="ABQ105" s="267"/>
      <c r="ABR105" s="267"/>
      <c r="ABS105" s="267"/>
      <c r="ABT105" s="267"/>
      <c r="ABU105" s="267"/>
      <c r="ABV105" s="267"/>
      <c r="ABW105" s="267"/>
      <c r="ABX105" s="267"/>
      <c r="ABY105" s="267"/>
      <c r="ABZ105" s="267"/>
      <c r="ACA105" s="267"/>
      <c r="ACB105" s="267"/>
      <c r="ACC105" s="267"/>
      <c r="ACD105" s="267"/>
      <c r="ACE105" s="267"/>
      <c r="ACF105" s="267"/>
      <c r="ACG105" s="267"/>
      <c r="ACH105" s="267"/>
      <c r="ACI105" s="267"/>
      <c r="ACJ105" s="267"/>
      <c r="ACK105" s="267"/>
      <c r="ACL105" s="267"/>
      <c r="ACM105" s="267"/>
      <c r="ACN105" s="267"/>
      <c r="ACO105" s="267"/>
      <c r="ACP105" s="267"/>
      <c r="ACQ105" s="267"/>
      <c r="ACR105" s="267"/>
      <c r="ACS105" s="267"/>
      <c r="ACT105" s="267"/>
      <c r="ACU105" s="267"/>
      <c r="ACV105" s="267"/>
      <c r="ACW105" s="267"/>
      <c r="ACX105" s="267"/>
      <c r="ACY105" s="267"/>
      <c r="ACZ105" s="267"/>
      <c r="ADA105" s="267"/>
      <c r="ADB105" s="267"/>
      <c r="ADC105" s="267"/>
      <c r="ADD105" s="267"/>
      <c r="ADE105" s="267"/>
      <c r="ADF105" s="267"/>
      <c r="ADG105" s="267"/>
      <c r="ADH105" s="267"/>
      <c r="ADI105" s="267"/>
      <c r="ADJ105" s="267"/>
      <c r="ADK105" s="267"/>
      <c r="ADL105" s="267"/>
      <c r="ADM105" s="267"/>
      <c r="ADN105" s="267"/>
      <c r="ADO105" s="267"/>
      <c r="ADP105" s="267"/>
      <c r="ADQ105" s="267"/>
      <c r="ADR105" s="267"/>
      <c r="ADS105" s="267"/>
      <c r="ADT105" s="267"/>
      <c r="ADU105" s="267"/>
      <c r="ADV105" s="267"/>
      <c r="ADW105" s="267"/>
      <c r="ADX105" s="267"/>
      <c r="ADY105" s="267"/>
      <c r="ADZ105" s="267"/>
      <c r="AEA105" s="267"/>
      <c r="AEB105" s="267"/>
      <c r="AEC105" s="267"/>
      <c r="AED105" s="267"/>
      <c r="AEE105" s="267"/>
      <c r="AEF105" s="267"/>
      <c r="AEG105" s="267"/>
      <c r="AEH105" s="267"/>
      <c r="AEI105" s="267"/>
      <c r="AEJ105" s="267"/>
      <c r="AEK105" s="267"/>
      <c r="AEL105" s="267"/>
      <c r="AEM105" s="267"/>
      <c r="AEN105" s="267"/>
      <c r="AEO105" s="267"/>
      <c r="AEP105" s="267"/>
      <c r="AEQ105" s="267"/>
      <c r="AER105" s="267"/>
      <c r="AES105" s="267"/>
      <c r="AET105" s="267"/>
      <c r="AEU105" s="267"/>
      <c r="AEV105" s="267"/>
      <c r="AEW105" s="267"/>
      <c r="AEX105" s="267"/>
      <c r="AEY105" s="267"/>
      <c r="AEZ105" s="267"/>
      <c r="AFA105" s="267"/>
      <c r="AFB105" s="267"/>
      <c r="AFC105" s="267"/>
      <c r="AFD105" s="267"/>
      <c r="AFE105" s="267"/>
      <c r="AFF105" s="267"/>
      <c r="AFG105" s="267"/>
      <c r="AFH105" s="267"/>
      <c r="AFI105" s="267"/>
      <c r="AFJ105" s="267"/>
      <c r="AFK105" s="267"/>
      <c r="AFL105" s="267"/>
      <c r="AFM105" s="267"/>
      <c r="AFN105" s="267"/>
      <c r="AFO105" s="267"/>
      <c r="AFP105" s="267"/>
      <c r="AFQ105" s="267"/>
      <c r="AFR105" s="267"/>
      <c r="AFS105" s="267"/>
      <c r="AFT105" s="267"/>
      <c r="AFU105" s="267"/>
      <c r="AFV105" s="267"/>
      <c r="AFW105" s="267"/>
      <c r="AFX105" s="267"/>
      <c r="AFY105" s="267"/>
      <c r="AFZ105" s="267"/>
      <c r="AGA105" s="267"/>
      <c r="AGB105" s="267"/>
      <c r="AGC105" s="267"/>
      <c r="AGD105" s="267"/>
      <c r="AGE105" s="267"/>
      <c r="AGF105" s="267"/>
      <c r="AGG105" s="267"/>
      <c r="AGH105" s="267"/>
      <c r="AGI105" s="267"/>
      <c r="AGJ105" s="267"/>
      <c r="AGK105" s="267"/>
      <c r="AGL105" s="267"/>
      <c r="AGM105" s="267"/>
      <c r="AGN105" s="267"/>
      <c r="AGO105" s="267"/>
      <c r="AGP105" s="267"/>
      <c r="AGQ105" s="267"/>
      <c r="AGR105" s="267"/>
      <c r="AGS105" s="267"/>
      <c r="AGT105" s="267"/>
      <c r="AGU105" s="267"/>
      <c r="AGV105" s="267"/>
      <c r="AGW105" s="267"/>
      <c r="AGX105" s="267"/>
      <c r="AGY105" s="267"/>
      <c r="AGZ105" s="267"/>
      <c r="AHA105" s="267"/>
      <c r="AHB105" s="267"/>
      <c r="AHC105" s="267"/>
      <c r="AHD105" s="267"/>
      <c r="AHE105" s="267"/>
      <c r="AHF105" s="267"/>
      <c r="AHG105" s="267"/>
      <c r="AHH105" s="267"/>
      <c r="AHI105" s="267"/>
      <c r="AHJ105" s="267"/>
      <c r="AHK105" s="267"/>
      <c r="AHL105" s="267"/>
      <c r="AHM105" s="267"/>
      <c r="AHN105" s="267"/>
      <c r="AHO105" s="267"/>
      <c r="AHP105" s="267"/>
      <c r="AHQ105" s="267"/>
      <c r="AHR105" s="267"/>
      <c r="AHS105" s="267"/>
      <c r="AHT105" s="267"/>
      <c r="AHU105" s="267"/>
      <c r="AHV105" s="267"/>
      <c r="AHW105" s="267"/>
      <c r="AHX105" s="267"/>
      <c r="AHY105" s="267"/>
      <c r="AHZ105" s="267"/>
      <c r="AIA105" s="267"/>
      <c r="AIB105" s="267"/>
      <c r="AIC105" s="267"/>
      <c r="AID105" s="267"/>
      <c r="AIE105" s="267"/>
      <c r="AIF105" s="267"/>
      <c r="AIG105" s="267"/>
      <c r="AIH105" s="267"/>
      <c r="AII105" s="267"/>
      <c r="AIJ105" s="267"/>
      <c r="AIK105" s="267"/>
      <c r="AIL105" s="267"/>
      <c r="AIM105" s="267"/>
      <c r="AIN105" s="267"/>
      <c r="AIO105" s="267"/>
      <c r="AIP105" s="267"/>
      <c r="AIQ105" s="267"/>
      <c r="AIR105" s="267"/>
      <c r="AIS105" s="267"/>
      <c r="AIT105" s="267"/>
      <c r="AIU105" s="267"/>
      <c r="AIV105" s="267"/>
      <c r="AIW105" s="267"/>
      <c r="AIX105" s="267"/>
      <c r="AIY105" s="267"/>
      <c r="AIZ105" s="267"/>
      <c r="AJA105" s="267"/>
      <c r="AJB105" s="267"/>
      <c r="AJC105" s="267"/>
      <c r="AJD105" s="267"/>
      <c r="AJE105" s="267"/>
      <c r="AJF105" s="267"/>
      <c r="AJG105" s="267"/>
      <c r="AJH105" s="267"/>
      <c r="AJI105" s="267"/>
      <c r="AJJ105" s="267"/>
      <c r="AJK105" s="267"/>
      <c r="AJL105" s="267"/>
      <c r="AJM105" s="267"/>
      <c r="AJN105" s="267"/>
      <c r="AJO105" s="267"/>
      <c r="AJP105" s="267"/>
      <c r="AJQ105" s="267"/>
      <c r="AJR105" s="267"/>
      <c r="AJS105" s="267"/>
      <c r="AJT105" s="267"/>
      <c r="AJU105" s="267"/>
      <c r="AJV105" s="267"/>
      <c r="AJW105" s="267"/>
      <c r="AJX105" s="267"/>
      <c r="AJY105" s="267"/>
      <c r="AJZ105" s="267"/>
      <c r="AKA105" s="267"/>
      <c r="AKB105" s="267"/>
      <c r="AKC105" s="267"/>
      <c r="AKD105" s="267"/>
      <c r="AKE105" s="267"/>
      <c r="AKF105" s="267"/>
      <c r="AKG105" s="267"/>
      <c r="AKH105" s="267"/>
      <c r="AKI105" s="267"/>
      <c r="AKJ105" s="267"/>
      <c r="AKK105" s="267"/>
      <c r="AKL105" s="267"/>
      <c r="AKM105" s="267"/>
      <c r="AKN105" s="267"/>
      <c r="AKO105" s="267"/>
      <c r="AKP105" s="267"/>
      <c r="AKQ105" s="267"/>
      <c r="AKR105" s="267"/>
      <c r="AKS105" s="267"/>
      <c r="AKT105" s="267"/>
      <c r="AKU105" s="267"/>
      <c r="AKV105" s="267"/>
      <c r="AKW105" s="267"/>
      <c r="AKX105" s="267"/>
      <c r="AKY105" s="267"/>
      <c r="AKZ105" s="267"/>
      <c r="ALA105" s="267"/>
      <c r="ALB105" s="267"/>
      <c r="ALC105" s="267"/>
      <c r="ALD105" s="267"/>
      <c r="ALE105" s="267"/>
      <c r="ALF105" s="267"/>
      <c r="ALG105" s="267"/>
      <c r="ALH105" s="267"/>
      <c r="ALI105" s="267"/>
      <c r="ALJ105" s="267"/>
      <c r="ALK105" s="267"/>
      <c r="ALL105" s="267"/>
      <c r="ALM105" s="267"/>
      <c r="ALN105" s="267"/>
      <c r="ALO105" s="267"/>
      <c r="ALP105" s="267"/>
      <c r="ALQ105" s="267"/>
      <c r="ALR105" s="267"/>
      <c r="ALS105" s="267"/>
      <c r="ALT105" s="267"/>
      <c r="ALU105" s="267"/>
      <c r="ALV105" s="267"/>
      <c r="ALW105" s="267"/>
      <c r="ALX105" s="267"/>
      <c r="ALY105" s="267"/>
      <c r="ALZ105" s="267"/>
      <c r="AMA105" s="267"/>
      <c r="AMB105" s="267"/>
      <c r="AMC105" s="267"/>
      <c r="AMD105" s="267"/>
      <c r="AME105" s="267"/>
      <c r="AMF105" s="267"/>
      <c r="AMG105" s="267"/>
      <c r="AMH105" s="267"/>
      <c r="AMI105" s="267"/>
      <c r="AMJ105" s="267"/>
      <c r="AMK105" s="267"/>
      <c r="AML105" s="267"/>
      <c r="AMM105" s="267"/>
      <c r="AMN105" s="267"/>
      <c r="AMO105" s="267"/>
      <c r="AMP105" s="267"/>
      <c r="AMQ105" s="267"/>
      <c r="AMR105" s="267"/>
      <c r="AMS105" s="267"/>
      <c r="AMT105" s="267"/>
      <c r="AMU105" s="267"/>
      <c r="AMV105" s="267"/>
      <c r="AMW105" s="267"/>
      <c r="AMX105" s="267"/>
      <c r="AMY105" s="267"/>
      <c r="AMZ105" s="267"/>
      <c r="ANA105" s="267"/>
      <c r="ANB105" s="267"/>
      <c r="ANC105" s="267"/>
      <c r="AND105" s="267"/>
      <c r="ANE105" s="267"/>
      <c r="ANF105" s="267"/>
      <c r="ANG105" s="267"/>
      <c r="ANH105" s="267"/>
      <c r="ANI105" s="267"/>
      <c r="ANJ105" s="267"/>
      <c r="ANK105" s="267"/>
      <c r="ANL105" s="267"/>
      <c r="ANM105" s="267"/>
      <c r="ANN105" s="267"/>
      <c r="ANO105" s="267"/>
      <c r="ANP105" s="267"/>
      <c r="ANQ105" s="267"/>
      <c r="ANR105" s="267"/>
      <c r="ANS105" s="267"/>
      <c r="ANT105" s="267"/>
      <c r="ANU105" s="267"/>
      <c r="ANV105" s="267"/>
      <c r="ANW105" s="267"/>
      <c r="ANX105" s="267"/>
      <c r="ANY105" s="267"/>
      <c r="ANZ105" s="267"/>
      <c r="AOA105" s="267"/>
      <c r="AOB105" s="267"/>
      <c r="AOC105" s="267"/>
      <c r="AOD105" s="267"/>
      <c r="AOE105" s="267"/>
      <c r="AOF105" s="267"/>
      <c r="AOG105" s="267"/>
      <c r="AOH105" s="267"/>
      <c r="AOI105" s="267"/>
      <c r="AOJ105" s="267"/>
      <c r="AOK105" s="267"/>
      <c r="AOL105" s="267"/>
      <c r="AOM105" s="267"/>
      <c r="AON105" s="267"/>
      <c r="AOO105" s="267"/>
      <c r="AOP105" s="267"/>
      <c r="AOQ105" s="267"/>
      <c r="AOR105" s="267"/>
      <c r="AOS105" s="267"/>
      <c r="AOT105" s="267"/>
      <c r="AOU105" s="267"/>
      <c r="AOV105" s="267"/>
      <c r="AOW105" s="267"/>
      <c r="AOX105" s="267"/>
      <c r="AOY105" s="267"/>
      <c r="AOZ105" s="267"/>
      <c r="APA105" s="267"/>
      <c r="APB105" s="267"/>
      <c r="APC105" s="267"/>
      <c r="APD105" s="267"/>
      <c r="APE105" s="267"/>
      <c r="APF105" s="267"/>
      <c r="APG105" s="267"/>
      <c r="APH105" s="267"/>
      <c r="API105" s="267"/>
      <c r="APJ105" s="267"/>
      <c r="APK105" s="267"/>
      <c r="APL105" s="267"/>
      <c r="APM105" s="267"/>
      <c r="APN105" s="267"/>
      <c r="APO105" s="267"/>
      <c r="APP105" s="267"/>
      <c r="APQ105" s="267"/>
      <c r="APR105" s="267"/>
      <c r="APS105" s="267"/>
      <c r="APT105" s="267"/>
      <c r="APU105" s="267"/>
      <c r="APV105" s="267"/>
      <c r="APW105" s="267"/>
      <c r="APX105" s="267"/>
      <c r="APY105" s="267"/>
      <c r="APZ105" s="267"/>
      <c r="AQA105" s="267"/>
      <c r="AQB105" s="267"/>
      <c r="AQC105" s="267"/>
      <c r="AQD105" s="267"/>
      <c r="AQE105" s="267"/>
      <c r="AQF105" s="267"/>
      <c r="AQG105" s="267"/>
      <c r="AQH105" s="267"/>
      <c r="AQI105" s="267"/>
      <c r="AQJ105" s="267"/>
      <c r="AQK105" s="267"/>
      <c r="AQL105" s="267"/>
      <c r="AQM105" s="267"/>
      <c r="AQN105" s="267"/>
      <c r="AQO105" s="267"/>
      <c r="AQP105" s="267"/>
      <c r="AQQ105" s="267"/>
      <c r="AQR105" s="267"/>
      <c r="AQS105" s="267"/>
      <c r="AQT105" s="267"/>
      <c r="AQU105" s="267"/>
      <c r="AQV105" s="267"/>
      <c r="AQW105" s="267"/>
      <c r="AQX105" s="267"/>
      <c r="AQY105" s="267"/>
      <c r="AQZ105" s="267"/>
      <c r="ARA105" s="267"/>
      <c r="ARB105" s="267"/>
      <c r="ARC105" s="267"/>
      <c r="ARD105" s="267"/>
      <c r="ARE105" s="267"/>
      <c r="ARF105" s="267"/>
      <c r="ARG105" s="267"/>
      <c r="ARH105" s="267"/>
      <c r="ARI105" s="267"/>
      <c r="ARJ105" s="267"/>
      <c r="ARK105" s="267"/>
      <c r="ARL105" s="267"/>
      <c r="ARM105" s="267"/>
      <c r="ARN105" s="267"/>
      <c r="ARO105" s="267"/>
      <c r="ARP105" s="267"/>
      <c r="ARQ105" s="267"/>
      <c r="ARR105" s="267"/>
      <c r="ARS105" s="267"/>
      <c r="ART105" s="267"/>
      <c r="ARU105" s="267"/>
      <c r="ARV105" s="267"/>
      <c r="ARW105" s="267"/>
      <c r="ARX105" s="267"/>
      <c r="ARY105" s="267"/>
      <c r="ARZ105" s="267"/>
      <c r="ASA105" s="267"/>
      <c r="ASB105" s="267"/>
      <c r="ASC105" s="267"/>
      <c r="ASD105" s="267"/>
      <c r="ASE105" s="267"/>
      <c r="ASF105" s="267"/>
      <c r="ASG105" s="267"/>
      <c r="ASH105" s="267"/>
      <c r="ASI105" s="267"/>
      <c r="ASJ105" s="267"/>
      <c r="ASK105" s="267"/>
      <c r="ASL105" s="267"/>
      <c r="ASM105" s="267"/>
      <c r="ASN105" s="267"/>
      <c r="ASO105" s="267"/>
      <c r="ASP105" s="267"/>
      <c r="ASQ105" s="267"/>
      <c r="ASR105" s="267"/>
      <c r="ASS105" s="267"/>
      <c r="AST105" s="267"/>
      <c r="ASU105" s="267"/>
      <c r="ASV105" s="267"/>
      <c r="ASW105" s="267"/>
      <c r="ASX105" s="267"/>
      <c r="ASY105" s="267"/>
      <c r="ASZ105" s="267"/>
      <c r="ATA105" s="267"/>
      <c r="ATB105" s="267"/>
      <c r="ATC105" s="267"/>
      <c r="ATD105" s="267"/>
      <c r="ATE105" s="267"/>
      <c r="ATF105" s="267"/>
      <c r="ATG105" s="267"/>
      <c r="ATH105" s="267"/>
      <c r="ATI105" s="267"/>
      <c r="ATJ105" s="267"/>
      <c r="ATK105" s="267"/>
      <c r="ATL105" s="267"/>
      <c r="ATM105" s="267"/>
      <c r="ATN105" s="267"/>
      <c r="ATO105" s="267"/>
      <c r="ATP105" s="267"/>
      <c r="ATQ105" s="267"/>
      <c r="ATR105" s="267"/>
      <c r="ATS105" s="267"/>
      <c r="ATT105" s="267"/>
      <c r="ATU105" s="267"/>
      <c r="ATV105" s="267"/>
      <c r="ATW105" s="267"/>
      <c r="ATX105" s="267"/>
      <c r="ATY105" s="267"/>
      <c r="ATZ105" s="267"/>
      <c r="AUA105" s="267"/>
      <c r="AUB105" s="267"/>
      <c r="AUC105" s="267"/>
      <c r="AUD105" s="267"/>
      <c r="AUE105" s="267"/>
      <c r="AUF105" s="267"/>
      <c r="AUG105" s="267"/>
      <c r="AUH105" s="267"/>
      <c r="AUI105" s="267"/>
      <c r="AUJ105" s="267"/>
      <c r="AUK105" s="267"/>
      <c r="AUL105" s="267"/>
      <c r="AUM105" s="267"/>
      <c r="AUN105" s="267"/>
      <c r="AUO105" s="267"/>
      <c r="AUP105" s="267"/>
      <c r="AUQ105" s="267"/>
      <c r="AUR105" s="267"/>
      <c r="AUS105" s="267"/>
      <c r="AUT105" s="267"/>
      <c r="AUU105" s="267"/>
      <c r="AUV105" s="267"/>
      <c r="AUW105" s="267"/>
      <c r="AUX105" s="267"/>
      <c r="AUY105" s="267"/>
      <c r="AUZ105" s="267"/>
      <c r="AVA105" s="267"/>
      <c r="AVB105" s="267"/>
      <c r="AVC105" s="267"/>
      <c r="AVD105" s="267"/>
      <c r="AVE105" s="267"/>
      <c r="AVF105" s="267"/>
      <c r="AVG105" s="267"/>
      <c r="AVH105" s="267"/>
      <c r="AVI105" s="267"/>
      <c r="AVJ105" s="267"/>
      <c r="AVK105" s="267"/>
      <c r="AVL105" s="267"/>
      <c r="AVM105" s="267"/>
      <c r="AVN105" s="267"/>
      <c r="AVO105" s="267"/>
      <c r="AVP105" s="267"/>
      <c r="AVQ105" s="267"/>
      <c r="AVR105" s="267"/>
      <c r="AVS105" s="267"/>
      <c r="AVT105" s="267"/>
      <c r="AVU105" s="267"/>
      <c r="AVV105" s="267"/>
      <c r="AVW105" s="267"/>
      <c r="AVX105" s="267"/>
      <c r="AVY105" s="267"/>
      <c r="AVZ105" s="267"/>
      <c r="AWA105" s="267"/>
      <c r="AWB105" s="267"/>
      <c r="AWC105" s="267"/>
      <c r="AWD105" s="267"/>
      <c r="AWE105" s="267"/>
      <c r="AWF105" s="267"/>
      <c r="AWG105" s="267"/>
      <c r="AWH105" s="267"/>
      <c r="AWI105" s="267"/>
      <c r="AWJ105" s="267"/>
      <c r="AWK105" s="267"/>
      <c r="AWL105" s="267"/>
      <c r="AWM105" s="267"/>
      <c r="AWN105" s="267"/>
      <c r="AWO105" s="267"/>
      <c r="AWP105" s="267"/>
      <c r="AWQ105" s="267"/>
      <c r="AWR105" s="267"/>
      <c r="AWS105" s="267"/>
      <c r="AWT105" s="267"/>
      <c r="AWU105" s="267"/>
      <c r="AWV105" s="267"/>
      <c r="AWW105" s="267"/>
      <c r="AWX105" s="267"/>
      <c r="AWY105" s="267"/>
      <c r="AWZ105" s="267"/>
      <c r="AXA105" s="267"/>
      <c r="AXB105" s="267"/>
      <c r="AXC105" s="267"/>
      <c r="AXD105" s="267"/>
      <c r="AXE105" s="267"/>
      <c r="AXF105" s="267"/>
      <c r="AXG105" s="267"/>
      <c r="AXH105" s="267"/>
      <c r="AXI105" s="267"/>
      <c r="AXJ105" s="267"/>
      <c r="AXK105" s="267"/>
      <c r="AXL105" s="267"/>
      <c r="AXM105" s="267"/>
      <c r="AXN105" s="267"/>
      <c r="AXO105" s="267"/>
      <c r="AXP105" s="267"/>
      <c r="AXQ105" s="267"/>
      <c r="AXR105" s="267"/>
      <c r="AXS105" s="267"/>
      <c r="AXT105" s="267"/>
      <c r="AXU105" s="267"/>
      <c r="AXV105" s="267"/>
      <c r="AXW105" s="267"/>
      <c r="AXX105" s="267"/>
      <c r="AXY105" s="267"/>
      <c r="AXZ105" s="267"/>
      <c r="AYA105" s="267"/>
      <c r="AYB105" s="267"/>
      <c r="AYC105" s="267"/>
      <c r="AYD105" s="267"/>
      <c r="AYE105" s="267"/>
      <c r="AYF105" s="267"/>
      <c r="AYG105" s="267"/>
      <c r="AYH105" s="267"/>
      <c r="AYI105" s="267"/>
      <c r="AYJ105" s="267"/>
      <c r="AYK105" s="267"/>
      <c r="AYL105" s="267"/>
      <c r="AYM105" s="267"/>
      <c r="AYN105" s="267"/>
      <c r="AYO105" s="267"/>
      <c r="AYP105" s="267"/>
      <c r="AYQ105" s="267"/>
      <c r="AYR105" s="267"/>
      <c r="AYS105" s="267"/>
      <c r="AYT105" s="267"/>
      <c r="AYU105" s="267"/>
      <c r="AYV105" s="267"/>
      <c r="AYW105" s="267"/>
      <c r="AYX105" s="267"/>
      <c r="AYY105" s="267"/>
      <c r="AYZ105" s="267"/>
      <c r="AZA105" s="267"/>
      <c r="AZB105" s="267"/>
      <c r="AZC105" s="267"/>
      <c r="AZD105" s="267"/>
      <c r="AZE105" s="267"/>
      <c r="AZF105" s="267"/>
      <c r="AZG105" s="267"/>
      <c r="AZH105" s="267"/>
      <c r="AZI105" s="267"/>
      <c r="AZJ105" s="267"/>
      <c r="AZK105" s="267"/>
      <c r="AZL105" s="267"/>
      <c r="AZM105" s="267"/>
      <c r="AZN105" s="267"/>
      <c r="AZO105" s="267"/>
      <c r="AZP105" s="267"/>
      <c r="AZQ105" s="267"/>
      <c r="AZR105" s="267"/>
      <c r="AZS105" s="267"/>
      <c r="AZT105" s="267"/>
      <c r="AZU105" s="267"/>
      <c r="AZV105" s="267"/>
      <c r="AZW105" s="267"/>
      <c r="AZX105" s="267"/>
      <c r="AZY105" s="267"/>
      <c r="AZZ105" s="267"/>
      <c r="BAA105" s="267"/>
      <c r="BAB105" s="267"/>
      <c r="BAC105" s="267"/>
      <c r="BAD105" s="267"/>
      <c r="BAE105" s="267"/>
      <c r="BAF105" s="267"/>
      <c r="BAG105" s="267"/>
      <c r="BAH105" s="267"/>
      <c r="BAI105" s="267"/>
      <c r="BAJ105" s="267"/>
      <c r="BAK105" s="267"/>
      <c r="BAL105" s="267"/>
      <c r="BAM105" s="267"/>
      <c r="BAN105" s="267"/>
      <c r="BAO105" s="267"/>
      <c r="BAP105" s="267"/>
      <c r="BAQ105" s="267"/>
      <c r="BAR105" s="267"/>
      <c r="BAS105" s="267"/>
      <c r="BAT105" s="267"/>
      <c r="BAU105" s="267"/>
      <c r="BAV105" s="267"/>
      <c r="BAW105" s="267"/>
      <c r="BAX105" s="267"/>
      <c r="BAY105" s="267"/>
      <c r="BAZ105" s="267"/>
      <c r="BBA105" s="267"/>
      <c r="BBB105" s="267"/>
      <c r="BBC105" s="267"/>
      <c r="BBD105" s="267"/>
      <c r="BBE105" s="267"/>
      <c r="BBF105" s="267"/>
      <c r="BBG105" s="267"/>
      <c r="BBH105" s="267"/>
      <c r="BBI105" s="267"/>
      <c r="BBJ105" s="267"/>
      <c r="BBK105" s="267"/>
      <c r="BBL105" s="267"/>
      <c r="BBM105" s="267"/>
      <c r="BBN105" s="267"/>
      <c r="BBO105" s="267"/>
      <c r="BBP105" s="267"/>
      <c r="BBQ105" s="267"/>
      <c r="BBR105" s="267"/>
      <c r="BBS105" s="267"/>
      <c r="BBT105" s="267"/>
      <c r="BBU105" s="267"/>
      <c r="BBV105" s="267"/>
      <c r="BBW105" s="267"/>
      <c r="BBX105" s="267"/>
      <c r="BBY105" s="267"/>
      <c r="BBZ105" s="267"/>
      <c r="BCA105" s="267"/>
      <c r="BCB105" s="267"/>
      <c r="BCC105" s="267"/>
      <c r="BCD105" s="267"/>
      <c r="BCE105" s="267"/>
      <c r="BCF105" s="267"/>
      <c r="BCG105" s="267"/>
      <c r="BCH105" s="267"/>
      <c r="BCI105" s="267"/>
      <c r="BCJ105" s="267"/>
      <c r="BCK105" s="267"/>
      <c r="BCL105" s="267"/>
      <c r="BCM105" s="267"/>
      <c r="BCN105" s="267"/>
      <c r="BCO105" s="267"/>
      <c r="BCP105" s="267"/>
      <c r="BCQ105" s="267"/>
      <c r="BCR105" s="267"/>
      <c r="BCS105" s="267"/>
      <c r="BCT105" s="267"/>
      <c r="BCU105" s="267"/>
      <c r="BCV105" s="267"/>
      <c r="BCW105" s="267"/>
      <c r="BCX105" s="267"/>
      <c r="BCY105" s="267"/>
      <c r="BCZ105" s="267"/>
      <c r="BDA105" s="267"/>
      <c r="BDB105" s="267"/>
      <c r="BDC105" s="267"/>
      <c r="BDD105" s="267"/>
      <c r="BDE105" s="267"/>
      <c r="BDF105" s="267"/>
      <c r="BDG105" s="267"/>
      <c r="BDH105" s="267"/>
      <c r="BDI105" s="267"/>
      <c r="BDJ105" s="267"/>
      <c r="BDK105" s="267"/>
      <c r="BDL105" s="267"/>
      <c r="BDM105" s="267"/>
      <c r="BDN105" s="267"/>
      <c r="BDO105" s="267"/>
      <c r="BDP105" s="267"/>
      <c r="BDQ105" s="267"/>
      <c r="BDR105" s="267"/>
      <c r="BDS105" s="267"/>
      <c r="BDT105" s="267"/>
      <c r="BDU105" s="267"/>
      <c r="BDV105" s="267"/>
      <c r="BDW105" s="267"/>
      <c r="BDX105" s="267"/>
      <c r="BDY105" s="267"/>
      <c r="BDZ105" s="267"/>
      <c r="BEA105" s="267"/>
      <c r="BEB105" s="267"/>
      <c r="BEC105" s="267"/>
      <c r="BED105" s="267"/>
      <c r="BEE105" s="267"/>
      <c r="BEF105" s="267"/>
      <c r="BEG105" s="267"/>
      <c r="BEH105" s="267"/>
      <c r="BEI105" s="267"/>
      <c r="BEJ105" s="267"/>
      <c r="BEK105" s="267"/>
      <c r="BEL105" s="267"/>
      <c r="BEM105" s="267"/>
      <c r="BEN105" s="267"/>
      <c r="BEO105" s="267"/>
      <c r="BEP105" s="267"/>
      <c r="BEQ105" s="267"/>
      <c r="BER105" s="267"/>
      <c r="BES105" s="267"/>
      <c r="BET105" s="267"/>
      <c r="BEU105" s="267"/>
      <c r="BEV105" s="267"/>
      <c r="BEW105" s="267"/>
      <c r="BEX105" s="267"/>
      <c r="BEY105" s="267"/>
      <c r="BEZ105" s="267"/>
      <c r="BFA105" s="267"/>
      <c r="BFB105" s="267"/>
      <c r="BFC105" s="267"/>
      <c r="BFD105" s="267"/>
      <c r="BFE105" s="267"/>
      <c r="BFF105" s="267"/>
      <c r="BFG105" s="267"/>
      <c r="BFH105" s="267"/>
      <c r="BFI105" s="267"/>
      <c r="BFJ105" s="267"/>
      <c r="BFK105" s="267"/>
      <c r="BFL105" s="267"/>
      <c r="BFM105" s="267"/>
      <c r="BFN105" s="267"/>
      <c r="BFO105" s="267"/>
      <c r="BFP105" s="267"/>
      <c r="BFQ105" s="267"/>
      <c r="BFR105" s="267"/>
      <c r="BFS105" s="267"/>
      <c r="BFT105" s="267"/>
      <c r="BFU105" s="267"/>
      <c r="BFV105" s="267"/>
      <c r="BFW105" s="267"/>
      <c r="BFX105" s="267"/>
      <c r="BFY105" s="267"/>
      <c r="BFZ105" s="267"/>
      <c r="BGA105" s="267"/>
      <c r="BGB105" s="267"/>
      <c r="BGC105" s="267"/>
      <c r="BGD105" s="267"/>
      <c r="BGE105" s="267"/>
      <c r="BGF105" s="267"/>
      <c r="BGG105" s="267"/>
      <c r="BGH105" s="267"/>
      <c r="BGI105" s="267"/>
      <c r="BGJ105" s="267"/>
      <c r="BGK105" s="267"/>
      <c r="BGL105" s="267"/>
      <c r="BGM105" s="267"/>
      <c r="BGN105" s="267"/>
      <c r="BGO105" s="267"/>
      <c r="BGP105" s="267"/>
      <c r="BGQ105" s="267"/>
      <c r="BGR105" s="267"/>
      <c r="BGS105" s="267"/>
      <c r="BGT105" s="267"/>
      <c r="BGU105" s="267"/>
      <c r="BGV105" s="267"/>
      <c r="BGW105" s="267"/>
      <c r="BGX105" s="267"/>
      <c r="BGY105" s="267"/>
      <c r="BGZ105" s="267"/>
      <c r="BHA105" s="267"/>
      <c r="BHB105" s="267"/>
      <c r="BHC105" s="267"/>
      <c r="BHD105" s="267"/>
      <c r="BHE105" s="267"/>
      <c r="BHF105" s="267"/>
      <c r="BHG105" s="267"/>
      <c r="BHH105" s="267"/>
      <c r="BHI105" s="267"/>
      <c r="BHJ105" s="267"/>
      <c r="BHK105" s="267"/>
      <c r="BHL105" s="267"/>
      <c r="BHM105" s="267"/>
      <c r="BHN105" s="267"/>
      <c r="BHO105" s="267"/>
      <c r="BHP105" s="267"/>
      <c r="BHQ105" s="267"/>
      <c r="BHR105" s="267"/>
      <c r="BHS105" s="267"/>
      <c r="BHT105" s="267"/>
      <c r="BHU105" s="267"/>
      <c r="BHV105" s="267"/>
      <c r="BHW105" s="267"/>
      <c r="BHX105" s="267"/>
      <c r="BHY105" s="267"/>
      <c r="BHZ105" s="267"/>
      <c r="BIA105" s="267"/>
      <c r="BIB105" s="267"/>
      <c r="BIC105" s="267"/>
      <c r="BID105" s="267"/>
      <c r="BIE105" s="267"/>
      <c r="BIF105" s="267"/>
      <c r="BIG105" s="267"/>
      <c r="BIH105" s="267"/>
      <c r="BII105" s="267"/>
      <c r="BIJ105" s="267"/>
      <c r="BIK105" s="267"/>
      <c r="BIL105" s="267"/>
      <c r="BIM105" s="267"/>
      <c r="BIN105" s="267"/>
      <c r="BIO105" s="267"/>
      <c r="BIP105" s="267"/>
      <c r="BIQ105" s="267"/>
      <c r="BIR105" s="267"/>
      <c r="BIS105" s="267"/>
      <c r="BIT105" s="267"/>
      <c r="BIU105" s="267"/>
      <c r="BIV105" s="267"/>
      <c r="BIW105" s="267"/>
      <c r="BIX105" s="267"/>
      <c r="BIY105" s="267"/>
      <c r="BIZ105" s="267"/>
      <c r="BJA105" s="267"/>
      <c r="BJB105" s="267"/>
      <c r="BJC105" s="267"/>
      <c r="BJD105" s="267"/>
      <c r="BJE105" s="267"/>
      <c r="BJF105" s="267"/>
      <c r="BJG105" s="267"/>
      <c r="BJH105" s="267"/>
      <c r="BJI105" s="267"/>
      <c r="BJJ105" s="267"/>
      <c r="BJK105" s="267"/>
      <c r="BJL105" s="267"/>
      <c r="BJM105" s="267"/>
      <c r="BJN105" s="267"/>
      <c r="BJO105" s="267"/>
      <c r="BJP105" s="267"/>
      <c r="BJQ105" s="267"/>
      <c r="BJR105" s="267"/>
      <c r="BJS105" s="267"/>
      <c r="BJT105" s="267"/>
      <c r="BJU105" s="267"/>
      <c r="BJV105" s="267"/>
      <c r="BJW105" s="267"/>
      <c r="BJX105" s="267"/>
      <c r="BJY105" s="267"/>
      <c r="BJZ105" s="267"/>
      <c r="BKA105" s="267"/>
      <c r="BKB105" s="267"/>
      <c r="BKC105" s="267"/>
      <c r="BKD105" s="267"/>
      <c r="BKE105" s="267"/>
      <c r="BKF105" s="267"/>
      <c r="BKG105" s="267"/>
      <c r="BKH105" s="267"/>
      <c r="BKI105" s="267"/>
      <c r="BKJ105" s="267"/>
      <c r="BKK105" s="267"/>
      <c r="BKL105" s="267"/>
      <c r="BKM105" s="267"/>
      <c r="BKN105" s="267"/>
      <c r="BKO105" s="267"/>
      <c r="BKP105" s="267"/>
      <c r="BKQ105" s="267"/>
      <c r="BKR105" s="267"/>
      <c r="BKS105" s="267"/>
      <c r="BKT105" s="267"/>
      <c r="BKU105" s="267"/>
      <c r="BKV105" s="267"/>
      <c r="BKW105" s="267"/>
      <c r="BKX105" s="267"/>
      <c r="BKY105" s="267"/>
      <c r="BKZ105" s="267"/>
      <c r="BLA105" s="267"/>
      <c r="BLB105" s="267"/>
      <c r="BLC105" s="267"/>
      <c r="BLD105" s="267"/>
      <c r="BLE105" s="267"/>
      <c r="BLF105" s="267"/>
      <c r="BLG105" s="267"/>
      <c r="BLH105" s="267"/>
      <c r="BLI105" s="267"/>
      <c r="BLJ105" s="267"/>
      <c r="BLK105" s="267"/>
      <c r="BLL105" s="267"/>
      <c r="BLM105" s="267"/>
      <c r="BLN105" s="267"/>
      <c r="BLO105" s="267"/>
      <c r="BLP105" s="267"/>
      <c r="BLQ105" s="267"/>
      <c r="BLR105" s="267"/>
      <c r="BLS105" s="267"/>
      <c r="BLT105" s="267"/>
      <c r="BLU105" s="267"/>
      <c r="BLV105" s="267"/>
      <c r="BLW105" s="267"/>
      <c r="BLX105" s="267"/>
      <c r="BLY105" s="267"/>
      <c r="BLZ105" s="267"/>
      <c r="BMA105" s="267"/>
      <c r="BMB105" s="267"/>
      <c r="BMC105" s="267"/>
      <c r="BMD105" s="267"/>
      <c r="BME105" s="267"/>
      <c r="BMF105" s="267"/>
      <c r="BMG105" s="267"/>
      <c r="BMH105" s="267"/>
      <c r="BMI105" s="267"/>
      <c r="BMJ105" s="267"/>
      <c r="BMK105" s="267"/>
      <c r="BML105" s="267"/>
      <c r="BMM105" s="267"/>
      <c r="BMN105" s="267"/>
      <c r="BMO105" s="267"/>
      <c r="BMP105" s="267"/>
      <c r="BMQ105" s="267"/>
      <c r="BMR105" s="267"/>
      <c r="BMS105" s="267"/>
      <c r="BMT105" s="267"/>
      <c r="BMU105" s="267"/>
      <c r="BMV105" s="267"/>
      <c r="BMW105" s="267"/>
      <c r="BMX105" s="267"/>
      <c r="BMY105" s="267"/>
      <c r="BMZ105" s="267"/>
      <c r="BNA105" s="267"/>
      <c r="BNB105" s="267"/>
      <c r="BNC105" s="267"/>
      <c r="BND105" s="267"/>
      <c r="BNE105" s="267"/>
      <c r="BNF105" s="267"/>
      <c r="BNG105" s="267"/>
      <c r="BNH105" s="267"/>
      <c r="BNI105" s="267"/>
      <c r="BNJ105" s="267"/>
      <c r="BNK105" s="267"/>
      <c r="BNL105" s="267"/>
      <c r="BNM105" s="267"/>
      <c r="BNN105" s="267"/>
      <c r="BNO105" s="267"/>
      <c r="BNP105" s="267"/>
      <c r="BNQ105" s="267"/>
      <c r="BNR105" s="267"/>
      <c r="BNS105" s="267"/>
      <c r="BNT105" s="267"/>
      <c r="BNU105" s="267"/>
      <c r="BNV105" s="267"/>
      <c r="BNW105" s="267"/>
      <c r="BNX105" s="267"/>
      <c r="BNY105" s="267"/>
      <c r="BNZ105" s="267"/>
      <c r="BOA105" s="267"/>
      <c r="BOB105" s="267"/>
      <c r="BOC105" s="267"/>
      <c r="BOD105" s="267"/>
      <c r="BOE105" s="267"/>
      <c r="BOF105" s="267"/>
      <c r="BOG105" s="267"/>
      <c r="BOH105" s="267"/>
      <c r="BOI105" s="267"/>
      <c r="BOJ105" s="267"/>
      <c r="BOK105" s="267"/>
      <c r="BOL105" s="267"/>
      <c r="BOM105" s="267"/>
      <c r="BON105" s="267"/>
      <c r="BOO105" s="267"/>
      <c r="BOP105" s="267"/>
      <c r="BOQ105" s="267"/>
      <c r="BOR105" s="267"/>
      <c r="BOS105" s="267"/>
      <c r="BOT105" s="267"/>
      <c r="BOU105" s="267"/>
      <c r="BOV105" s="267"/>
      <c r="BOW105" s="267"/>
      <c r="BOX105" s="267"/>
      <c r="BOY105" s="267"/>
      <c r="BOZ105" s="267"/>
      <c r="BPA105" s="267"/>
      <c r="BPB105" s="267"/>
      <c r="BPC105" s="267"/>
      <c r="BPD105" s="267"/>
      <c r="BPE105" s="267"/>
      <c r="BPF105" s="267"/>
      <c r="BPG105" s="267"/>
      <c r="BPH105" s="267"/>
      <c r="BPI105" s="267"/>
      <c r="BPJ105" s="267"/>
      <c r="BPK105" s="267"/>
      <c r="BPL105" s="267"/>
      <c r="BPM105" s="267"/>
      <c r="BPN105" s="267"/>
      <c r="BPO105" s="267"/>
      <c r="BPP105" s="267"/>
      <c r="BPQ105" s="267"/>
      <c r="BPR105" s="267"/>
      <c r="BPS105" s="267"/>
      <c r="BPT105" s="267"/>
      <c r="BPU105" s="267"/>
      <c r="BPV105" s="267"/>
      <c r="BPW105" s="267"/>
      <c r="BPX105" s="267"/>
      <c r="BPY105" s="267"/>
      <c r="BPZ105" s="267"/>
      <c r="BQA105" s="267"/>
      <c r="BQB105" s="267"/>
      <c r="BQC105" s="267"/>
      <c r="BQD105" s="267"/>
      <c r="BQE105" s="267"/>
      <c r="BQF105" s="267"/>
      <c r="BQG105" s="267"/>
      <c r="BQH105" s="267"/>
      <c r="BQI105" s="267"/>
      <c r="BQJ105" s="267"/>
      <c r="BQK105" s="267"/>
      <c r="BQL105" s="267"/>
      <c r="BQM105" s="267"/>
      <c r="BQN105" s="267"/>
      <c r="BQO105" s="267"/>
      <c r="BQP105" s="267"/>
      <c r="BQQ105" s="267"/>
      <c r="BQR105" s="267"/>
      <c r="BQS105" s="267"/>
      <c r="BQT105" s="267"/>
      <c r="BQU105" s="267"/>
      <c r="BQV105" s="267"/>
      <c r="BQW105" s="267"/>
      <c r="BQX105" s="267"/>
      <c r="BQY105" s="267"/>
      <c r="BQZ105" s="267"/>
      <c r="BRA105" s="267"/>
      <c r="BRB105" s="267"/>
      <c r="BRC105" s="267"/>
      <c r="BRD105" s="267"/>
      <c r="BRE105" s="267"/>
      <c r="BRF105" s="267"/>
      <c r="BRG105" s="267"/>
      <c r="BRH105" s="267"/>
      <c r="BRI105" s="267"/>
      <c r="BRJ105" s="267"/>
      <c r="BRK105" s="267"/>
      <c r="BRL105" s="267"/>
      <c r="BRM105" s="267"/>
      <c r="BRN105" s="267"/>
      <c r="BRO105" s="267"/>
      <c r="BRP105" s="267"/>
      <c r="BRQ105" s="267"/>
      <c r="BRR105" s="267"/>
      <c r="BRS105" s="267"/>
      <c r="BRT105" s="267"/>
      <c r="BRU105" s="267"/>
      <c r="BRV105" s="267"/>
      <c r="BRW105" s="267"/>
      <c r="BRX105" s="267"/>
      <c r="BRY105" s="267"/>
      <c r="BRZ105" s="267"/>
      <c r="BSA105" s="267"/>
      <c r="BSB105" s="267"/>
      <c r="BSC105" s="267"/>
      <c r="BSD105" s="267"/>
      <c r="BSE105" s="267"/>
      <c r="BSF105" s="267"/>
      <c r="BSG105" s="267"/>
      <c r="BSH105" s="267"/>
      <c r="BSI105" s="267"/>
      <c r="BSJ105" s="267"/>
      <c r="BSK105" s="267"/>
      <c r="BSL105" s="267"/>
      <c r="BSM105" s="267"/>
      <c r="BSN105" s="267"/>
      <c r="BSO105" s="267"/>
      <c r="BSP105" s="267"/>
      <c r="BSQ105" s="267"/>
      <c r="BSR105" s="267"/>
      <c r="BSS105" s="267"/>
      <c r="BST105" s="267"/>
      <c r="BSU105" s="267"/>
      <c r="BSV105" s="267"/>
      <c r="BSW105" s="267"/>
      <c r="BSX105" s="267"/>
      <c r="BSY105" s="267"/>
      <c r="BSZ105" s="267"/>
      <c r="BTA105" s="267"/>
      <c r="BTB105" s="267"/>
      <c r="BTC105" s="267"/>
      <c r="BTD105" s="267"/>
      <c r="BTE105" s="267"/>
      <c r="BTF105" s="267"/>
      <c r="BTG105" s="267"/>
      <c r="BTH105" s="267"/>
      <c r="BTI105" s="267"/>
      <c r="BTJ105" s="267"/>
      <c r="BTK105" s="267"/>
      <c r="BTL105" s="267"/>
      <c r="BTM105" s="267"/>
      <c r="BTN105" s="267"/>
      <c r="BTO105" s="267"/>
      <c r="BTP105" s="267"/>
      <c r="BTQ105" s="267"/>
      <c r="BTR105" s="267"/>
      <c r="BTS105" s="267"/>
      <c r="BTT105" s="267"/>
      <c r="BTU105" s="267"/>
      <c r="BTV105" s="267"/>
      <c r="BTW105" s="267"/>
      <c r="BTX105" s="267"/>
      <c r="BTY105" s="267"/>
      <c r="BTZ105" s="267"/>
      <c r="BUA105" s="267"/>
      <c r="BUB105" s="267"/>
      <c r="BUC105" s="267"/>
      <c r="BUD105" s="267"/>
      <c r="BUE105" s="267"/>
      <c r="BUF105" s="267"/>
      <c r="BUG105" s="267"/>
      <c r="BUH105" s="267"/>
      <c r="BUI105" s="267"/>
      <c r="BUJ105" s="267"/>
      <c r="BUK105" s="267"/>
      <c r="BUL105" s="267"/>
      <c r="BUM105" s="267"/>
      <c r="BUN105" s="267"/>
      <c r="BUO105" s="267"/>
      <c r="BUP105" s="267"/>
      <c r="BUQ105" s="267"/>
      <c r="BUR105" s="267"/>
      <c r="BUS105" s="267"/>
      <c r="BUT105" s="267"/>
      <c r="BUU105" s="267"/>
      <c r="BUV105" s="267"/>
      <c r="BUW105" s="267"/>
      <c r="BUX105" s="267"/>
      <c r="BUY105" s="267"/>
      <c r="BUZ105" s="267"/>
      <c r="BVA105" s="267"/>
      <c r="BVB105" s="267"/>
      <c r="BVC105" s="267"/>
      <c r="BVD105" s="267"/>
      <c r="BVE105" s="267"/>
      <c r="BVF105" s="267"/>
      <c r="BVG105" s="267"/>
      <c r="BVH105" s="267"/>
      <c r="BVI105" s="267"/>
      <c r="BVJ105" s="267"/>
      <c r="BVK105" s="267"/>
      <c r="BVL105" s="267"/>
      <c r="BVM105" s="267"/>
      <c r="BVN105" s="267"/>
      <c r="BVO105" s="267"/>
      <c r="BVP105" s="267"/>
      <c r="BVQ105" s="267"/>
      <c r="BVR105" s="267"/>
      <c r="BVS105" s="267"/>
      <c r="BVT105" s="267"/>
      <c r="BVU105" s="267"/>
      <c r="BVV105" s="267"/>
      <c r="BVW105" s="267"/>
      <c r="BVX105" s="267"/>
      <c r="BVY105" s="267"/>
      <c r="BVZ105" s="267"/>
      <c r="BWA105" s="267"/>
      <c r="BWB105" s="267"/>
      <c r="BWC105" s="267"/>
      <c r="BWD105" s="267"/>
      <c r="BWE105" s="267"/>
      <c r="BWF105" s="267"/>
      <c r="BWG105" s="267"/>
      <c r="BWH105" s="267"/>
      <c r="BWI105" s="267"/>
      <c r="BWJ105" s="267"/>
      <c r="BWK105" s="267"/>
      <c r="BWL105" s="267"/>
      <c r="BWM105" s="267"/>
      <c r="BWN105" s="267"/>
      <c r="BWO105" s="267"/>
      <c r="BWP105" s="267"/>
      <c r="BWQ105" s="267"/>
      <c r="BWR105" s="267"/>
      <c r="BWS105" s="267"/>
      <c r="BWT105" s="267"/>
      <c r="BWU105" s="267"/>
      <c r="BWV105" s="267"/>
      <c r="BWW105" s="267"/>
      <c r="BWX105" s="267"/>
      <c r="BWY105" s="267"/>
      <c r="BWZ105" s="267"/>
      <c r="BXA105" s="267"/>
      <c r="BXB105" s="267"/>
      <c r="BXC105" s="267"/>
      <c r="BXD105" s="267"/>
      <c r="BXE105" s="267"/>
      <c r="BXF105" s="267"/>
      <c r="BXG105" s="267"/>
      <c r="BXH105" s="267"/>
      <c r="BXI105" s="267"/>
      <c r="BXJ105" s="267"/>
      <c r="BXK105" s="267"/>
      <c r="BXL105" s="267"/>
      <c r="BXM105" s="267"/>
      <c r="BXN105" s="267"/>
      <c r="BXO105" s="267"/>
      <c r="BXP105" s="267"/>
      <c r="BXQ105" s="267"/>
      <c r="BXR105" s="267"/>
      <c r="BXS105" s="267"/>
      <c r="BXT105" s="267"/>
      <c r="BXU105" s="267"/>
      <c r="BXV105" s="267"/>
      <c r="BXW105" s="267"/>
      <c r="BXX105" s="267"/>
      <c r="BXY105" s="267"/>
      <c r="BXZ105" s="267"/>
      <c r="BYA105" s="267"/>
      <c r="BYB105" s="267"/>
      <c r="BYC105" s="267"/>
      <c r="BYD105" s="267"/>
      <c r="BYE105" s="267"/>
      <c r="BYF105" s="267"/>
      <c r="BYG105" s="267"/>
      <c r="BYH105" s="267"/>
      <c r="BYI105" s="267"/>
      <c r="BYJ105" s="267"/>
      <c r="BYK105" s="267"/>
      <c r="BYL105" s="267"/>
      <c r="BYM105" s="267"/>
      <c r="BYN105" s="267"/>
      <c r="BYO105" s="267"/>
      <c r="BYP105" s="267"/>
      <c r="BYQ105" s="267"/>
      <c r="BYR105" s="267"/>
      <c r="BYS105" s="267"/>
      <c r="BYT105" s="267"/>
      <c r="BYU105" s="267"/>
      <c r="BYV105" s="267"/>
      <c r="BYW105" s="267"/>
      <c r="BYX105" s="267"/>
      <c r="BYY105" s="267"/>
      <c r="BYZ105" s="267"/>
      <c r="BZA105" s="267"/>
      <c r="BZB105" s="267"/>
      <c r="BZC105" s="267"/>
      <c r="BZD105" s="267"/>
      <c r="BZE105" s="267"/>
      <c r="BZF105" s="267"/>
      <c r="BZG105" s="267"/>
      <c r="BZH105" s="267"/>
      <c r="BZI105" s="267"/>
      <c r="BZJ105" s="267"/>
      <c r="BZK105" s="267"/>
      <c r="BZL105" s="267"/>
      <c r="BZM105" s="267"/>
      <c r="BZN105" s="267"/>
      <c r="BZO105" s="267"/>
      <c r="BZP105" s="267"/>
      <c r="BZQ105" s="267"/>
      <c r="BZR105" s="267"/>
      <c r="BZS105" s="267"/>
      <c r="BZT105" s="267"/>
      <c r="BZU105" s="267"/>
      <c r="BZV105" s="267"/>
      <c r="BZW105" s="267"/>
      <c r="BZX105" s="267"/>
      <c r="BZY105" s="267"/>
      <c r="BZZ105" s="267"/>
      <c r="CAA105" s="267"/>
      <c r="CAB105" s="267"/>
      <c r="CAC105" s="267"/>
      <c r="CAD105" s="267"/>
      <c r="CAE105" s="267"/>
      <c r="CAF105" s="267"/>
      <c r="CAG105" s="267"/>
      <c r="CAH105" s="267"/>
      <c r="CAI105" s="267"/>
      <c r="CAJ105" s="267"/>
      <c r="CAK105" s="267"/>
      <c r="CAL105" s="267"/>
      <c r="CAM105" s="267"/>
      <c r="CAN105" s="267"/>
      <c r="CAO105" s="267"/>
      <c r="CAP105" s="267"/>
      <c r="CAQ105" s="267"/>
      <c r="CAR105" s="267"/>
      <c r="CAS105" s="267"/>
      <c r="CAT105" s="267"/>
      <c r="CAU105" s="267"/>
      <c r="CAV105" s="267"/>
      <c r="CAW105" s="267"/>
      <c r="CAX105" s="267"/>
      <c r="CAY105" s="267"/>
      <c r="CAZ105" s="267"/>
      <c r="CBA105" s="267"/>
      <c r="CBB105" s="267"/>
      <c r="CBC105" s="267"/>
      <c r="CBD105" s="267"/>
      <c r="CBE105" s="267"/>
      <c r="CBF105" s="267"/>
      <c r="CBG105" s="267"/>
      <c r="CBH105" s="267"/>
      <c r="CBI105" s="267"/>
      <c r="CBJ105" s="267"/>
      <c r="CBK105" s="267"/>
      <c r="CBL105" s="267"/>
      <c r="CBM105" s="267"/>
      <c r="CBN105" s="267"/>
      <c r="CBO105" s="267"/>
      <c r="CBP105" s="267"/>
      <c r="CBQ105" s="267"/>
      <c r="CBR105" s="267"/>
      <c r="CBS105" s="267"/>
      <c r="CBT105" s="267"/>
      <c r="CBU105" s="267"/>
      <c r="CBV105" s="267"/>
      <c r="CBW105" s="267"/>
      <c r="CBX105" s="267"/>
      <c r="CBY105" s="267"/>
      <c r="CBZ105" s="267"/>
      <c r="CCA105" s="267"/>
      <c r="CCB105" s="267"/>
      <c r="CCC105" s="267"/>
      <c r="CCD105" s="267"/>
      <c r="CCE105" s="267"/>
      <c r="CCF105" s="267"/>
      <c r="CCG105" s="267"/>
      <c r="CCH105" s="267"/>
      <c r="CCI105" s="267"/>
      <c r="CCJ105" s="267"/>
      <c r="CCK105" s="267"/>
      <c r="CCL105" s="267"/>
      <c r="CCM105" s="267"/>
      <c r="CCN105" s="267"/>
      <c r="CCO105" s="267"/>
      <c r="CCP105" s="267"/>
      <c r="CCQ105" s="267"/>
      <c r="CCR105" s="267"/>
      <c r="CCS105" s="267"/>
      <c r="CCT105" s="267"/>
      <c r="CCU105" s="267"/>
      <c r="CCV105" s="267"/>
      <c r="CCW105" s="267"/>
      <c r="CCX105" s="267"/>
      <c r="CCY105" s="267"/>
      <c r="CCZ105" s="267"/>
      <c r="CDA105" s="267"/>
      <c r="CDB105" s="267"/>
      <c r="CDC105" s="267"/>
      <c r="CDD105" s="267"/>
      <c r="CDE105" s="267"/>
      <c r="CDF105" s="267"/>
      <c r="CDG105" s="267"/>
      <c r="CDH105" s="267"/>
      <c r="CDI105" s="267"/>
      <c r="CDJ105" s="267"/>
      <c r="CDK105" s="267"/>
      <c r="CDL105" s="267"/>
      <c r="CDM105" s="267"/>
      <c r="CDN105" s="267"/>
      <c r="CDO105" s="267"/>
      <c r="CDP105" s="267"/>
      <c r="CDQ105" s="267"/>
      <c r="CDR105" s="267"/>
      <c r="CDS105" s="267"/>
      <c r="CDT105" s="267"/>
      <c r="CDU105" s="267"/>
      <c r="CDV105" s="267"/>
      <c r="CDW105" s="267"/>
      <c r="CDX105" s="267"/>
      <c r="CDY105" s="267"/>
      <c r="CDZ105" s="267"/>
      <c r="CEA105" s="267"/>
      <c r="CEB105" s="267"/>
      <c r="CEC105" s="267"/>
      <c r="CED105" s="267"/>
      <c r="CEE105" s="267"/>
      <c r="CEF105" s="267"/>
      <c r="CEG105" s="267"/>
      <c r="CEH105" s="267"/>
      <c r="CEI105" s="267"/>
      <c r="CEJ105" s="267"/>
      <c r="CEK105" s="267"/>
      <c r="CEL105" s="267"/>
      <c r="CEM105" s="267"/>
      <c r="CEN105" s="267"/>
      <c r="CEO105" s="267"/>
      <c r="CEP105" s="267"/>
      <c r="CEQ105" s="267"/>
      <c r="CER105" s="267"/>
      <c r="CES105" s="267"/>
      <c r="CET105" s="267"/>
      <c r="CEU105" s="267"/>
      <c r="CEV105" s="267"/>
      <c r="CEW105" s="267"/>
      <c r="CEX105" s="267"/>
      <c r="CEY105" s="267"/>
      <c r="CEZ105" s="267"/>
      <c r="CFA105" s="267"/>
      <c r="CFB105" s="267"/>
      <c r="CFC105" s="267"/>
      <c r="CFD105" s="267"/>
      <c r="CFE105" s="267"/>
      <c r="CFF105" s="267"/>
      <c r="CFG105" s="267"/>
      <c r="CFH105" s="267"/>
      <c r="CFI105" s="267"/>
      <c r="CFJ105" s="267"/>
      <c r="CFK105" s="267"/>
      <c r="CFL105" s="267"/>
      <c r="CFM105" s="267"/>
      <c r="CFN105" s="267"/>
      <c r="CFO105" s="267"/>
      <c r="CFP105" s="267"/>
      <c r="CFQ105" s="267"/>
      <c r="CFR105" s="267"/>
      <c r="CFS105" s="267"/>
      <c r="CFT105" s="267"/>
      <c r="CFU105" s="267"/>
      <c r="CFV105" s="267"/>
      <c r="CFW105" s="267"/>
      <c r="CFX105" s="267"/>
      <c r="CFY105" s="267"/>
      <c r="CFZ105" s="267"/>
      <c r="CGA105" s="267"/>
      <c r="CGB105" s="267"/>
      <c r="CGC105" s="267"/>
      <c r="CGD105" s="267"/>
      <c r="CGE105" s="267"/>
      <c r="CGF105" s="267"/>
      <c r="CGG105" s="267"/>
      <c r="CGH105" s="267"/>
      <c r="CGI105" s="267"/>
      <c r="CGJ105" s="267"/>
      <c r="CGK105" s="267"/>
      <c r="CGL105" s="267"/>
      <c r="CGM105" s="267"/>
      <c r="CGN105" s="267"/>
      <c r="CGO105" s="267"/>
      <c r="CGP105" s="267"/>
      <c r="CGQ105" s="267"/>
      <c r="CGR105" s="267"/>
      <c r="CGS105" s="267"/>
      <c r="CGT105" s="267"/>
      <c r="CGU105" s="267"/>
      <c r="CGV105" s="267"/>
      <c r="CGW105" s="267"/>
      <c r="CGX105" s="267"/>
      <c r="CGY105" s="267"/>
      <c r="CGZ105" s="267"/>
      <c r="CHA105" s="267"/>
      <c r="CHB105" s="267"/>
      <c r="CHC105" s="267"/>
      <c r="CHD105" s="267"/>
      <c r="CHE105" s="267"/>
      <c r="CHF105" s="267"/>
      <c r="CHG105" s="267"/>
      <c r="CHH105" s="267"/>
      <c r="CHI105" s="267"/>
      <c r="CHJ105" s="267"/>
      <c r="CHK105" s="267"/>
      <c r="CHL105" s="267"/>
      <c r="CHM105" s="267"/>
      <c r="CHN105" s="267"/>
      <c r="CHO105" s="267"/>
      <c r="CHP105" s="267"/>
      <c r="CHQ105" s="267"/>
      <c r="CHR105" s="267"/>
      <c r="CHS105" s="267"/>
      <c r="CHT105" s="267"/>
      <c r="CHU105" s="267"/>
      <c r="CHV105" s="267"/>
      <c r="CHW105" s="267"/>
      <c r="CHX105" s="267"/>
      <c r="CHY105" s="267"/>
      <c r="CHZ105" s="267"/>
      <c r="CIA105" s="267"/>
      <c r="CIB105" s="267"/>
      <c r="CIC105" s="267"/>
      <c r="CID105" s="267"/>
      <c r="CIE105" s="267"/>
      <c r="CIF105" s="267"/>
      <c r="CIG105" s="267"/>
      <c r="CIH105" s="267"/>
      <c r="CII105" s="267"/>
      <c r="CIJ105" s="267"/>
      <c r="CIK105" s="267"/>
      <c r="CIL105" s="267"/>
      <c r="CIM105" s="267"/>
      <c r="CIN105" s="267"/>
      <c r="CIO105" s="267"/>
      <c r="CIP105" s="267"/>
      <c r="CIQ105" s="267"/>
      <c r="CIR105" s="267"/>
      <c r="CIS105" s="267"/>
      <c r="CIT105" s="267"/>
      <c r="CIU105" s="267"/>
      <c r="CIV105" s="267"/>
      <c r="CIW105" s="267"/>
      <c r="CIX105" s="267"/>
      <c r="CIY105" s="267"/>
      <c r="CIZ105" s="267"/>
      <c r="CJA105" s="267"/>
      <c r="CJB105" s="267"/>
      <c r="CJC105" s="267"/>
      <c r="CJD105" s="267"/>
      <c r="CJE105" s="267"/>
      <c r="CJF105" s="267"/>
      <c r="CJG105" s="267"/>
      <c r="CJH105" s="267"/>
      <c r="CJI105" s="267"/>
      <c r="CJJ105" s="267"/>
      <c r="CJK105" s="267"/>
      <c r="CJL105" s="267"/>
      <c r="CJM105" s="267"/>
      <c r="CJN105" s="267"/>
      <c r="CJO105" s="267"/>
      <c r="CJP105" s="267"/>
      <c r="CJQ105" s="267"/>
      <c r="CJR105" s="267"/>
      <c r="CJS105" s="267"/>
      <c r="CJT105" s="267"/>
      <c r="CJU105" s="267"/>
      <c r="CJV105" s="267"/>
      <c r="CJW105" s="267"/>
      <c r="CJX105" s="267"/>
      <c r="CJY105" s="267"/>
      <c r="CJZ105" s="267"/>
      <c r="CKA105" s="267"/>
      <c r="CKB105" s="267"/>
      <c r="CKC105" s="267"/>
      <c r="CKD105" s="267"/>
      <c r="CKE105" s="267"/>
      <c r="CKF105" s="267"/>
      <c r="CKG105" s="267"/>
      <c r="CKH105" s="267"/>
      <c r="CKI105" s="267"/>
      <c r="CKJ105" s="267"/>
      <c r="CKK105" s="267"/>
      <c r="CKL105" s="267"/>
      <c r="CKM105" s="267"/>
      <c r="CKN105" s="267"/>
      <c r="CKO105" s="267"/>
      <c r="CKP105" s="267"/>
      <c r="CKQ105" s="267"/>
      <c r="CKR105" s="267"/>
      <c r="CKS105" s="267"/>
      <c r="CKT105" s="267"/>
      <c r="CKU105" s="267"/>
      <c r="CKV105" s="267"/>
      <c r="CKW105" s="267"/>
      <c r="CKX105" s="267"/>
      <c r="CKY105" s="267"/>
      <c r="CKZ105" s="267"/>
      <c r="CLA105" s="267"/>
      <c r="CLB105" s="267"/>
      <c r="CLC105" s="267"/>
      <c r="CLD105" s="267"/>
      <c r="CLE105" s="267"/>
      <c r="CLF105" s="267"/>
      <c r="CLG105" s="267"/>
      <c r="CLH105" s="267"/>
      <c r="CLI105" s="267"/>
      <c r="CLJ105" s="267"/>
      <c r="CLK105" s="267"/>
      <c r="CLL105" s="267"/>
      <c r="CLM105" s="267"/>
      <c r="CLN105" s="267"/>
      <c r="CLO105" s="267"/>
      <c r="CLP105" s="267"/>
      <c r="CLQ105" s="267"/>
      <c r="CLR105" s="267"/>
      <c r="CLS105" s="267"/>
      <c r="CLT105" s="267"/>
      <c r="CLU105" s="267"/>
      <c r="CLV105" s="267"/>
      <c r="CLW105" s="267"/>
      <c r="CLX105" s="267"/>
      <c r="CLY105" s="267"/>
      <c r="CLZ105" s="267"/>
      <c r="CMA105" s="267"/>
      <c r="CMB105" s="267"/>
      <c r="CMC105" s="267"/>
      <c r="CMD105" s="267"/>
      <c r="CME105" s="267"/>
      <c r="CMF105" s="267"/>
      <c r="CMG105" s="267"/>
      <c r="CMH105" s="267"/>
      <c r="CMI105" s="267"/>
      <c r="CMJ105" s="267"/>
      <c r="CMK105" s="267"/>
      <c r="CML105" s="267"/>
      <c r="CMM105" s="267"/>
      <c r="CMN105" s="267"/>
      <c r="CMO105" s="267"/>
      <c r="CMP105" s="267"/>
      <c r="CMQ105" s="267"/>
      <c r="CMR105" s="267"/>
      <c r="CMS105" s="267"/>
      <c r="CMT105" s="267"/>
      <c r="CMU105" s="267"/>
      <c r="CMV105" s="267"/>
      <c r="CMW105" s="267"/>
      <c r="CMX105" s="267"/>
      <c r="CMY105" s="267"/>
      <c r="CMZ105" s="267"/>
      <c r="CNA105" s="267"/>
      <c r="CNB105" s="267"/>
      <c r="CNC105" s="267"/>
      <c r="CND105" s="267"/>
      <c r="CNE105" s="267"/>
      <c r="CNF105" s="267"/>
      <c r="CNG105" s="267"/>
      <c r="CNH105" s="267"/>
      <c r="CNI105" s="267"/>
      <c r="CNJ105" s="267"/>
      <c r="CNK105" s="267"/>
      <c r="CNL105" s="267"/>
      <c r="CNM105" s="267"/>
      <c r="CNN105" s="267"/>
      <c r="CNO105" s="267"/>
      <c r="CNP105" s="267"/>
      <c r="CNQ105" s="267"/>
      <c r="CNR105" s="267"/>
      <c r="CNS105" s="267"/>
      <c r="CNT105" s="267"/>
      <c r="CNU105" s="267"/>
      <c r="CNV105" s="267"/>
      <c r="CNW105" s="267"/>
      <c r="CNX105" s="267"/>
      <c r="CNY105" s="267"/>
      <c r="CNZ105" s="267"/>
      <c r="COA105" s="267"/>
      <c r="COB105" s="267"/>
      <c r="COC105" s="267"/>
      <c r="COD105" s="267"/>
      <c r="COE105" s="267"/>
      <c r="COF105" s="267"/>
      <c r="COG105" s="267"/>
      <c r="COH105" s="267"/>
      <c r="COI105" s="267"/>
      <c r="COJ105" s="267"/>
      <c r="COK105" s="267"/>
      <c r="COL105" s="267"/>
      <c r="COM105" s="267"/>
      <c r="CON105" s="267"/>
      <c r="COO105" s="267"/>
      <c r="COP105" s="267"/>
      <c r="COQ105" s="267"/>
      <c r="COR105" s="267"/>
      <c r="COS105" s="267"/>
      <c r="COT105" s="267"/>
      <c r="COU105" s="267"/>
      <c r="COV105" s="267"/>
      <c r="COW105" s="267"/>
      <c r="COX105" s="267"/>
      <c r="COY105" s="267"/>
      <c r="COZ105" s="267"/>
      <c r="CPA105" s="267"/>
      <c r="CPB105" s="267"/>
      <c r="CPC105" s="267"/>
      <c r="CPD105" s="267"/>
      <c r="CPE105" s="267"/>
      <c r="CPF105" s="267"/>
      <c r="CPG105" s="267"/>
      <c r="CPH105" s="267"/>
      <c r="CPI105" s="267"/>
      <c r="CPJ105" s="267"/>
      <c r="CPK105" s="267"/>
      <c r="CPL105" s="267"/>
      <c r="CPM105" s="267"/>
      <c r="CPN105" s="267"/>
      <c r="CPO105" s="267"/>
      <c r="CPP105" s="267"/>
      <c r="CPQ105" s="267"/>
      <c r="CPR105" s="267"/>
      <c r="CPS105" s="267"/>
      <c r="CPT105" s="267"/>
      <c r="CPU105" s="267"/>
      <c r="CPV105" s="267"/>
      <c r="CPW105" s="267"/>
      <c r="CPX105" s="267"/>
      <c r="CPY105" s="267"/>
      <c r="CPZ105" s="267"/>
      <c r="CQA105" s="267"/>
      <c r="CQB105" s="267"/>
      <c r="CQC105" s="267"/>
      <c r="CQD105" s="267"/>
      <c r="CQE105" s="267"/>
      <c r="CQF105" s="267"/>
      <c r="CQG105" s="267"/>
      <c r="CQH105" s="267"/>
      <c r="CQI105" s="267"/>
      <c r="CQJ105" s="267"/>
      <c r="CQK105" s="267"/>
      <c r="CQL105" s="267"/>
      <c r="CQM105" s="267"/>
      <c r="CQN105" s="267"/>
      <c r="CQO105" s="267"/>
      <c r="CQP105" s="267"/>
      <c r="CQQ105" s="267"/>
      <c r="CQR105" s="267"/>
      <c r="CQS105" s="267"/>
      <c r="CQT105" s="267"/>
      <c r="CQU105" s="267"/>
      <c r="CQV105" s="267"/>
      <c r="CQW105" s="267"/>
      <c r="CQX105" s="267"/>
      <c r="CQY105" s="267"/>
      <c r="CQZ105" s="267"/>
      <c r="CRA105" s="267"/>
      <c r="CRB105" s="267"/>
      <c r="CRC105" s="267"/>
      <c r="CRD105" s="267"/>
      <c r="CRE105" s="267"/>
      <c r="CRF105" s="267"/>
      <c r="CRG105" s="267"/>
      <c r="CRH105" s="267"/>
      <c r="CRI105" s="267"/>
      <c r="CRJ105" s="267"/>
      <c r="CRK105" s="267"/>
      <c r="CRL105" s="267"/>
      <c r="CRM105" s="267"/>
      <c r="CRN105" s="267"/>
      <c r="CRO105" s="267"/>
      <c r="CRP105" s="267"/>
      <c r="CRQ105" s="267"/>
      <c r="CRR105" s="267"/>
      <c r="CRS105" s="267"/>
      <c r="CRT105" s="267"/>
      <c r="CRU105" s="267"/>
      <c r="CRV105" s="267"/>
      <c r="CRW105" s="267"/>
      <c r="CRX105" s="267"/>
      <c r="CRY105" s="267"/>
      <c r="CRZ105" s="267"/>
      <c r="CSA105" s="267"/>
      <c r="CSB105" s="267"/>
      <c r="CSC105" s="267"/>
      <c r="CSD105" s="267"/>
      <c r="CSE105" s="267"/>
      <c r="CSF105" s="267"/>
      <c r="CSG105" s="267"/>
      <c r="CSH105" s="267"/>
      <c r="CSI105" s="267"/>
      <c r="CSJ105" s="267"/>
      <c r="CSK105" s="267"/>
      <c r="CSL105" s="267"/>
      <c r="CSM105" s="267"/>
      <c r="CSN105" s="267"/>
      <c r="CSO105" s="267"/>
      <c r="CSP105" s="267"/>
      <c r="CSQ105" s="267"/>
      <c r="CSR105" s="267"/>
      <c r="CSS105" s="267"/>
      <c r="CST105" s="267"/>
      <c r="CSU105" s="267"/>
      <c r="CSV105" s="267"/>
      <c r="CSW105" s="267"/>
      <c r="CSX105" s="267"/>
      <c r="CSY105" s="267"/>
      <c r="CSZ105" s="267"/>
      <c r="CTA105" s="267"/>
      <c r="CTB105" s="267"/>
      <c r="CTC105" s="267"/>
      <c r="CTD105" s="267"/>
      <c r="CTE105" s="267"/>
      <c r="CTF105" s="267"/>
      <c r="CTG105" s="267"/>
      <c r="CTH105" s="267"/>
      <c r="CTI105" s="267"/>
      <c r="CTJ105" s="267"/>
      <c r="CTK105" s="267"/>
      <c r="CTL105" s="267"/>
      <c r="CTM105" s="267"/>
      <c r="CTN105" s="267"/>
      <c r="CTO105" s="267"/>
      <c r="CTP105" s="267"/>
      <c r="CTQ105" s="267"/>
      <c r="CTR105" s="267"/>
      <c r="CTS105" s="267"/>
      <c r="CTT105" s="267"/>
      <c r="CTU105" s="267"/>
      <c r="CTV105" s="267"/>
      <c r="CTW105" s="267"/>
      <c r="CTX105" s="267"/>
      <c r="CTY105" s="267"/>
      <c r="CTZ105" s="267"/>
      <c r="CUA105" s="267"/>
    </row>
    <row r="106" s="30" customFormat="1" spans="1:2575">
      <c r="A106" s="268">
        <v>112</v>
      </c>
      <c r="B106" s="268" t="s">
        <v>15</v>
      </c>
      <c r="C106" s="268" t="s">
        <v>54</v>
      </c>
      <c r="D106" s="82" t="s">
        <v>675</v>
      </c>
      <c r="E106" s="29" t="s">
        <v>919</v>
      </c>
      <c r="F106" s="31" t="s">
        <v>42</v>
      </c>
      <c r="G106" s="31" t="s">
        <v>42</v>
      </c>
      <c r="H106" s="119" t="s">
        <v>920</v>
      </c>
      <c r="I106" s="119">
        <v>2020.11</v>
      </c>
      <c r="J106" s="283" t="s">
        <v>921</v>
      </c>
      <c r="K106" s="283" t="s">
        <v>42</v>
      </c>
      <c r="L106" s="31" t="s">
        <v>667</v>
      </c>
      <c r="M106" s="29" t="s">
        <v>674</v>
      </c>
      <c r="N106" s="94">
        <v>45785</v>
      </c>
      <c r="O106" s="94">
        <v>46149</v>
      </c>
      <c r="P106" s="29">
        <v>200</v>
      </c>
      <c r="Q106" s="85"/>
      <c r="R106" s="324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267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267"/>
      <c r="BK106" s="267"/>
      <c r="BL106" s="267"/>
      <c r="BM106" s="267"/>
      <c r="BN106" s="267"/>
      <c r="BO106" s="267"/>
      <c r="BP106" s="267"/>
      <c r="BQ106" s="267"/>
      <c r="BR106" s="267"/>
      <c r="BS106" s="267"/>
      <c r="BT106" s="267"/>
      <c r="BU106" s="267"/>
      <c r="BV106" s="267"/>
      <c r="BW106" s="267"/>
      <c r="BX106" s="267"/>
      <c r="BY106" s="267"/>
      <c r="BZ106" s="267"/>
      <c r="CA106" s="267"/>
      <c r="CB106" s="267"/>
      <c r="CC106" s="267"/>
      <c r="CD106" s="267"/>
      <c r="CE106" s="267"/>
      <c r="CF106" s="267"/>
      <c r="CG106" s="267"/>
      <c r="CH106" s="267"/>
      <c r="CI106" s="267"/>
      <c r="CJ106" s="267"/>
      <c r="CK106" s="267"/>
      <c r="CL106" s="267"/>
      <c r="CM106" s="267"/>
      <c r="CN106" s="267"/>
      <c r="CO106" s="267"/>
      <c r="CP106" s="267"/>
      <c r="CQ106" s="267"/>
      <c r="CR106" s="267"/>
      <c r="CS106" s="267"/>
      <c r="CT106" s="267"/>
      <c r="CU106" s="267"/>
      <c r="CV106" s="267"/>
      <c r="CW106" s="267"/>
      <c r="CX106" s="267"/>
      <c r="CY106" s="267"/>
      <c r="CZ106" s="267"/>
      <c r="DA106" s="267"/>
      <c r="DB106" s="267"/>
      <c r="DC106" s="267"/>
      <c r="DD106" s="267"/>
      <c r="DE106" s="267"/>
      <c r="DF106" s="267"/>
      <c r="DG106" s="267"/>
      <c r="DH106" s="267"/>
      <c r="DI106" s="267"/>
      <c r="DJ106" s="267"/>
      <c r="DK106" s="267"/>
      <c r="DL106" s="267"/>
      <c r="DM106" s="267"/>
      <c r="DN106" s="267"/>
      <c r="DO106" s="267"/>
      <c r="DP106" s="267"/>
      <c r="DQ106" s="267"/>
      <c r="DR106" s="267"/>
      <c r="DS106" s="267"/>
      <c r="DT106" s="267"/>
      <c r="DU106" s="267"/>
      <c r="DV106" s="267"/>
      <c r="DW106" s="267"/>
      <c r="DX106" s="267"/>
      <c r="DY106" s="267"/>
      <c r="DZ106" s="267"/>
      <c r="EA106" s="267"/>
      <c r="EB106" s="267"/>
      <c r="EC106" s="267"/>
      <c r="ED106" s="267"/>
      <c r="EE106" s="267"/>
      <c r="EF106" s="267"/>
      <c r="EG106" s="267"/>
      <c r="EH106" s="267"/>
      <c r="EI106" s="267"/>
      <c r="EJ106" s="267"/>
      <c r="EK106" s="267"/>
      <c r="EL106" s="267"/>
      <c r="EM106" s="267"/>
      <c r="EN106" s="267"/>
      <c r="EO106" s="267"/>
      <c r="EP106" s="267"/>
      <c r="EQ106" s="267"/>
      <c r="ER106" s="267"/>
      <c r="ES106" s="267"/>
      <c r="ET106" s="267"/>
      <c r="EU106" s="267"/>
      <c r="EV106" s="267"/>
      <c r="EW106" s="267"/>
      <c r="EX106" s="267"/>
      <c r="EY106" s="267"/>
      <c r="EZ106" s="267"/>
      <c r="FA106" s="267"/>
      <c r="FB106" s="267"/>
      <c r="FC106" s="267"/>
      <c r="FD106" s="267"/>
      <c r="FE106" s="267"/>
      <c r="FF106" s="267"/>
      <c r="FG106" s="267"/>
      <c r="FH106" s="267"/>
      <c r="FI106" s="267"/>
      <c r="FJ106" s="267"/>
      <c r="FK106" s="267"/>
      <c r="FL106" s="267"/>
      <c r="FM106" s="267"/>
      <c r="FN106" s="267"/>
      <c r="FO106" s="267"/>
      <c r="FP106" s="267"/>
      <c r="FQ106" s="267"/>
      <c r="FR106" s="267"/>
      <c r="FS106" s="267"/>
      <c r="FT106" s="267"/>
      <c r="FU106" s="267"/>
      <c r="FV106" s="267"/>
      <c r="FW106" s="267"/>
      <c r="FX106" s="267"/>
      <c r="FY106" s="267"/>
      <c r="FZ106" s="267"/>
      <c r="GA106" s="267"/>
      <c r="GB106" s="267"/>
      <c r="GC106" s="267"/>
      <c r="GD106" s="267"/>
      <c r="GE106" s="267"/>
      <c r="GF106" s="267"/>
      <c r="GG106" s="267"/>
      <c r="GH106" s="267"/>
      <c r="GI106" s="267"/>
      <c r="GJ106" s="267"/>
      <c r="GK106" s="267"/>
      <c r="GL106" s="267"/>
      <c r="GM106" s="267"/>
      <c r="GN106" s="267"/>
      <c r="GO106" s="267"/>
      <c r="GP106" s="267"/>
      <c r="GQ106" s="267"/>
      <c r="GR106" s="267"/>
      <c r="GS106" s="267"/>
      <c r="GT106" s="267"/>
      <c r="GU106" s="267"/>
      <c r="GV106" s="267"/>
      <c r="GW106" s="267"/>
      <c r="GX106" s="267"/>
      <c r="GY106" s="267"/>
      <c r="GZ106" s="267"/>
      <c r="HA106" s="267"/>
      <c r="HB106" s="267"/>
      <c r="HC106" s="267"/>
      <c r="HD106" s="267"/>
      <c r="HE106" s="267"/>
      <c r="HF106" s="267"/>
      <c r="HG106" s="267"/>
      <c r="HH106" s="267"/>
      <c r="HI106" s="267"/>
      <c r="HJ106" s="267"/>
      <c r="HK106" s="267"/>
      <c r="HL106" s="267"/>
      <c r="HM106" s="267"/>
      <c r="HN106" s="267"/>
      <c r="HO106" s="267"/>
      <c r="HP106" s="267"/>
      <c r="HQ106" s="267"/>
      <c r="HR106" s="267"/>
      <c r="HS106" s="267"/>
      <c r="HT106" s="267"/>
      <c r="HU106" s="267"/>
      <c r="HV106" s="267"/>
      <c r="HW106" s="267"/>
      <c r="HX106" s="267"/>
      <c r="HY106" s="267"/>
      <c r="HZ106" s="267"/>
      <c r="IA106" s="267"/>
      <c r="IB106" s="267"/>
      <c r="IC106" s="267"/>
      <c r="ID106" s="267"/>
      <c r="IE106" s="267"/>
      <c r="IF106" s="267"/>
      <c r="IG106" s="267"/>
      <c r="IH106" s="267"/>
      <c r="II106" s="267"/>
      <c r="IJ106" s="267"/>
      <c r="IK106" s="267"/>
      <c r="IL106" s="267"/>
      <c r="IM106" s="267"/>
      <c r="IN106" s="267"/>
      <c r="IO106" s="267"/>
      <c r="IP106" s="267"/>
      <c r="IQ106" s="267"/>
      <c r="IR106" s="267"/>
      <c r="IS106" s="267"/>
      <c r="IT106" s="267"/>
      <c r="IU106" s="267"/>
      <c r="IV106" s="267"/>
      <c r="IW106" s="267"/>
      <c r="IX106" s="267"/>
      <c r="IY106" s="267"/>
      <c r="IZ106" s="267"/>
      <c r="JA106" s="267"/>
      <c r="JB106" s="267"/>
      <c r="JC106" s="267"/>
      <c r="JD106" s="267"/>
      <c r="JE106" s="267"/>
      <c r="JF106" s="267"/>
      <c r="JG106" s="267"/>
      <c r="JH106" s="267"/>
      <c r="JI106" s="267"/>
      <c r="JJ106" s="267"/>
      <c r="JK106" s="267"/>
      <c r="JL106" s="267"/>
      <c r="JM106" s="267"/>
      <c r="JN106" s="267"/>
      <c r="JO106" s="267"/>
      <c r="JP106" s="267"/>
      <c r="JQ106" s="267"/>
      <c r="JR106" s="267"/>
      <c r="JS106" s="267"/>
      <c r="JT106" s="267"/>
      <c r="JU106" s="267"/>
      <c r="JV106" s="267"/>
      <c r="JW106" s="267"/>
      <c r="JX106" s="267"/>
      <c r="JY106" s="267"/>
      <c r="JZ106" s="267"/>
      <c r="KA106" s="267"/>
      <c r="KB106" s="267"/>
      <c r="KC106" s="267"/>
      <c r="KD106" s="267"/>
      <c r="KE106" s="267"/>
      <c r="KF106" s="267"/>
      <c r="KG106" s="267"/>
      <c r="KH106" s="267"/>
      <c r="KI106" s="267"/>
      <c r="KJ106" s="267"/>
      <c r="KK106" s="267"/>
      <c r="KL106" s="267"/>
      <c r="KM106" s="267"/>
      <c r="KN106" s="267"/>
      <c r="KO106" s="267"/>
      <c r="KP106" s="267"/>
      <c r="KQ106" s="267"/>
      <c r="KR106" s="267"/>
      <c r="KS106" s="267"/>
      <c r="KT106" s="267"/>
      <c r="KU106" s="267"/>
      <c r="KV106" s="267"/>
      <c r="KW106" s="267"/>
      <c r="KX106" s="267"/>
      <c r="KY106" s="267"/>
      <c r="KZ106" s="267"/>
      <c r="LA106" s="267"/>
      <c r="LB106" s="267"/>
      <c r="LC106" s="267"/>
      <c r="LD106" s="267"/>
      <c r="LE106" s="267"/>
      <c r="LF106" s="267"/>
      <c r="LG106" s="267"/>
      <c r="LH106" s="267"/>
      <c r="LI106" s="267"/>
      <c r="LJ106" s="267"/>
      <c r="LK106" s="267"/>
      <c r="LL106" s="267"/>
      <c r="LM106" s="267"/>
      <c r="LN106" s="267"/>
      <c r="LO106" s="267"/>
      <c r="LP106" s="267"/>
      <c r="LQ106" s="267"/>
      <c r="LR106" s="267"/>
      <c r="LS106" s="267"/>
      <c r="LT106" s="267"/>
      <c r="LU106" s="267"/>
      <c r="LV106" s="267"/>
      <c r="LW106" s="267"/>
      <c r="LX106" s="267"/>
      <c r="LY106" s="267"/>
      <c r="LZ106" s="267"/>
      <c r="MA106" s="267"/>
      <c r="MB106" s="267"/>
      <c r="MC106" s="267"/>
      <c r="MD106" s="267"/>
      <c r="ME106" s="267"/>
      <c r="MF106" s="267"/>
      <c r="MG106" s="267"/>
      <c r="MH106" s="267"/>
      <c r="MI106" s="267"/>
      <c r="MJ106" s="267"/>
      <c r="MK106" s="267"/>
      <c r="ML106" s="267"/>
      <c r="MM106" s="267"/>
      <c r="MN106" s="267"/>
      <c r="MO106" s="267"/>
      <c r="MP106" s="267"/>
      <c r="MQ106" s="267"/>
      <c r="MR106" s="267"/>
      <c r="MS106" s="267"/>
      <c r="MT106" s="267"/>
      <c r="MU106" s="267"/>
      <c r="MV106" s="267"/>
      <c r="MW106" s="267"/>
      <c r="MX106" s="267"/>
      <c r="MY106" s="267"/>
      <c r="MZ106" s="267"/>
      <c r="NA106" s="267"/>
      <c r="NB106" s="267"/>
      <c r="NC106" s="267"/>
      <c r="ND106" s="267"/>
      <c r="NE106" s="267"/>
      <c r="NF106" s="267"/>
      <c r="NG106" s="267"/>
      <c r="NH106" s="267"/>
      <c r="NI106" s="267"/>
      <c r="NJ106" s="267"/>
      <c r="NK106" s="267"/>
      <c r="NL106" s="267"/>
      <c r="NM106" s="267"/>
      <c r="NN106" s="267"/>
      <c r="NO106" s="267"/>
      <c r="NP106" s="267"/>
      <c r="NQ106" s="267"/>
      <c r="NR106" s="267"/>
      <c r="NS106" s="267"/>
      <c r="NT106" s="267"/>
      <c r="NU106" s="267"/>
      <c r="NV106" s="267"/>
      <c r="NW106" s="267"/>
      <c r="NX106" s="267"/>
      <c r="NY106" s="267"/>
      <c r="NZ106" s="267"/>
      <c r="OA106" s="267"/>
      <c r="OB106" s="267"/>
      <c r="OC106" s="267"/>
      <c r="OD106" s="267"/>
      <c r="OE106" s="267"/>
      <c r="OF106" s="267"/>
      <c r="OG106" s="267"/>
      <c r="OH106" s="267"/>
      <c r="OI106" s="267"/>
      <c r="OJ106" s="267"/>
      <c r="OK106" s="267"/>
      <c r="OL106" s="267"/>
      <c r="OM106" s="267"/>
      <c r="ON106" s="267"/>
      <c r="OO106" s="267"/>
      <c r="OP106" s="267"/>
      <c r="OQ106" s="267"/>
      <c r="OR106" s="267"/>
      <c r="OS106" s="267"/>
      <c r="OT106" s="267"/>
      <c r="OU106" s="267"/>
      <c r="OV106" s="267"/>
      <c r="OW106" s="267"/>
      <c r="OX106" s="267"/>
      <c r="OY106" s="267"/>
      <c r="OZ106" s="267"/>
      <c r="PA106" s="267"/>
      <c r="PB106" s="267"/>
      <c r="PC106" s="267"/>
      <c r="PD106" s="267"/>
      <c r="PE106" s="267"/>
      <c r="PF106" s="267"/>
      <c r="PG106" s="267"/>
      <c r="PH106" s="267"/>
      <c r="PI106" s="267"/>
      <c r="PJ106" s="267"/>
      <c r="PK106" s="267"/>
      <c r="PL106" s="267"/>
      <c r="PM106" s="267"/>
      <c r="PN106" s="267"/>
      <c r="PO106" s="267"/>
      <c r="PP106" s="267"/>
      <c r="PQ106" s="267"/>
      <c r="PR106" s="267"/>
      <c r="PS106" s="267"/>
      <c r="PT106" s="267"/>
      <c r="PU106" s="267"/>
      <c r="PV106" s="267"/>
      <c r="PW106" s="267"/>
      <c r="PX106" s="267"/>
      <c r="PY106" s="267"/>
      <c r="PZ106" s="267"/>
      <c r="QA106" s="267"/>
      <c r="QB106" s="267"/>
      <c r="QC106" s="267"/>
      <c r="QD106" s="267"/>
      <c r="QE106" s="267"/>
      <c r="QF106" s="267"/>
      <c r="QG106" s="267"/>
      <c r="QH106" s="267"/>
      <c r="QI106" s="267"/>
      <c r="QJ106" s="267"/>
      <c r="QK106" s="267"/>
      <c r="QL106" s="267"/>
      <c r="QM106" s="267"/>
      <c r="QN106" s="267"/>
      <c r="QO106" s="267"/>
      <c r="QP106" s="267"/>
      <c r="QQ106" s="267"/>
      <c r="QR106" s="267"/>
      <c r="QS106" s="267"/>
      <c r="QT106" s="267"/>
      <c r="QU106" s="267"/>
      <c r="QV106" s="267"/>
      <c r="QW106" s="267"/>
      <c r="QX106" s="267"/>
      <c r="QY106" s="267"/>
      <c r="QZ106" s="267"/>
      <c r="RA106" s="267"/>
      <c r="RB106" s="267"/>
      <c r="RC106" s="267"/>
      <c r="RD106" s="267"/>
      <c r="RE106" s="267"/>
      <c r="RF106" s="267"/>
      <c r="RG106" s="267"/>
      <c r="RH106" s="267"/>
      <c r="RI106" s="267"/>
      <c r="RJ106" s="267"/>
      <c r="RK106" s="267"/>
      <c r="RL106" s="267"/>
      <c r="RM106" s="267"/>
      <c r="RN106" s="267"/>
      <c r="RO106" s="267"/>
      <c r="RP106" s="267"/>
      <c r="RQ106" s="267"/>
      <c r="RR106" s="267"/>
      <c r="RS106" s="267"/>
      <c r="RT106" s="267"/>
      <c r="RU106" s="267"/>
      <c r="RV106" s="267"/>
      <c r="RW106" s="267"/>
      <c r="RX106" s="267"/>
      <c r="RY106" s="267"/>
      <c r="RZ106" s="267"/>
      <c r="SA106" s="267"/>
      <c r="SB106" s="267"/>
      <c r="SC106" s="267"/>
      <c r="SD106" s="267"/>
      <c r="SE106" s="267"/>
      <c r="SF106" s="267"/>
      <c r="SG106" s="267"/>
      <c r="SH106" s="267"/>
      <c r="SI106" s="267"/>
      <c r="SJ106" s="267"/>
      <c r="SK106" s="267"/>
      <c r="SL106" s="267"/>
      <c r="SM106" s="267"/>
      <c r="SN106" s="267"/>
      <c r="SO106" s="267"/>
      <c r="SP106" s="267"/>
      <c r="SQ106" s="267"/>
      <c r="SR106" s="267"/>
      <c r="SS106" s="267"/>
      <c r="ST106" s="267"/>
      <c r="SU106" s="267"/>
      <c r="SV106" s="267"/>
      <c r="SW106" s="267"/>
      <c r="SX106" s="267"/>
      <c r="SY106" s="267"/>
      <c r="SZ106" s="267"/>
      <c r="TA106" s="267"/>
      <c r="TB106" s="267"/>
      <c r="TC106" s="267"/>
      <c r="TD106" s="267"/>
      <c r="TE106" s="267"/>
      <c r="TF106" s="267"/>
      <c r="TG106" s="267"/>
      <c r="TH106" s="267"/>
      <c r="TI106" s="267"/>
      <c r="TJ106" s="267"/>
      <c r="TK106" s="267"/>
      <c r="TL106" s="267"/>
      <c r="TM106" s="267"/>
      <c r="TN106" s="267"/>
      <c r="TO106" s="267"/>
      <c r="TP106" s="267"/>
      <c r="TQ106" s="267"/>
      <c r="TR106" s="267"/>
      <c r="TS106" s="267"/>
      <c r="TT106" s="267"/>
      <c r="TU106" s="267"/>
      <c r="TV106" s="267"/>
      <c r="TW106" s="267"/>
      <c r="TX106" s="267"/>
      <c r="TY106" s="267"/>
      <c r="TZ106" s="267"/>
      <c r="UA106" s="267"/>
      <c r="UB106" s="267"/>
      <c r="UC106" s="267"/>
      <c r="UD106" s="267"/>
      <c r="UE106" s="267"/>
      <c r="UF106" s="267"/>
      <c r="UG106" s="267"/>
      <c r="UH106" s="267"/>
      <c r="UI106" s="267"/>
      <c r="UJ106" s="267"/>
      <c r="UK106" s="267"/>
      <c r="UL106" s="267"/>
      <c r="UM106" s="267"/>
      <c r="UN106" s="267"/>
      <c r="UO106" s="267"/>
      <c r="UP106" s="267"/>
      <c r="UQ106" s="267"/>
      <c r="UR106" s="267"/>
      <c r="US106" s="267"/>
      <c r="UT106" s="267"/>
      <c r="UU106" s="267"/>
      <c r="UV106" s="267"/>
      <c r="UW106" s="267"/>
      <c r="UX106" s="267"/>
      <c r="UY106" s="267"/>
      <c r="UZ106" s="267"/>
      <c r="VA106" s="267"/>
      <c r="VB106" s="267"/>
      <c r="VC106" s="267"/>
      <c r="VD106" s="267"/>
      <c r="VE106" s="267"/>
      <c r="VF106" s="267"/>
      <c r="VG106" s="267"/>
      <c r="VH106" s="267"/>
      <c r="VI106" s="267"/>
      <c r="VJ106" s="267"/>
      <c r="VK106" s="267"/>
      <c r="VL106" s="267"/>
      <c r="VM106" s="267"/>
      <c r="VN106" s="267"/>
      <c r="VO106" s="267"/>
      <c r="VP106" s="267"/>
      <c r="VQ106" s="267"/>
      <c r="VR106" s="267"/>
      <c r="VS106" s="267"/>
      <c r="VT106" s="267"/>
      <c r="VU106" s="267"/>
      <c r="VV106" s="267"/>
      <c r="VW106" s="267"/>
      <c r="VX106" s="267"/>
      <c r="VY106" s="267"/>
      <c r="VZ106" s="267"/>
      <c r="WA106" s="267"/>
      <c r="WB106" s="267"/>
      <c r="WC106" s="267"/>
      <c r="WD106" s="267"/>
      <c r="WE106" s="267"/>
      <c r="WF106" s="267"/>
      <c r="WG106" s="267"/>
      <c r="WH106" s="267"/>
      <c r="WI106" s="267"/>
      <c r="WJ106" s="267"/>
      <c r="WK106" s="267"/>
      <c r="WL106" s="267"/>
      <c r="WM106" s="267"/>
      <c r="WN106" s="267"/>
      <c r="WO106" s="267"/>
      <c r="WP106" s="267"/>
      <c r="WQ106" s="267"/>
      <c r="WR106" s="267"/>
      <c r="WS106" s="267"/>
      <c r="WT106" s="267"/>
      <c r="WU106" s="267"/>
      <c r="WV106" s="267"/>
      <c r="WW106" s="267"/>
      <c r="WX106" s="267"/>
      <c r="WY106" s="267"/>
      <c r="WZ106" s="267"/>
      <c r="XA106" s="267"/>
      <c r="XB106" s="267"/>
      <c r="XC106" s="267"/>
      <c r="XD106" s="267"/>
      <c r="XE106" s="267"/>
      <c r="XF106" s="267"/>
      <c r="XG106" s="267"/>
      <c r="XH106" s="267"/>
      <c r="XI106" s="267"/>
      <c r="XJ106" s="267"/>
      <c r="XK106" s="267"/>
      <c r="XL106" s="267"/>
      <c r="XM106" s="267"/>
      <c r="XN106" s="267"/>
      <c r="XO106" s="267"/>
      <c r="XP106" s="267"/>
      <c r="XQ106" s="267"/>
      <c r="XR106" s="267"/>
      <c r="XS106" s="267"/>
      <c r="XT106" s="267"/>
      <c r="XU106" s="267"/>
      <c r="XV106" s="267"/>
      <c r="XW106" s="267"/>
      <c r="XX106" s="267"/>
      <c r="XY106" s="267"/>
      <c r="XZ106" s="267"/>
      <c r="YA106" s="267"/>
      <c r="YB106" s="267"/>
      <c r="YC106" s="267"/>
      <c r="YD106" s="267"/>
      <c r="YE106" s="267"/>
      <c r="YF106" s="267"/>
      <c r="YG106" s="267"/>
      <c r="YH106" s="267"/>
      <c r="YI106" s="267"/>
      <c r="YJ106" s="267"/>
      <c r="YK106" s="267"/>
      <c r="YL106" s="267"/>
      <c r="YM106" s="267"/>
      <c r="YN106" s="267"/>
      <c r="YO106" s="267"/>
      <c r="YP106" s="267"/>
      <c r="YQ106" s="267"/>
      <c r="YR106" s="267"/>
      <c r="YS106" s="267"/>
      <c r="YT106" s="267"/>
      <c r="YU106" s="267"/>
      <c r="YV106" s="267"/>
      <c r="YW106" s="267"/>
      <c r="YX106" s="267"/>
      <c r="YY106" s="267"/>
      <c r="YZ106" s="267"/>
      <c r="ZA106" s="267"/>
      <c r="ZB106" s="267"/>
      <c r="ZC106" s="267"/>
      <c r="ZD106" s="267"/>
      <c r="ZE106" s="267"/>
      <c r="ZF106" s="267"/>
      <c r="ZG106" s="267"/>
      <c r="ZH106" s="267"/>
      <c r="ZI106" s="267"/>
      <c r="ZJ106" s="267"/>
      <c r="ZK106" s="267"/>
      <c r="ZL106" s="267"/>
      <c r="ZM106" s="267"/>
      <c r="ZN106" s="267"/>
      <c r="ZO106" s="267"/>
      <c r="ZP106" s="267"/>
      <c r="ZQ106" s="267"/>
      <c r="ZR106" s="267"/>
      <c r="ZS106" s="267"/>
      <c r="ZT106" s="267"/>
      <c r="ZU106" s="267"/>
      <c r="ZV106" s="267"/>
      <c r="ZW106" s="267"/>
      <c r="ZX106" s="267"/>
      <c r="ZY106" s="267"/>
      <c r="ZZ106" s="267"/>
      <c r="AAA106" s="267"/>
      <c r="AAB106" s="267"/>
      <c r="AAC106" s="267"/>
      <c r="AAD106" s="267"/>
      <c r="AAE106" s="267"/>
      <c r="AAF106" s="267"/>
      <c r="AAG106" s="267"/>
      <c r="AAH106" s="267"/>
      <c r="AAI106" s="267"/>
      <c r="AAJ106" s="267"/>
      <c r="AAK106" s="267"/>
      <c r="AAL106" s="267"/>
      <c r="AAM106" s="267"/>
      <c r="AAN106" s="267"/>
      <c r="AAO106" s="267"/>
      <c r="AAP106" s="267"/>
      <c r="AAQ106" s="267"/>
      <c r="AAR106" s="267"/>
      <c r="AAS106" s="267"/>
      <c r="AAT106" s="267"/>
      <c r="AAU106" s="267"/>
      <c r="AAV106" s="267"/>
      <c r="AAW106" s="267"/>
      <c r="AAX106" s="267"/>
      <c r="AAY106" s="267"/>
      <c r="AAZ106" s="267"/>
      <c r="ABA106" s="267"/>
      <c r="ABB106" s="267"/>
      <c r="ABC106" s="267"/>
      <c r="ABD106" s="267"/>
      <c r="ABE106" s="267"/>
      <c r="ABF106" s="267"/>
      <c r="ABG106" s="267"/>
      <c r="ABH106" s="267"/>
      <c r="ABI106" s="267"/>
      <c r="ABJ106" s="267"/>
      <c r="ABK106" s="267"/>
      <c r="ABL106" s="267"/>
      <c r="ABM106" s="267"/>
      <c r="ABN106" s="267"/>
      <c r="ABO106" s="267"/>
      <c r="ABP106" s="267"/>
      <c r="ABQ106" s="267"/>
      <c r="ABR106" s="267"/>
      <c r="ABS106" s="267"/>
      <c r="ABT106" s="267"/>
      <c r="ABU106" s="267"/>
      <c r="ABV106" s="267"/>
      <c r="ABW106" s="267"/>
      <c r="ABX106" s="267"/>
      <c r="ABY106" s="267"/>
      <c r="ABZ106" s="267"/>
      <c r="ACA106" s="267"/>
      <c r="ACB106" s="267"/>
      <c r="ACC106" s="267"/>
      <c r="ACD106" s="267"/>
      <c r="ACE106" s="267"/>
      <c r="ACF106" s="267"/>
      <c r="ACG106" s="267"/>
      <c r="ACH106" s="267"/>
      <c r="ACI106" s="267"/>
      <c r="ACJ106" s="267"/>
      <c r="ACK106" s="267"/>
      <c r="ACL106" s="267"/>
      <c r="ACM106" s="267"/>
      <c r="ACN106" s="267"/>
      <c r="ACO106" s="267"/>
      <c r="ACP106" s="267"/>
      <c r="ACQ106" s="267"/>
      <c r="ACR106" s="267"/>
      <c r="ACS106" s="267"/>
      <c r="ACT106" s="267"/>
      <c r="ACU106" s="267"/>
      <c r="ACV106" s="267"/>
      <c r="ACW106" s="267"/>
      <c r="ACX106" s="267"/>
      <c r="ACY106" s="267"/>
      <c r="ACZ106" s="267"/>
      <c r="ADA106" s="267"/>
      <c r="ADB106" s="267"/>
      <c r="ADC106" s="267"/>
      <c r="ADD106" s="267"/>
      <c r="ADE106" s="267"/>
      <c r="ADF106" s="267"/>
      <c r="ADG106" s="267"/>
      <c r="ADH106" s="267"/>
      <c r="ADI106" s="267"/>
      <c r="ADJ106" s="267"/>
      <c r="ADK106" s="267"/>
      <c r="ADL106" s="267"/>
      <c r="ADM106" s="267"/>
      <c r="ADN106" s="267"/>
      <c r="ADO106" s="267"/>
      <c r="ADP106" s="267"/>
      <c r="ADQ106" s="267"/>
      <c r="ADR106" s="267"/>
      <c r="ADS106" s="267"/>
      <c r="ADT106" s="267"/>
      <c r="ADU106" s="267"/>
      <c r="ADV106" s="267"/>
      <c r="ADW106" s="267"/>
      <c r="ADX106" s="267"/>
      <c r="ADY106" s="267"/>
      <c r="ADZ106" s="267"/>
      <c r="AEA106" s="267"/>
      <c r="AEB106" s="267"/>
      <c r="AEC106" s="267"/>
      <c r="AED106" s="267"/>
      <c r="AEE106" s="267"/>
      <c r="AEF106" s="267"/>
      <c r="AEG106" s="267"/>
      <c r="AEH106" s="267"/>
      <c r="AEI106" s="267"/>
      <c r="AEJ106" s="267"/>
      <c r="AEK106" s="267"/>
      <c r="AEL106" s="267"/>
      <c r="AEM106" s="267"/>
      <c r="AEN106" s="267"/>
      <c r="AEO106" s="267"/>
      <c r="AEP106" s="267"/>
      <c r="AEQ106" s="267"/>
      <c r="AER106" s="267"/>
      <c r="AES106" s="267"/>
      <c r="AET106" s="267"/>
      <c r="AEU106" s="267"/>
      <c r="AEV106" s="267"/>
      <c r="AEW106" s="267"/>
      <c r="AEX106" s="267"/>
      <c r="AEY106" s="267"/>
      <c r="AEZ106" s="267"/>
      <c r="AFA106" s="267"/>
      <c r="AFB106" s="267"/>
      <c r="AFC106" s="267"/>
      <c r="AFD106" s="267"/>
      <c r="AFE106" s="267"/>
      <c r="AFF106" s="267"/>
      <c r="AFG106" s="267"/>
      <c r="AFH106" s="267"/>
      <c r="AFI106" s="267"/>
      <c r="AFJ106" s="267"/>
      <c r="AFK106" s="267"/>
      <c r="AFL106" s="267"/>
      <c r="AFM106" s="267"/>
      <c r="AFN106" s="267"/>
      <c r="AFO106" s="267"/>
      <c r="AFP106" s="267"/>
      <c r="AFQ106" s="267"/>
      <c r="AFR106" s="267"/>
      <c r="AFS106" s="267"/>
      <c r="AFT106" s="267"/>
      <c r="AFU106" s="267"/>
      <c r="AFV106" s="267"/>
      <c r="AFW106" s="267"/>
      <c r="AFX106" s="267"/>
      <c r="AFY106" s="267"/>
      <c r="AFZ106" s="267"/>
      <c r="AGA106" s="267"/>
      <c r="AGB106" s="267"/>
      <c r="AGC106" s="267"/>
      <c r="AGD106" s="267"/>
      <c r="AGE106" s="267"/>
      <c r="AGF106" s="267"/>
      <c r="AGG106" s="267"/>
      <c r="AGH106" s="267"/>
      <c r="AGI106" s="267"/>
      <c r="AGJ106" s="267"/>
      <c r="AGK106" s="267"/>
      <c r="AGL106" s="267"/>
      <c r="AGM106" s="267"/>
      <c r="AGN106" s="267"/>
      <c r="AGO106" s="267"/>
      <c r="AGP106" s="267"/>
      <c r="AGQ106" s="267"/>
      <c r="AGR106" s="267"/>
      <c r="AGS106" s="267"/>
      <c r="AGT106" s="267"/>
      <c r="AGU106" s="267"/>
      <c r="AGV106" s="267"/>
      <c r="AGW106" s="267"/>
      <c r="AGX106" s="267"/>
      <c r="AGY106" s="267"/>
      <c r="AGZ106" s="267"/>
      <c r="AHA106" s="267"/>
      <c r="AHB106" s="267"/>
      <c r="AHC106" s="267"/>
      <c r="AHD106" s="267"/>
      <c r="AHE106" s="267"/>
      <c r="AHF106" s="267"/>
      <c r="AHG106" s="267"/>
      <c r="AHH106" s="267"/>
      <c r="AHI106" s="267"/>
      <c r="AHJ106" s="267"/>
      <c r="AHK106" s="267"/>
      <c r="AHL106" s="267"/>
      <c r="AHM106" s="267"/>
      <c r="AHN106" s="267"/>
      <c r="AHO106" s="267"/>
      <c r="AHP106" s="267"/>
      <c r="AHQ106" s="267"/>
      <c r="AHR106" s="267"/>
      <c r="AHS106" s="267"/>
      <c r="AHT106" s="267"/>
      <c r="AHU106" s="267"/>
      <c r="AHV106" s="267"/>
      <c r="AHW106" s="267"/>
      <c r="AHX106" s="267"/>
      <c r="AHY106" s="267"/>
      <c r="AHZ106" s="267"/>
      <c r="AIA106" s="267"/>
      <c r="AIB106" s="267"/>
      <c r="AIC106" s="267"/>
      <c r="AID106" s="267"/>
      <c r="AIE106" s="267"/>
      <c r="AIF106" s="267"/>
      <c r="AIG106" s="267"/>
      <c r="AIH106" s="267"/>
      <c r="AII106" s="267"/>
      <c r="AIJ106" s="267"/>
      <c r="AIK106" s="267"/>
      <c r="AIL106" s="267"/>
      <c r="AIM106" s="267"/>
      <c r="AIN106" s="267"/>
      <c r="AIO106" s="267"/>
      <c r="AIP106" s="267"/>
      <c r="AIQ106" s="267"/>
      <c r="AIR106" s="267"/>
      <c r="AIS106" s="267"/>
      <c r="AIT106" s="267"/>
      <c r="AIU106" s="267"/>
      <c r="AIV106" s="267"/>
      <c r="AIW106" s="267"/>
      <c r="AIX106" s="267"/>
      <c r="AIY106" s="267"/>
      <c r="AIZ106" s="267"/>
      <c r="AJA106" s="267"/>
      <c r="AJB106" s="267"/>
      <c r="AJC106" s="267"/>
      <c r="AJD106" s="267"/>
      <c r="AJE106" s="267"/>
      <c r="AJF106" s="267"/>
      <c r="AJG106" s="267"/>
      <c r="AJH106" s="267"/>
      <c r="AJI106" s="267"/>
      <c r="AJJ106" s="267"/>
      <c r="AJK106" s="267"/>
      <c r="AJL106" s="267"/>
      <c r="AJM106" s="267"/>
      <c r="AJN106" s="267"/>
      <c r="AJO106" s="267"/>
      <c r="AJP106" s="267"/>
      <c r="AJQ106" s="267"/>
      <c r="AJR106" s="267"/>
      <c r="AJS106" s="267"/>
      <c r="AJT106" s="267"/>
      <c r="AJU106" s="267"/>
      <c r="AJV106" s="267"/>
      <c r="AJW106" s="267"/>
      <c r="AJX106" s="267"/>
      <c r="AJY106" s="267"/>
      <c r="AJZ106" s="267"/>
      <c r="AKA106" s="267"/>
      <c r="AKB106" s="267"/>
      <c r="AKC106" s="267"/>
      <c r="AKD106" s="267"/>
      <c r="AKE106" s="267"/>
      <c r="AKF106" s="267"/>
      <c r="AKG106" s="267"/>
      <c r="AKH106" s="267"/>
      <c r="AKI106" s="267"/>
      <c r="AKJ106" s="267"/>
      <c r="AKK106" s="267"/>
      <c r="AKL106" s="267"/>
      <c r="AKM106" s="267"/>
      <c r="AKN106" s="267"/>
      <c r="AKO106" s="267"/>
      <c r="AKP106" s="267"/>
      <c r="AKQ106" s="267"/>
      <c r="AKR106" s="267"/>
      <c r="AKS106" s="267"/>
      <c r="AKT106" s="267"/>
      <c r="AKU106" s="267"/>
      <c r="AKV106" s="267"/>
      <c r="AKW106" s="267"/>
      <c r="AKX106" s="267"/>
      <c r="AKY106" s="267"/>
      <c r="AKZ106" s="267"/>
      <c r="ALA106" s="267"/>
      <c r="ALB106" s="267"/>
      <c r="ALC106" s="267"/>
      <c r="ALD106" s="267"/>
      <c r="ALE106" s="267"/>
      <c r="ALF106" s="267"/>
      <c r="ALG106" s="267"/>
      <c r="ALH106" s="267"/>
      <c r="ALI106" s="267"/>
      <c r="ALJ106" s="267"/>
      <c r="ALK106" s="267"/>
      <c r="ALL106" s="267"/>
      <c r="ALM106" s="267"/>
      <c r="ALN106" s="267"/>
      <c r="ALO106" s="267"/>
      <c r="ALP106" s="267"/>
      <c r="ALQ106" s="267"/>
      <c r="ALR106" s="267"/>
      <c r="ALS106" s="267"/>
      <c r="ALT106" s="267"/>
      <c r="ALU106" s="267"/>
      <c r="ALV106" s="267"/>
      <c r="ALW106" s="267"/>
      <c r="ALX106" s="267"/>
      <c r="ALY106" s="267"/>
      <c r="ALZ106" s="267"/>
      <c r="AMA106" s="267"/>
      <c r="AMB106" s="267"/>
      <c r="AMC106" s="267"/>
      <c r="AMD106" s="267"/>
      <c r="AME106" s="267"/>
      <c r="AMF106" s="267"/>
      <c r="AMG106" s="267"/>
      <c r="AMH106" s="267"/>
      <c r="AMI106" s="267"/>
      <c r="AMJ106" s="267"/>
      <c r="AMK106" s="267"/>
      <c r="AML106" s="267"/>
      <c r="AMM106" s="267"/>
      <c r="AMN106" s="267"/>
      <c r="AMO106" s="267"/>
      <c r="AMP106" s="267"/>
      <c r="AMQ106" s="267"/>
      <c r="AMR106" s="267"/>
      <c r="AMS106" s="267"/>
      <c r="AMT106" s="267"/>
      <c r="AMU106" s="267"/>
      <c r="AMV106" s="267"/>
      <c r="AMW106" s="267"/>
      <c r="AMX106" s="267"/>
      <c r="AMY106" s="267"/>
      <c r="AMZ106" s="267"/>
      <c r="ANA106" s="267"/>
      <c r="ANB106" s="267"/>
      <c r="ANC106" s="267"/>
      <c r="AND106" s="267"/>
      <c r="ANE106" s="267"/>
      <c r="ANF106" s="267"/>
      <c r="ANG106" s="267"/>
      <c r="ANH106" s="267"/>
      <c r="ANI106" s="267"/>
      <c r="ANJ106" s="267"/>
      <c r="ANK106" s="267"/>
      <c r="ANL106" s="267"/>
      <c r="ANM106" s="267"/>
      <c r="ANN106" s="267"/>
      <c r="ANO106" s="267"/>
      <c r="ANP106" s="267"/>
      <c r="ANQ106" s="267"/>
      <c r="ANR106" s="267"/>
      <c r="ANS106" s="267"/>
      <c r="ANT106" s="267"/>
      <c r="ANU106" s="267"/>
      <c r="ANV106" s="267"/>
      <c r="ANW106" s="267"/>
      <c r="ANX106" s="267"/>
      <c r="ANY106" s="267"/>
      <c r="ANZ106" s="267"/>
      <c r="AOA106" s="267"/>
      <c r="AOB106" s="267"/>
      <c r="AOC106" s="267"/>
      <c r="AOD106" s="267"/>
      <c r="AOE106" s="267"/>
      <c r="AOF106" s="267"/>
      <c r="AOG106" s="267"/>
      <c r="AOH106" s="267"/>
      <c r="AOI106" s="267"/>
      <c r="AOJ106" s="267"/>
      <c r="AOK106" s="267"/>
      <c r="AOL106" s="267"/>
      <c r="AOM106" s="267"/>
      <c r="AON106" s="267"/>
      <c r="AOO106" s="267"/>
      <c r="AOP106" s="267"/>
      <c r="AOQ106" s="267"/>
      <c r="AOR106" s="267"/>
      <c r="AOS106" s="267"/>
      <c r="AOT106" s="267"/>
      <c r="AOU106" s="267"/>
      <c r="AOV106" s="267"/>
      <c r="AOW106" s="267"/>
      <c r="AOX106" s="267"/>
      <c r="AOY106" s="267"/>
      <c r="AOZ106" s="267"/>
      <c r="APA106" s="267"/>
      <c r="APB106" s="267"/>
      <c r="APC106" s="267"/>
      <c r="APD106" s="267"/>
      <c r="APE106" s="267"/>
      <c r="APF106" s="267"/>
      <c r="APG106" s="267"/>
      <c r="APH106" s="267"/>
      <c r="API106" s="267"/>
      <c r="APJ106" s="267"/>
      <c r="APK106" s="267"/>
      <c r="APL106" s="267"/>
      <c r="APM106" s="267"/>
      <c r="APN106" s="267"/>
      <c r="APO106" s="267"/>
      <c r="APP106" s="267"/>
      <c r="APQ106" s="267"/>
      <c r="APR106" s="267"/>
      <c r="APS106" s="267"/>
      <c r="APT106" s="267"/>
      <c r="APU106" s="267"/>
      <c r="APV106" s="267"/>
      <c r="APW106" s="267"/>
      <c r="APX106" s="267"/>
      <c r="APY106" s="267"/>
      <c r="APZ106" s="267"/>
      <c r="AQA106" s="267"/>
      <c r="AQB106" s="267"/>
      <c r="AQC106" s="267"/>
      <c r="AQD106" s="267"/>
      <c r="AQE106" s="267"/>
      <c r="AQF106" s="267"/>
      <c r="AQG106" s="267"/>
      <c r="AQH106" s="267"/>
      <c r="AQI106" s="267"/>
      <c r="AQJ106" s="267"/>
      <c r="AQK106" s="267"/>
      <c r="AQL106" s="267"/>
      <c r="AQM106" s="267"/>
      <c r="AQN106" s="267"/>
      <c r="AQO106" s="267"/>
      <c r="AQP106" s="267"/>
      <c r="AQQ106" s="267"/>
      <c r="AQR106" s="267"/>
      <c r="AQS106" s="267"/>
      <c r="AQT106" s="267"/>
      <c r="AQU106" s="267"/>
      <c r="AQV106" s="267"/>
      <c r="AQW106" s="267"/>
      <c r="AQX106" s="267"/>
      <c r="AQY106" s="267"/>
      <c r="AQZ106" s="267"/>
      <c r="ARA106" s="267"/>
      <c r="ARB106" s="267"/>
      <c r="ARC106" s="267"/>
      <c r="ARD106" s="267"/>
      <c r="ARE106" s="267"/>
      <c r="ARF106" s="267"/>
      <c r="ARG106" s="267"/>
      <c r="ARH106" s="267"/>
      <c r="ARI106" s="267"/>
      <c r="ARJ106" s="267"/>
      <c r="ARK106" s="267"/>
      <c r="ARL106" s="267"/>
      <c r="ARM106" s="267"/>
      <c r="ARN106" s="267"/>
      <c r="ARO106" s="267"/>
      <c r="ARP106" s="267"/>
      <c r="ARQ106" s="267"/>
      <c r="ARR106" s="267"/>
      <c r="ARS106" s="267"/>
      <c r="ART106" s="267"/>
      <c r="ARU106" s="267"/>
      <c r="ARV106" s="267"/>
      <c r="ARW106" s="267"/>
      <c r="ARX106" s="267"/>
      <c r="ARY106" s="267"/>
      <c r="ARZ106" s="267"/>
      <c r="ASA106" s="267"/>
      <c r="ASB106" s="267"/>
      <c r="ASC106" s="267"/>
      <c r="ASD106" s="267"/>
      <c r="ASE106" s="267"/>
      <c r="ASF106" s="267"/>
      <c r="ASG106" s="267"/>
      <c r="ASH106" s="267"/>
      <c r="ASI106" s="267"/>
      <c r="ASJ106" s="267"/>
      <c r="ASK106" s="267"/>
      <c r="ASL106" s="267"/>
      <c r="ASM106" s="267"/>
      <c r="ASN106" s="267"/>
      <c r="ASO106" s="267"/>
      <c r="ASP106" s="267"/>
      <c r="ASQ106" s="267"/>
      <c r="ASR106" s="267"/>
      <c r="ASS106" s="267"/>
      <c r="AST106" s="267"/>
      <c r="ASU106" s="267"/>
      <c r="ASV106" s="267"/>
      <c r="ASW106" s="267"/>
      <c r="ASX106" s="267"/>
      <c r="ASY106" s="267"/>
      <c r="ASZ106" s="267"/>
      <c r="ATA106" s="267"/>
      <c r="ATB106" s="267"/>
      <c r="ATC106" s="267"/>
      <c r="ATD106" s="267"/>
      <c r="ATE106" s="267"/>
      <c r="ATF106" s="267"/>
      <c r="ATG106" s="267"/>
      <c r="ATH106" s="267"/>
      <c r="ATI106" s="267"/>
      <c r="ATJ106" s="267"/>
      <c r="ATK106" s="267"/>
      <c r="ATL106" s="267"/>
      <c r="ATM106" s="267"/>
      <c r="ATN106" s="267"/>
      <c r="ATO106" s="267"/>
      <c r="ATP106" s="267"/>
      <c r="ATQ106" s="267"/>
      <c r="ATR106" s="267"/>
      <c r="ATS106" s="267"/>
      <c r="ATT106" s="267"/>
      <c r="ATU106" s="267"/>
      <c r="ATV106" s="267"/>
      <c r="ATW106" s="267"/>
      <c r="ATX106" s="267"/>
      <c r="ATY106" s="267"/>
      <c r="ATZ106" s="267"/>
      <c r="AUA106" s="267"/>
      <c r="AUB106" s="267"/>
      <c r="AUC106" s="267"/>
      <c r="AUD106" s="267"/>
      <c r="AUE106" s="267"/>
      <c r="AUF106" s="267"/>
      <c r="AUG106" s="267"/>
      <c r="AUH106" s="267"/>
      <c r="AUI106" s="267"/>
      <c r="AUJ106" s="267"/>
      <c r="AUK106" s="267"/>
      <c r="AUL106" s="267"/>
      <c r="AUM106" s="267"/>
      <c r="AUN106" s="267"/>
      <c r="AUO106" s="267"/>
      <c r="AUP106" s="267"/>
      <c r="AUQ106" s="267"/>
      <c r="AUR106" s="267"/>
      <c r="AUS106" s="267"/>
      <c r="AUT106" s="267"/>
      <c r="AUU106" s="267"/>
      <c r="AUV106" s="267"/>
      <c r="AUW106" s="267"/>
      <c r="AUX106" s="267"/>
      <c r="AUY106" s="267"/>
      <c r="AUZ106" s="267"/>
      <c r="AVA106" s="267"/>
      <c r="AVB106" s="267"/>
      <c r="AVC106" s="267"/>
      <c r="AVD106" s="267"/>
      <c r="AVE106" s="267"/>
      <c r="AVF106" s="267"/>
      <c r="AVG106" s="267"/>
      <c r="AVH106" s="267"/>
      <c r="AVI106" s="267"/>
      <c r="AVJ106" s="267"/>
      <c r="AVK106" s="267"/>
      <c r="AVL106" s="267"/>
      <c r="AVM106" s="267"/>
      <c r="AVN106" s="267"/>
      <c r="AVO106" s="267"/>
      <c r="AVP106" s="267"/>
      <c r="AVQ106" s="267"/>
      <c r="AVR106" s="267"/>
      <c r="AVS106" s="267"/>
      <c r="AVT106" s="267"/>
      <c r="AVU106" s="267"/>
      <c r="AVV106" s="267"/>
      <c r="AVW106" s="267"/>
      <c r="AVX106" s="267"/>
      <c r="AVY106" s="267"/>
      <c r="AVZ106" s="267"/>
      <c r="AWA106" s="267"/>
      <c r="AWB106" s="267"/>
      <c r="AWC106" s="267"/>
      <c r="AWD106" s="267"/>
      <c r="AWE106" s="267"/>
      <c r="AWF106" s="267"/>
      <c r="AWG106" s="267"/>
      <c r="AWH106" s="267"/>
      <c r="AWI106" s="267"/>
      <c r="AWJ106" s="267"/>
      <c r="AWK106" s="267"/>
      <c r="AWL106" s="267"/>
      <c r="AWM106" s="267"/>
      <c r="AWN106" s="267"/>
      <c r="AWO106" s="267"/>
      <c r="AWP106" s="267"/>
      <c r="AWQ106" s="267"/>
      <c r="AWR106" s="267"/>
      <c r="AWS106" s="267"/>
      <c r="AWT106" s="267"/>
      <c r="AWU106" s="267"/>
      <c r="AWV106" s="267"/>
      <c r="AWW106" s="267"/>
      <c r="AWX106" s="267"/>
      <c r="AWY106" s="267"/>
      <c r="AWZ106" s="267"/>
      <c r="AXA106" s="267"/>
      <c r="AXB106" s="267"/>
      <c r="AXC106" s="267"/>
      <c r="AXD106" s="267"/>
      <c r="AXE106" s="267"/>
      <c r="AXF106" s="267"/>
      <c r="AXG106" s="267"/>
      <c r="AXH106" s="267"/>
      <c r="AXI106" s="267"/>
      <c r="AXJ106" s="267"/>
      <c r="AXK106" s="267"/>
      <c r="AXL106" s="267"/>
      <c r="AXM106" s="267"/>
      <c r="AXN106" s="267"/>
      <c r="AXO106" s="267"/>
      <c r="AXP106" s="267"/>
      <c r="AXQ106" s="267"/>
      <c r="AXR106" s="267"/>
      <c r="AXS106" s="267"/>
      <c r="AXT106" s="267"/>
      <c r="AXU106" s="267"/>
      <c r="AXV106" s="267"/>
      <c r="AXW106" s="267"/>
      <c r="AXX106" s="267"/>
      <c r="AXY106" s="267"/>
      <c r="AXZ106" s="267"/>
      <c r="AYA106" s="267"/>
      <c r="AYB106" s="267"/>
      <c r="AYC106" s="267"/>
      <c r="AYD106" s="267"/>
      <c r="AYE106" s="267"/>
      <c r="AYF106" s="267"/>
      <c r="AYG106" s="267"/>
      <c r="AYH106" s="267"/>
      <c r="AYI106" s="267"/>
      <c r="AYJ106" s="267"/>
      <c r="AYK106" s="267"/>
      <c r="AYL106" s="267"/>
      <c r="AYM106" s="267"/>
      <c r="AYN106" s="267"/>
      <c r="AYO106" s="267"/>
      <c r="AYP106" s="267"/>
      <c r="AYQ106" s="267"/>
      <c r="AYR106" s="267"/>
      <c r="AYS106" s="267"/>
      <c r="AYT106" s="267"/>
      <c r="AYU106" s="267"/>
      <c r="AYV106" s="267"/>
      <c r="AYW106" s="267"/>
      <c r="AYX106" s="267"/>
      <c r="AYY106" s="267"/>
      <c r="AYZ106" s="267"/>
      <c r="AZA106" s="267"/>
      <c r="AZB106" s="267"/>
      <c r="AZC106" s="267"/>
      <c r="AZD106" s="267"/>
      <c r="AZE106" s="267"/>
      <c r="AZF106" s="267"/>
      <c r="AZG106" s="267"/>
      <c r="AZH106" s="267"/>
      <c r="AZI106" s="267"/>
      <c r="AZJ106" s="267"/>
      <c r="AZK106" s="267"/>
      <c r="AZL106" s="267"/>
      <c r="AZM106" s="267"/>
      <c r="AZN106" s="267"/>
      <c r="AZO106" s="267"/>
      <c r="AZP106" s="267"/>
      <c r="AZQ106" s="267"/>
      <c r="AZR106" s="267"/>
      <c r="AZS106" s="267"/>
      <c r="AZT106" s="267"/>
      <c r="AZU106" s="267"/>
      <c r="AZV106" s="267"/>
      <c r="AZW106" s="267"/>
      <c r="AZX106" s="267"/>
      <c r="AZY106" s="267"/>
      <c r="AZZ106" s="267"/>
      <c r="BAA106" s="267"/>
      <c r="BAB106" s="267"/>
      <c r="BAC106" s="267"/>
      <c r="BAD106" s="267"/>
      <c r="BAE106" s="267"/>
      <c r="BAF106" s="267"/>
      <c r="BAG106" s="267"/>
      <c r="BAH106" s="267"/>
      <c r="BAI106" s="267"/>
      <c r="BAJ106" s="267"/>
      <c r="BAK106" s="267"/>
      <c r="BAL106" s="267"/>
      <c r="BAM106" s="267"/>
      <c r="BAN106" s="267"/>
      <c r="BAO106" s="267"/>
      <c r="BAP106" s="267"/>
      <c r="BAQ106" s="267"/>
      <c r="BAR106" s="267"/>
      <c r="BAS106" s="267"/>
      <c r="BAT106" s="267"/>
      <c r="BAU106" s="267"/>
      <c r="BAV106" s="267"/>
      <c r="BAW106" s="267"/>
      <c r="BAX106" s="267"/>
      <c r="BAY106" s="267"/>
      <c r="BAZ106" s="267"/>
      <c r="BBA106" s="267"/>
      <c r="BBB106" s="267"/>
      <c r="BBC106" s="267"/>
      <c r="BBD106" s="267"/>
      <c r="BBE106" s="267"/>
      <c r="BBF106" s="267"/>
      <c r="BBG106" s="267"/>
      <c r="BBH106" s="267"/>
      <c r="BBI106" s="267"/>
      <c r="BBJ106" s="267"/>
      <c r="BBK106" s="267"/>
      <c r="BBL106" s="267"/>
      <c r="BBM106" s="267"/>
      <c r="BBN106" s="267"/>
      <c r="BBO106" s="267"/>
      <c r="BBP106" s="267"/>
      <c r="BBQ106" s="267"/>
      <c r="BBR106" s="267"/>
      <c r="BBS106" s="267"/>
      <c r="BBT106" s="267"/>
      <c r="BBU106" s="267"/>
      <c r="BBV106" s="267"/>
      <c r="BBW106" s="267"/>
      <c r="BBX106" s="267"/>
      <c r="BBY106" s="267"/>
      <c r="BBZ106" s="267"/>
      <c r="BCA106" s="267"/>
      <c r="BCB106" s="267"/>
      <c r="BCC106" s="267"/>
      <c r="BCD106" s="267"/>
      <c r="BCE106" s="267"/>
      <c r="BCF106" s="267"/>
      <c r="BCG106" s="267"/>
      <c r="BCH106" s="267"/>
      <c r="BCI106" s="267"/>
      <c r="BCJ106" s="267"/>
      <c r="BCK106" s="267"/>
      <c r="BCL106" s="267"/>
      <c r="BCM106" s="267"/>
      <c r="BCN106" s="267"/>
      <c r="BCO106" s="267"/>
      <c r="BCP106" s="267"/>
      <c r="BCQ106" s="267"/>
      <c r="BCR106" s="267"/>
      <c r="BCS106" s="267"/>
      <c r="BCT106" s="267"/>
      <c r="BCU106" s="267"/>
      <c r="BCV106" s="267"/>
      <c r="BCW106" s="267"/>
      <c r="BCX106" s="267"/>
      <c r="BCY106" s="267"/>
      <c r="BCZ106" s="267"/>
      <c r="BDA106" s="267"/>
      <c r="BDB106" s="267"/>
      <c r="BDC106" s="267"/>
      <c r="BDD106" s="267"/>
      <c r="BDE106" s="267"/>
      <c r="BDF106" s="267"/>
      <c r="BDG106" s="267"/>
      <c r="BDH106" s="267"/>
      <c r="BDI106" s="267"/>
      <c r="BDJ106" s="267"/>
      <c r="BDK106" s="267"/>
      <c r="BDL106" s="267"/>
      <c r="BDM106" s="267"/>
      <c r="BDN106" s="267"/>
      <c r="BDO106" s="267"/>
      <c r="BDP106" s="267"/>
      <c r="BDQ106" s="267"/>
      <c r="BDR106" s="267"/>
      <c r="BDS106" s="267"/>
      <c r="BDT106" s="267"/>
      <c r="BDU106" s="267"/>
      <c r="BDV106" s="267"/>
      <c r="BDW106" s="267"/>
      <c r="BDX106" s="267"/>
      <c r="BDY106" s="267"/>
      <c r="BDZ106" s="267"/>
      <c r="BEA106" s="267"/>
      <c r="BEB106" s="267"/>
      <c r="BEC106" s="267"/>
      <c r="BED106" s="267"/>
      <c r="BEE106" s="267"/>
      <c r="BEF106" s="267"/>
      <c r="BEG106" s="267"/>
      <c r="BEH106" s="267"/>
      <c r="BEI106" s="267"/>
      <c r="BEJ106" s="267"/>
      <c r="BEK106" s="267"/>
      <c r="BEL106" s="267"/>
      <c r="BEM106" s="267"/>
      <c r="BEN106" s="267"/>
      <c r="BEO106" s="267"/>
      <c r="BEP106" s="267"/>
      <c r="BEQ106" s="267"/>
      <c r="BER106" s="267"/>
      <c r="BES106" s="267"/>
      <c r="BET106" s="267"/>
      <c r="BEU106" s="267"/>
      <c r="BEV106" s="267"/>
      <c r="BEW106" s="267"/>
      <c r="BEX106" s="267"/>
      <c r="BEY106" s="267"/>
      <c r="BEZ106" s="267"/>
      <c r="BFA106" s="267"/>
      <c r="BFB106" s="267"/>
      <c r="BFC106" s="267"/>
      <c r="BFD106" s="267"/>
      <c r="BFE106" s="267"/>
      <c r="BFF106" s="267"/>
      <c r="BFG106" s="267"/>
      <c r="BFH106" s="267"/>
      <c r="BFI106" s="267"/>
      <c r="BFJ106" s="267"/>
      <c r="BFK106" s="267"/>
      <c r="BFL106" s="267"/>
      <c r="BFM106" s="267"/>
      <c r="BFN106" s="267"/>
      <c r="BFO106" s="267"/>
      <c r="BFP106" s="267"/>
      <c r="BFQ106" s="267"/>
      <c r="BFR106" s="267"/>
      <c r="BFS106" s="267"/>
      <c r="BFT106" s="267"/>
      <c r="BFU106" s="267"/>
      <c r="BFV106" s="267"/>
      <c r="BFW106" s="267"/>
      <c r="BFX106" s="267"/>
      <c r="BFY106" s="267"/>
      <c r="BFZ106" s="267"/>
      <c r="BGA106" s="267"/>
      <c r="BGB106" s="267"/>
      <c r="BGC106" s="267"/>
      <c r="BGD106" s="267"/>
      <c r="BGE106" s="267"/>
      <c r="BGF106" s="267"/>
      <c r="BGG106" s="267"/>
      <c r="BGH106" s="267"/>
      <c r="BGI106" s="267"/>
      <c r="BGJ106" s="267"/>
      <c r="BGK106" s="267"/>
      <c r="BGL106" s="267"/>
      <c r="BGM106" s="267"/>
      <c r="BGN106" s="267"/>
      <c r="BGO106" s="267"/>
      <c r="BGP106" s="267"/>
      <c r="BGQ106" s="267"/>
      <c r="BGR106" s="267"/>
      <c r="BGS106" s="267"/>
      <c r="BGT106" s="267"/>
      <c r="BGU106" s="267"/>
      <c r="BGV106" s="267"/>
      <c r="BGW106" s="267"/>
      <c r="BGX106" s="267"/>
      <c r="BGY106" s="267"/>
      <c r="BGZ106" s="267"/>
      <c r="BHA106" s="267"/>
      <c r="BHB106" s="267"/>
      <c r="BHC106" s="267"/>
      <c r="BHD106" s="267"/>
      <c r="BHE106" s="267"/>
      <c r="BHF106" s="267"/>
      <c r="BHG106" s="267"/>
      <c r="BHH106" s="267"/>
      <c r="BHI106" s="267"/>
      <c r="BHJ106" s="267"/>
      <c r="BHK106" s="267"/>
      <c r="BHL106" s="267"/>
      <c r="BHM106" s="267"/>
      <c r="BHN106" s="267"/>
      <c r="BHO106" s="267"/>
      <c r="BHP106" s="267"/>
      <c r="BHQ106" s="267"/>
      <c r="BHR106" s="267"/>
      <c r="BHS106" s="267"/>
      <c r="BHT106" s="267"/>
      <c r="BHU106" s="267"/>
      <c r="BHV106" s="267"/>
      <c r="BHW106" s="267"/>
      <c r="BHX106" s="267"/>
      <c r="BHY106" s="267"/>
      <c r="BHZ106" s="267"/>
      <c r="BIA106" s="267"/>
      <c r="BIB106" s="267"/>
      <c r="BIC106" s="267"/>
      <c r="BID106" s="267"/>
      <c r="BIE106" s="267"/>
      <c r="BIF106" s="267"/>
      <c r="BIG106" s="267"/>
      <c r="BIH106" s="267"/>
      <c r="BII106" s="267"/>
      <c r="BIJ106" s="267"/>
      <c r="BIK106" s="267"/>
      <c r="BIL106" s="267"/>
      <c r="BIM106" s="267"/>
      <c r="BIN106" s="267"/>
      <c r="BIO106" s="267"/>
      <c r="BIP106" s="267"/>
      <c r="BIQ106" s="267"/>
      <c r="BIR106" s="267"/>
      <c r="BIS106" s="267"/>
      <c r="BIT106" s="267"/>
      <c r="BIU106" s="267"/>
      <c r="BIV106" s="267"/>
      <c r="BIW106" s="267"/>
      <c r="BIX106" s="267"/>
      <c r="BIY106" s="267"/>
      <c r="BIZ106" s="267"/>
      <c r="BJA106" s="267"/>
      <c r="BJB106" s="267"/>
      <c r="BJC106" s="267"/>
      <c r="BJD106" s="267"/>
      <c r="BJE106" s="267"/>
      <c r="BJF106" s="267"/>
      <c r="BJG106" s="267"/>
      <c r="BJH106" s="267"/>
      <c r="BJI106" s="267"/>
      <c r="BJJ106" s="267"/>
      <c r="BJK106" s="267"/>
      <c r="BJL106" s="267"/>
      <c r="BJM106" s="267"/>
      <c r="BJN106" s="267"/>
      <c r="BJO106" s="267"/>
      <c r="BJP106" s="267"/>
      <c r="BJQ106" s="267"/>
      <c r="BJR106" s="267"/>
      <c r="BJS106" s="267"/>
      <c r="BJT106" s="267"/>
      <c r="BJU106" s="267"/>
      <c r="BJV106" s="267"/>
      <c r="BJW106" s="267"/>
      <c r="BJX106" s="267"/>
      <c r="BJY106" s="267"/>
      <c r="BJZ106" s="267"/>
      <c r="BKA106" s="267"/>
      <c r="BKB106" s="267"/>
      <c r="BKC106" s="267"/>
      <c r="BKD106" s="267"/>
      <c r="BKE106" s="267"/>
      <c r="BKF106" s="267"/>
      <c r="BKG106" s="267"/>
      <c r="BKH106" s="267"/>
      <c r="BKI106" s="267"/>
      <c r="BKJ106" s="267"/>
      <c r="BKK106" s="267"/>
      <c r="BKL106" s="267"/>
      <c r="BKM106" s="267"/>
      <c r="BKN106" s="267"/>
      <c r="BKO106" s="267"/>
      <c r="BKP106" s="267"/>
      <c r="BKQ106" s="267"/>
      <c r="BKR106" s="267"/>
      <c r="BKS106" s="267"/>
      <c r="BKT106" s="267"/>
      <c r="BKU106" s="267"/>
      <c r="BKV106" s="267"/>
      <c r="BKW106" s="267"/>
      <c r="BKX106" s="267"/>
      <c r="BKY106" s="267"/>
      <c r="BKZ106" s="267"/>
      <c r="BLA106" s="267"/>
      <c r="BLB106" s="267"/>
      <c r="BLC106" s="267"/>
      <c r="BLD106" s="267"/>
      <c r="BLE106" s="267"/>
      <c r="BLF106" s="267"/>
      <c r="BLG106" s="267"/>
      <c r="BLH106" s="267"/>
      <c r="BLI106" s="267"/>
      <c r="BLJ106" s="267"/>
      <c r="BLK106" s="267"/>
      <c r="BLL106" s="267"/>
      <c r="BLM106" s="267"/>
      <c r="BLN106" s="267"/>
      <c r="BLO106" s="267"/>
      <c r="BLP106" s="267"/>
      <c r="BLQ106" s="267"/>
      <c r="BLR106" s="267"/>
      <c r="BLS106" s="267"/>
      <c r="BLT106" s="267"/>
      <c r="BLU106" s="267"/>
      <c r="BLV106" s="267"/>
      <c r="BLW106" s="267"/>
      <c r="BLX106" s="267"/>
      <c r="BLY106" s="267"/>
      <c r="BLZ106" s="267"/>
      <c r="BMA106" s="267"/>
      <c r="BMB106" s="267"/>
      <c r="BMC106" s="267"/>
      <c r="BMD106" s="267"/>
      <c r="BME106" s="267"/>
      <c r="BMF106" s="267"/>
      <c r="BMG106" s="267"/>
      <c r="BMH106" s="267"/>
      <c r="BMI106" s="267"/>
      <c r="BMJ106" s="267"/>
      <c r="BMK106" s="267"/>
      <c r="BML106" s="267"/>
      <c r="BMM106" s="267"/>
      <c r="BMN106" s="267"/>
      <c r="BMO106" s="267"/>
      <c r="BMP106" s="267"/>
      <c r="BMQ106" s="267"/>
      <c r="BMR106" s="267"/>
      <c r="BMS106" s="267"/>
      <c r="BMT106" s="267"/>
      <c r="BMU106" s="267"/>
      <c r="BMV106" s="267"/>
      <c r="BMW106" s="267"/>
      <c r="BMX106" s="267"/>
      <c r="BMY106" s="267"/>
      <c r="BMZ106" s="267"/>
      <c r="BNA106" s="267"/>
      <c r="BNB106" s="267"/>
      <c r="BNC106" s="267"/>
      <c r="BND106" s="267"/>
      <c r="BNE106" s="267"/>
      <c r="BNF106" s="267"/>
      <c r="BNG106" s="267"/>
      <c r="BNH106" s="267"/>
      <c r="BNI106" s="267"/>
      <c r="BNJ106" s="267"/>
      <c r="BNK106" s="267"/>
      <c r="BNL106" s="267"/>
      <c r="BNM106" s="267"/>
      <c r="BNN106" s="267"/>
      <c r="BNO106" s="267"/>
      <c r="BNP106" s="267"/>
      <c r="BNQ106" s="267"/>
      <c r="BNR106" s="267"/>
      <c r="BNS106" s="267"/>
      <c r="BNT106" s="267"/>
      <c r="BNU106" s="267"/>
      <c r="BNV106" s="267"/>
      <c r="BNW106" s="267"/>
      <c r="BNX106" s="267"/>
      <c r="BNY106" s="267"/>
      <c r="BNZ106" s="267"/>
      <c r="BOA106" s="267"/>
      <c r="BOB106" s="267"/>
      <c r="BOC106" s="267"/>
      <c r="BOD106" s="267"/>
      <c r="BOE106" s="267"/>
      <c r="BOF106" s="267"/>
      <c r="BOG106" s="267"/>
      <c r="BOH106" s="267"/>
      <c r="BOI106" s="267"/>
      <c r="BOJ106" s="267"/>
      <c r="BOK106" s="267"/>
      <c r="BOL106" s="267"/>
      <c r="BOM106" s="267"/>
      <c r="BON106" s="267"/>
      <c r="BOO106" s="267"/>
      <c r="BOP106" s="267"/>
      <c r="BOQ106" s="267"/>
      <c r="BOR106" s="267"/>
      <c r="BOS106" s="267"/>
      <c r="BOT106" s="267"/>
      <c r="BOU106" s="267"/>
      <c r="BOV106" s="267"/>
      <c r="BOW106" s="267"/>
      <c r="BOX106" s="267"/>
      <c r="BOY106" s="267"/>
      <c r="BOZ106" s="267"/>
      <c r="BPA106" s="267"/>
      <c r="BPB106" s="267"/>
      <c r="BPC106" s="267"/>
      <c r="BPD106" s="267"/>
      <c r="BPE106" s="267"/>
      <c r="BPF106" s="267"/>
      <c r="BPG106" s="267"/>
      <c r="BPH106" s="267"/>
      <c r="BPI106" s="267"/>
      <c r="BPJ106" s="267"/>
      <c r="BPK106" s="267"/>
      <c r="BPL106" s="267"/>
      <c r="BPM106" s="267"/>
      <c r="BPN106" s="267"/>
      <c r="BPO106" s="267"/>
      <c r="BPP106" s="267"/>
      <c r="BPQ106" s="267"/>
      <c r="BPR106" s="267"/>
      <c r="BPS106" s="267"/>
      <c r="BPT106" s="267"/>
      <c r="BPU106" s="267"/>
      <c r="BPV106" s="267"/>
      <c r="BPW106" s="267"/>
      <c r="BPX106" s="267"/>
      <c r="BPY106" s="267"/>
      <c r="BPZ106" s="267"/>
      <c r="BQA106" s="267"/>
      <c r="BQB106" s="267"/>
      <c r="BQC106" s="267"/>
      <c r="BQD106" s="267"/>
      <c r="BQE106" s="267"/>
      <c r="BQF106" s="267"/>
      <c r="BQG106" s="267"/>
      <c r="BQH106" s="267"/>
      <c r="BQI106" s="267"/>
      <c r="BQJ106" s="267"/>
      <c r="BQK106" s="267"/>
      <c r="BQL106" s="267"/>
      <c r="BQM106" s="267"/>
      <c r="BQN106" s="267"/>
      <c r="BQO106" s="267"/>
      <c r="BQP106" s="267"/>
      <c r="BQQ106" s="267"/>
      <c r="BQR106" s="267"/>
      <c r="BQS106" s="267"/>
      <c r="BQT106" s="267"/>
      <c r="BQU106" s="267"/>
      <c r="BQV106" s="267"/>
      <c r="BQW106" s="267"/>
      <c r="BQX106" s="267"/>
      <c r="BQY106" s="267"/>
      <c r="BQZ106" s="267"/>
      <c r="BRA106" s="267"/>
      <c r="BRB106" s="267"/>
      <c r="BRC106" s="267"/>
      <c r="BRD106" s="267"/>
      <c r="BRE106" s="267"/>
      <c r="BRF106" s="267"/>
      <c r="BRG106" s="267"/>
      <c r="BRH106" s="267"/>
      <c r="BRI106" s="267"/>
      <c r="BRJ106" s="267"/>
      <c r="BRK106" s="267"/>
      <c r="BRL106" s="267"/>
      <c r="BRM106" s="267"/>
      <c r="BRN106" s="267"/>
      <c r="BRO106" s="267"/>
      <c r="BRP106" s="267"/>
      <c r="BRQ106" s="267"/>
      <c r="BRR106" s="267"/>
      <c r="BRS106" s="267"/>
      <c r="BRT106" s="267"/>
      <c r="BRU106" s="267"/>
      <c r="BRV106" s="267"/>
      <c r="BRW106" s="267"/>
      <c r="BRX106" s="267"/>
      <c r="BRY106" s="267"/>
      <c r="BRZ106" s="267"/>
      <c r="BSA106" s="267"/>
      <c r="BSB106" s="267"/>
      <c r="BSC106" s="267"/>
      <c r="BSD106" s="267"/>
      <c r="BSE106" s="267"/>
      <c r="BSF106" s="267"/>
      <c r="BSG106" s="267"/>
      <c r="BSH106" s="267"/>
      <c r="BSI106" s="267"/>
      <c r="BSJ106" s="267"/>
      <c r="BSK106" s="267"/>
      <c r="BSL106" s="267"/>
      <c r="BSM106" s="267"/>
      <c r="BSN106" s="267"/>
      <c r="BSO106" s="267"/>
      <c r="BSP106" s="267"/>
      <c r="BSQ106" s="267"/>
      <c r="BSR106" s="267"/>
      <c r="BSS106" s="267"/>
      <c r="BST106" s="267"/>
      <c r="BSU106" s="267"/>
      <c r="BSV106" s="267"/>
      <c r="BSW106" s="267"/>
      <c r="BSX106" s="267"/>
      <c r="BSY106" s="267"/>
      <c r="BSZ106" s="267"/>
      <c r="BTA106" s="267"/>
      <c r="BTB106" s="267"/>
      <c r="BTC106" s="267"/>
      <c r="BTD106" s="267"/>
      <c r="BTE106" s="267"/>
      <c r="BTF106" s="267"/>
      <c r="BTG106" s="267"/>
      <c r="BTH106" s="267"/>
      <c r="BTI106" s="267"/>
      <c r="BTJ106" s="267"/>
      <c r="BTK106" s="267"/>
      <c r="BTL106" s="267"/>
      <c r="BTM106" s="267"/>
      <c r="BTN106" s="267"/>
      <c r="BTO106" s="267"/>
      <c r="BTP106" s="267"/>
      <c r="BTQ106" s="267"/>
      <c r="BTR106" s="267"/>
      <c r="BTS106" s="267"/>
      <c r="BTT106" s="267"/>
      <c r="BTU106" s="267"/>
      <c r="BTV106" s="267"/>
      <c r="BTW106" s="267"/>
      <c r="BTX106" s="267"/>
      <c r="BTY106" s="267"/>
      <c r="BTZ106" s="267"/>
      <c r="BUA106" s="267"/>
      <c r="BUB106" s="267"/>
      <c r="BUC106" s="267"/>
      <c r="BUD106" s="267"/>
      <c r="BUE106" s="267"/>
      <c r="BUF106" s="267"/>
      <c r="BUG106" s="267"/>
      <c r="BUH106" s="267"/>
      <c r="BUI106" s="267"/>
      <c r="BUJ106" s="267"/>
      <c r="BUK106" s="267"/>
      <c r="BUL106" s="267"/>
      <c r="BUM106" s="267"/>
      <c r="BUN106" s="267"/>
      <c r="BUO106" s="267"/>
      <c r="BUP106" s="267"/>
      <c r="BUQ106" s="267"/>
      <c r="BUR106" s="267"/>
      <c r="BUS106" s="267"/>
      <c r="BUT106" s="267"/>
      <c r="BUU106" s="267"/>
      <c r="BUV106" s="267"/>
      <c r="BUW106" s="267"/>
      <c r="BUX106" s="267"/>
      <c r="BUY106" s="267"/>
      <c r="BUZ106" s="267"/>
      <c r="BVA106" s="267"/>
      <c r="BVB106" s="267"/>
      <c r="BVC106" s="267"/>
      <c r="BVD106" s="267"/>
      <c r="BVE106" s="267"/>
      <c r="BVF106" s="267"/>
      <c r="BVG106" s="267"/>
      <c r="BVH106" s="267"/>
      <c r="BVI106" s="267"/>
      <c r="BVJ106" s="267"/>
      <c r="BVK106" s="267"/>
      <c r="BVL106" s="267"/>
      <c r="BVM106" s="267"/>
      <c r="BVN106" s="267"/>
      <c r="BVO106" s="267"/>
      <c r="BVP106" s="267"/>
      <c r="BVQ106" s="267"/>
      <c r="BVR106" s="267"/>
      <c r="BVS106" s="267"/>
      <c r="BVT106" s="267"/>
      <c r="BVU106" s="267"/>
      <c r="BVV106" s="267"/>
      <c r="BVW106" s="267"/>
      <c r="BVX106" s="267"/>
      <c r="BVY106" s="267"/>
      <c r="BVZ106" s="267"/>
      <c r="BWA106" s="267"/>
      <c r="BWB106" s="267"/>
      <c r="BWC106" s="267"/>
      <c r="BWD106" s="267"/>
      <c r="BWE106" s="267"/>
      <c r="BWF106" s="267"/>
      <c r="BWG106" s="267"/>
      <c r="BWH106" s="267"/>
      <c r="BWI106" s="267"/>
      <c r="BWJ106" s="267"/>
      <c r="BWK106" s="267"/>
      <c r="BWL106" s="267"/>
      <c r="BWM106" s="267"/>
      <c r="BWN106" s="267"/>
      <c r="BWO106" s="267"/>
      <c r="BWP106" s="267"/>
      <c r="BWQ106" s="267"/>
      <c r="BWR106" s="267"/>
      <c r="BWS106" s="267"/>
      <c r="BWT106" s="267"/>
      <c r="BWU106" s="267"/>
      <c r="BWV106" s="267"/>
      <c r="BWW106" s="267"/>
      <c r="BWX106" s="267"/>
      <c r="BWY106" s="267"/>
      <c r="BWZ106" s="267"/>
      <c r="BXA106" s="267"/>
      <c r="BXB106" s="267"/>
      <c r="BXC106" s="267"/>
      <c r="BXD106" s="267"/>
      <c r="BXE106" s="267"/>
      <c r="BXF106" s="267"/>
      <c r="BXG106" s="267"/>
      <c r="BXH106" s="267"/>
      <c r="BXI106" s="267"/>
      <c r="BXJ106" s="267"/>
      <c r="BXK106" s="267"/>
      <c r="BXL106" s="267"/>
      <c r="BXM106" s="267"/>
      <c r="BXN106" s="267"/>
      <c r="BXO106" s="267"/>
      <c r="BXP106" s="267"/>
      <c r="BXQ106" s="267"/>
      <c r="BXR106" s="267"/>
      <c r="BXS106" s="267"/>
      <c r="BXT106" s="267"/>
      <c r="BXU106" s="267"/>
      <c r="BXV106" s="267"/>
      <c r="BXW106" s="267"/>
      <c r="BXX106" s="267"/>
      <c r="BXY106" s="267"/>
      <c r="BXZ106" s="267"/>
      <c r="BYA106" s="267"/>
      <c r="BYB106" s="267"/>
      <c r="BYC106" s="267"/>
      <c r="BYD106" s="267"/>
      <c r="BYE106" s="267"/>
      <c r="BYF106" s="267"/>
      <c r="BYG106" s="267"/>
      <c r="BYH106" s="267"/>
      <c r="BYI106" s="267"/>
      <c r="BYJ106" s="267"/>
      <c r="BYK106" s="267"/>
      <c r="BYL106" s="267"/>
      <c r="BYM106" s="267"/>
      <c r="BYN106" s="267"/>
      <c r="BYO106" s="267"/>
      <c r="BYP106" s="267"/>
      <c r="BYQ106" s="267"/>
      <c r="BYR106" s="267"/>
      <c r="BYS106" s="267"/>
      <c r="BYT106" s="267"/>
      <c r="BYU106" s="267"/>
      <c r="BYV106" s="267"/>
      <c r="BYW106" s="267"/>
      <c r="BYX106" s="267"/>
      <c r="BYY106" s="267"/>
      <c r="BYZ106" s="267"/>
      <c r="BZA106" s="267"/>
      <c r="BZB106" s="267"/>
      <c r="BZC106" s="267"/>
      <c r="BZD106" s="267"/>
      <c r="BZE106" s="267"/>
      <c r="BZF106" s="267"/>
      <c r="BZG106" s="267"/>
      <c r="BZH106" s="267"/>
      <c r="BZI106" s="267"/>
      <c r="BZJ106" s="267"/>
      <c r="BZK106" s="267"/>
      <c r="BZL106" s="267"/>
      <c r="BZM106" s="267"/>
      <c r="BZN106" s="267"/>
      <c r="BZO106" s="267"/>
      <c r="BZP106" s="267"/>
      <c r="BZQ106" s="267"/>
      <c r="BZR106" s="267"/>
      <c r="BZS106" s="267"/>
      <c r="BZT106" s="267"/>
      <c r="BZU106" s="267"/>
      <c r="BZV106" s="267"/>
      <c r="BZW106" s="267"/>
      <c r="BZX106" s="267"/>
      <c r="BZY106" s="267"/>
      <c r="BZZ106" s="267"/>
      <c r="CAA106" s="267"/>
      <c r="CAB106" s="267"/>
      <c r="CAC106" s="267"/>
      <c r="CAD106" s="267"/>
      <c r="CAE106" s="267"/>
      <c r="CAF106" s="267"/>
      <c r="CAG106" s="267"/>
      <c r="CAH106" s="267"/>
      <c r="CAI106" s="267"/>
      <c r="CAJ106" s="267"/>
      <c r="CAK106" s="267"/>
      <c r="CAL106" s="267"/>
      <c r="CAM106" s="267"/>
      <c r="CAN106" s="267"/>
      <c r="CAO106" s="267"/>
      <c r="CAP106" s="267"/>
      <c r="CAQ106" s="267"/>
      <c r="CAR106" s="267"/>
      <c r="CAS106" s="267"/>
      <c r="CAT106" s="267"/>
      <c r="CAU106" s="267"/>
      <c r="CAV106" s="267"/>
      <c r="CAW106" s="267"/>
      <c r="CAX106" s="267"/>
      <c r="CAY106" s="267"/>
      <c r="CAZ106" s="267"/>
      <c r="CBA106" s="267"/>
      <c r="CBB106" s="267"/>
      <c r="CBC106" s="267"/>
      <c r="CBD106" s="267"/>
      <c r="CBE106" s="267"/>
      <c r="CBF106" s="267"/>
      <c r="CBG106" s="267"/>
      <c r="CBH106" s="267"/>
      <c r="CBI106" s="267"/>
      <c r="CBJ106" s="267"/>
      <c r="CBK106" s="267"/>
      <c r="CBL106" s="267"/>
      <c r="CBM106" s="267"/>
      <c r="CBN106" s="267"/>
      <c r="CBO106" s="267"/>
      <c r="CBP106" s="267"/>
      <c r="CBQ106" s="267"/>
      <c r="CBR106" s="267"/>
      <c r="CBS106" s="267"/>
      <c r="CBT106" s="267"/>
      <c r="CBU106" s="267"/>
      <c r="CBV106" s="267"/>
      <c r="CBW106" s="267"/>
      <c r="CBX106" s="267"/>
      <c r="CBY106" s="267"/>
      <c r="CBZ106" s="267"/>
      <c r="CCA106" s="267"/>
      <c r="CCB106" s="267"/>
      <c r="CCC106" s="267"/>
      <c r="CCD106" s="267"/>
      <c r="CCE106" s="267"/>
      <c r="CCF106" s="267"/>
      <c r="CCG106" s="267"/>
      <c r="CCH106" s="267"/>
      <c r="CCI106" s="267"/>
      <c r="CCJ106" s="267"/>
      <c r="CCK106" s="267"/>
      <c r="CCL106" s="267"/>
      <c r="CCM106" s="267"/>
      <c r="CCN106" s="267"/>
      <c r="CCO106" s="267"/>
      <c r="CCP106" s="267"/>
      <c r="CCQ106" s="267"/>
      <c r="CCR106" s="267"/>
      <c r="CCS106" s="267"/>
      <c r="CCT106" s="267"/>
      <c r="CCU106" s="267"/>
      <c r="CCV106" s="267"/>
      <c r="CCW106" s="267"/>
      <c r="CCX106" s="267"/>
      <c r="CCY106" s="267"/>
      <c r="CCZ106" s="267"/>
      <c r="CDA106" s="267"/>
      <c r="CDB106" s="267"/>
      <c r="CDC106" s="267"/>
      <c r="CDD106" s="267"/>
      <c r="CDE106" s="267"/>
      <c r="CDF106" s="267"/>
      <c r="CDG106" s="267"/>
      <c r="CDH106" s="267"/>
      <c r="CDI106" s="267"/>
      <c r="CDJ106" s="267"/>
      <c r="CDK106" s="267"/>
      <c r="CDL106" s="267"/>
      <c r="CDM106" s="267"/>
      <c r="CDN106" s="267"/>
      <c r="CDO106" s="267"/>
      <c r="CDP106" s="267"/>
      <c r="CDQ106" s="267"/>
      <c r="CDR106" s="267"/>
      <c r="CDS106" s="267"/>
      <c r="CDT106" s="267"/>
      <c r="CDU106" s="267"/>
      <c r="CDV106" s="267"/>
      <c r="CDW106" s="267"/>
      <c r="CDX106" s="267"/>
      <c r="CDY106" s="267"/>
      <c r="CDZ106" s="267"/>
      <c r="CEA106" s="267"/>
      <c r="CEB106" s="267"/>
      <c r="CEC106" s="267"/>
      <c r="CED106" s="267"/>
      <c r="CEE106" s="267"/>
      <c r="CEF106" s="267"/>
      <c r="CEG106" s="267"/>
      <c r="CEH106" s="267"/>
      <c r="CEI106" s="267"/>
      <c r="CEJ106" s="267"/>
      <c r="CEK106" s="267"/>
      <c r="CEL106" s="267"/>
      <c r="CEM106" s="267"/>
      <c r="CEN106" s="267"/>
      <c r="CEO106" s="267"/>
      <c r="CEP106" s="267"/>
      <c r="CEQ106" s="267"/>
      <c r="CER106" s="267"/>
      <c r="CES106" s="267"/>
      <c r="CET106" s="267"/>
      <c r="CEU106" s="267"/>
      <c r="CEV106" s="267"/>
      <c r="CEW106" s="267"/>
      <c r="CEX106" s="267"/>
      <c r="CEY106" s="267"/>
      <c r="CEZ106" s="267"/>
      <c r="CFA106" s="267"/>
      <c r="CFB106" s="267"/>
      <c r="CFC106" s="267"/>
      <c r="CFD106" s="267"/>
      <c r="CFE106" s="267"/>
      <c r="CFF106" s="267"/>
      <c r="CFG106" s="267"/>
      <c r="CFH106" s="267"/>
      <c r="CFI106" s="267"/>
      <c r="CFJ106" s="267"/>
      <c r="CFK106" s="267"/>
      <c r="CFL106" s="267"/>
      <c r="CFM106" s="267"/>
      <c r="CFN106" s="267"/>
      <c r="CFO106" s="267"/>
      <c r="CFP106" s="267"/>
      <c r="CFQ106" s="267"/>
      <c r="CFR106" s="267"/>
      <c r="CFS106" s="267"/>
      <c r="CFT106" s="267"/>
      <c r="CFU106" s="267"/>
      <c r="CFV106" s="267"/>
      <c r="CFW106" s="267"/>
      <c r="CFX106" s="267"/>
      <c r="CFY106" s="267"/>
      <c r="CFZ106" s="267"/>
      <c r="CGA106" s="267"/>
      <c r="CGB106" s="267"/>
      <c r="CGC106" s="267"/>
      <c r="CGD106" s="267"/>
      <c r="CGE106" s="267"/>
      <c r="CGF106" s="267"/>
      <c r="CGG106" s="267"/>
      <c r="CGH106" s="267"/>
      <c r="CGI106" s="267"/>
      <c r="CGJ106" s="267"/>
      <c r="CGK106" s="267"/>
      <c r="CGL106" s="267"/>
      <c r="CGM106" s="267"/>
      <c r="CGN106" s="267"/>
      <c r="CGO106" s="267"/>
      <c r="CGP106" s="267"/>
      <c r="CGQ106" s="267"/>
      <c r="CGR106" s="267"/>
      <c r="CGS106" s="267"/>
      <c r="CGT106" s="267"/>
      <c r="CGU106" s="267"/>
      <c r="CGV106" s="267"/>
      <c r="CGW106" s="267"/>
      <c r="CGX106" s="267"/>
      <c r="CGY106" s="267"/>
      <c r="CGZ106" s="267"/>
      <c r="CHA106" s="267"/>
      <c r="CHB106" s="267"/>
      <c r="CHC106" s="267"/>
      <c r="CHD106" s="267"/>
      <c r="CHE106" s="267"/>
      <c r="CHF106" s="267"/>
      <c r="CHG106" s="267"/>
      <c r="CHH106" s="267"/>
      <c r="CHI106" s="267"/>
      <c r="CHJ106" s="267"/>
      <c r="CHK106" s="267"/>
      <c r="CHL106" s="267"/>
      <c r="CHM106" s="267"/>
      <c r="CHN106" s="267"/>
      <c r="CHO106" s="267"/>
      <c r="CHP106" s="267"/>
      <c r="CHQ106" s="267"/>
      <c r="CHR106" s="267"/>
      <c r="CHS106" s="267"/>
      <c r="CHT106" s="267"/>
      <c r="CHU106" s="267"/>
      <c r="CHV106" s="267"/>
      <c r="CHW106" s="267"/>
      <c r="CHX106" s="267"/>
      <c r="CHY106" s="267"/>
      <c r="CHZ106" s="267"/>
      <c r="CIA106" s="267"/>
      <c r="CIB106" s="267"/>
      <c r="CIC106" s="267"/>
      <c r="CID106" s="267"/>
      <c r="CIE106" s="267"/>
      <c r="CIF106" s="267"/>
      <c r="CIG106" s="267"/>
      <c r="CIH106" s="267"/>
      <c r="CII106" s="267"/>
      <c r="CIJ106" s="267"/>
      <c r="CIK106" s="267"/>
      <c r="CIL106" s="267"/>
      <c r="CIM106" s="267"/>
      <c r="CIN106" s="267"/>
      <c r="CIO106" s="267"/>
      <c r="CIP106" s="267"/>
      <c r="CIQ106" s="267"/>
      <c r="CIR106" s="267"/>
      <c r="CIS106" s="267"/>
      <c r="CIT106" s="267"/>
      <c r="CIU106" s="267"/>
      <c r="CIV106" s="267"/>
      <c r="CIW106" s="267"/>
      <c r="CIX106" s="267"/>
      <c r="CIY106" s="267"/>
      <c r="CIZ106" s="267"/>
      <c r="CJA106" s="267"/>
      <c r="CJB106" s="267"/>
      <c r="CJC106" s="267"/>
      <c r="CJD106" s="267"/>
      <c r="CJE106" s="267"/>
      <c r="CJF106" s="267"/>
      <c r="CJG106" s="267"/>
      <c r="CJH106" s="267"/>
      <c r="CJI106" s="267"/>
      <c r="CJJ106" s="267"/>
      <c r="CJK106" s="267"/>
      <c r="CJL106" s="267"/>
      <c r="CJM106" s="267"/>
      <c r="CJN106" s="267"/>
      <c r="CJO106" s="267"/>
      <c r="CJP106" s="267"/>
      <c r="CJQ106" s="267"/>
      <c r="CJR106" s="267"/>
      <c r="CJS106" s="267"/>
      <c r="CJT106" s="267"/>
      <c r="CJU106" s="267"/>
      <c r="CJV106" s="267"/>
      <c r="CJW106" s="267"/>
      <c r="CJX106" s="267"/>
      <c r="CJY106" s="267"/>
      <c r="CJZ106" s="267"/>
      <c r="CKA106" s="267"/>
      <c r="CKB106" s="267"/>
      <c r="CKC106" s="267"/>
      <c r="CKD106" s="267"/>
      <c r="CKE106" s="267"/>
      <c r="CKF106" s="267"/>
      <c r="CKG106" s="267"/>
      <c r="CKH106" s="267"/>
      <c r="CKI106" s="267"/>
      <c r="CKJ106" s="267"/>
      <c r="CKK106" s="267"/>
      <c r="CKL106" s="267"/>
      <c r="CKM106" s="267"/>
      <c r="CKN106" s="267"/>
      <c r="CKO106" s="267"/>
      <c r="CKP106" s="267"/>
      <c r="CKQ106" s="267"/>
      <c r="CKR106" s="267"/>
      <c r="CKS106" s="267"/>
      <c r="CKT106" s="267"/>
      <c r="CKU106" s="267"/>
      <c r="CKV106" s="267"/>
      <c r="CKW106" s="267"/>
      <c r="CKX106" s="267"/>
      <c r="CKY106" s="267"/>
      <c r="CKZ106" s="267"/>
      <c r="CLA106" s="267"/>
      <c r="CLB106" s="267"/>
      <c r="CLC106" s="267"/>
      <c r="CLD106" s="267"/>
      <c r="CLE106" s="267"/>
      <c r="CLF106" s="267"/>
      <c r="CLG106" s="267"/>
      <c r="CLH106" s="267"/>
      <c r="CLI106" s="267"/>
      <c r="CLJ106" s="267"/>
      <c r="CLK106" s="267"/>
      <c r="CLL106" s="267"/>
      <c r="CLM106" s="267"/>
      <c r="CLN106" s="267"/>
      <c r="CLO106" s="267"/>
      <c r="CLP106" s="267"/>
      <c r="CLQ106" s="267"/>
      <c r="CLR106" s="267"/>
      <c r="CLS106" s="267"/>
      <c r="CLT106" s="267"/>
      <c r="CLU106" s="267"/>
      <c r="CLV106" s="267"/>
      <c r="CLW106" s="267"/>
      <c r="CLX106" s="267"/>
      <c r="CLY106" s="267"/>
      <c r="CLZ106" s="267"/>
      <c r="CMA106" s="267"/>
      <c r="CMB106" s="267"/>
      <c r="CMC106" s="267"/>
      <c r="CMD106" s="267"/>
      <c r="CME106" s="267"/>
      <c r="CMF106" s="267"/>
      <c r="CMG106" s="267"/>
      <c r="CMH106" s="267"/>
      <c r="CMI106" s="267"/>
      <c r="CMJ106" s="267"/>
      <c r="CMK106" s="267"/>
      <c r="CML106" s="267"/>
      <c r="CMM106" s="267"/>
      <c r="CMN106" s="267"/>
      <c r="CMO106" s="267"/>
      <c r="CMP106" s="267"/>
      <c r="CMQ106" s="267"/>
      <c r="CMR106" s="267"/>
      <c r="CMS106" s="267"/>
      <c r="CMT106" s="267"/>
      <c r="CMU106" s="267"/>
      <c r="CMV106" s="267"/>
      <c r="CMW106" s="267"/>
      <c r="CMX106" s="267"/>
      <c r="CMY106" s="267"/>
      <c r="CMZ106" s="267"/>
      <c r="CNA106" s="267"/>
      <c r="CNB106" s="267"/>
      <c r="CNC106" s="267"/>
      <c r="CND106" s="267"/>
      <c r="CNE106" s="267"/>
      <c r="CNF106" s="267"/>
      <c r="CNG106" s="267"/>
      <c r="CNH106" s="267"/>
      <c r="CNI106" s="267"/>
      <c r="CNJ106" s="267"/>
      <c r="CNK106" s="267"/>
      <c r="CNL106" s="267"/>
      <c r="CNM106" s="267"/>
      <c r="CNN106" s="267"/>
      <c r="CNO106" s="267"/>
      <c r="CNP106" s="267"/>
      <c r="CNQ106" s="267"/>
      <c r="CNR106" s="267"/>
      <c r="CNS106" s="267"/>
      <c r="CNT106" s="267"/>
      <c r="CNU106" s="267"/>
      <c r="CNV106" s="267"/>
      <c r="CNW106" s="267"/>
      <c r="CNX106" s="267"/>
      <c r="CNY106" s="267"/>
      <c r="CNZ106" s="267"/>
      <c r="COA106" s="267"/>
      <c r="COB106" s="267"/>
      <c r="COC106" s="267"/>
      <c r="COD106" s="267"/>
      <c r="COE106" s="267"/>
      <c r="COF106" s="267"/>
      <c r="COG106" s="267"/>
      <c r="COH106" s="267"/>
      <c r="COI106" s="267"/>
      <c r="COJ106" s="267"/>
      <c r="COK106" s="267"/>
      <c r="COL106" s="267"/>
      <c r="COM106" s="267"/>
      <c r="CON106" s="267"/>
      <c r="COO106" s="267"/>
      <c r="COP106" s="267"/>
      <c r="COQ106" s="267"/>
      <c r="COR106" s="267"/>
      <c r="COS106" s="267"/>
      <c r="COT106" s="267"/>
      <c r="COU106" s="267"/>
      <c r="COV106" s="267"/>
      <c r="COW106" s="267"/>
      <c r="COX106" s="267"/>
      <c r="COY106" s="267"/>
      <c r="COZ106" s="267"/>
      <c r="CPA106" s="267"/>
      <c r="CPB106" s="267"/>
      <c r="CPC106" s="267"/>
      <c r="CPD106" s="267"/>
      <c r="CPE106" s="267"/>
      <c r="CPF106" s="267"/>
      <c r="CPG106" s="267"/>
      <c r="CPH106" s="267"/>
      <c r="CPI106" s="267"/>
      <c r="CPJ106" s="267"/>
      <c r="CPK106" s="267"/>
      <c r="CPL106" s="267"/>
      <c r="CPM106" s="267"/>
      <c r="CPN106" s="267"/>
      <c r="CPO106" s="267"/>
      <c r="CPP106" s="267"/>
      <c r="CPQ106" s="267"/>
      <c r="CPR106" s="267"/>
      <c r="CPS106" s="267"/>
      <c r="CPT106" s="267"/>
      <c r="CPU106" s="267"/>
      <c r="CPV106" s="267"/>
      <c r="CPW106" s="267"/>
      <c r="CPX106" s="267"/>
      <c r="CPY106" s="267"/>
      <c r="CPZ106" s="267"/>
      <c r="CQA106" s="267"/>
      <c r="CQB106" s="267"/>
      <c r="CQC106" s="267"/>
      <c r="CQD106" s="267"/>
      <c r="CQE106" s="267"/>
      <c r="CQF106" s="267"/>
      <c r="CQG106" s="267"/>
      <c r="CQH106" s="267"/>
      <c r="CQI106" s="267"/>
      <c r="CQJ106" s="267"/>
      <c r="CQK106" s="267"/>
      <c r="CQL106" s="267"/>
      <c r="CQM106" s="267"/>
      <c r="CQN106" s="267"/>
      <c r="CQO106" s="267"/>
      <c r="CQP106" s="267"/>
      <c r="CQQ106" s="267"/>
      <c r="CQR106" s="267"/>
      <c r="CQS106" s="267"/>
      <c r="CQT106" s="267"/>
      <c r="CQU106" s="267"/>
      <c r="CQV106" s="267"/>
      <c r="CQW106" s="267"/>
      <c r="CQX106" s="267"/>
      <c r="CQY106" s="267"/>
      <c r="CQZ106" s="267"/>
      <c r="CRA106" s="267"/>
      <c r="CRB106" s="267"/>
      <c r="CRC106" s="267"/>
      <c r="CRD106" s="267"/>
      <c r="CRE106" s="267"/>
      <c r="CRF106" s="267"/>
      <c r="CRG106" s="267"/>
      <c r="CRH106" s="267"/>
      <c r="CRI106" s="267"/>
      <c r="CRJ106" s="267"/>
      <c r="CRK106" s="267"/>
      <c r="CRL106" s="267"/>
      <c r="CRM106" s="267"/>
      <c r="CRN106" s="267"/>
      <c r="CRO106" s="267"/>
      <c r="CRP106" s="267"/>
      <c r="CRQ106" s="267"/>
      <c r="CRR106" s="267"/>
      <c r="CRS106" s="267"/>
      <c r="CRT106" s="267"/>
      <c r="CRU106" s="267"/>
      <c r="CRV106" s="267"/>
      <c r="CRW106" s="267"/>
      <c r="CRX106" s="267"/>
      <c r="CRY106" s="267"/>
      <c r="CRZ106" s="267"/>
      <c r="CSA106" s="267"/>
      <c r="CSB106" s="267"/>
      <c r="CSC106" s="267"/>
      <c r="CSD106" s="267"/>
      <c r="CSE106" s="267"/>
      <c r="CSF106" s="267"/>
      <c r="CSG106" s="267"/>
      <c r="CSH106" s="267"/>
      <c r="CSI106" s="267"/>
      <c r="CSJ106" s="267"/>
      <c r="CSK106" s="267"/>
      <c r="CSL106" s="267"/>
      <c r="CSM106" s="267"/>
      <c r="CSN106" s="267"/>
      <c r="CSO106" s="267"/>
      <c r="CSP106" s="267"/>
      <c r="CSQ106" s="267"/>
      <c r="CSR106" s="267"/>
      <c r="CSS106" s="267"/>
      <c r="CST106" s="267"/>
      <c r="CSU106" s="267"/>
      <c r="CSV106" s="267"/>
      <c r="CSW106" s="267"/>
      <c r="CSX106" s="267"/>
      <c r="CSY106" s="267"/>
      <c r="CSZ106" s="267"/>
      <c r="CTA106" s="267"/>
      <c r="CTB106" s="267"/>
      <c r="CTC106" s="267"/>
      <c r="CTD106" s="267"/>
      <c r="CTE106" s="267"/>
      <c r="CTF106" s="267"/>
      <c r="CTG106" s="267"/>
      <c r="CTH106" s="267"/>
      <c r="CTI106" s="267"/>
      <c r="CTJ106" s="267"/>
      <c r="CTK106" s="267"/>
      <c r="CTL106" s="267"/>
      <c r="CTM106" s="267"/>
      <c r="CTN106" s="267"/>
      <c r="CTO106" s="267"/>
      <c r="CTP106" s="267"/>
      <c r="CTQ106" s="267"/>
      <c r="CTR106" s="267"/>
      <c r="CTS106" s="267"/>
      <c r="CTT106" s="267"/>
      <c r="CTU106" s="267"/>
      <c r="CTV106" s="267"/>
      <c r="CTW106" s="267"/>
      <c r="CTX106" s="267"/>
      <c r="CTY106" s="267"/>
      <c r="CTZ106" s="267"/>
      <c r="CUA106" s="267"/>
    </row>
    <row r="107" s="30" customFormat="1" spans="1:2575">
      <c r="A107" s="268">
        <v>113</v>
      </c>
      <c r="B107" s="268" t="s">
        <v>13</v>
      </c>
      <c r="C107" s="268" t="s">
        <v>54</v>
      </c>
      <c r="D107" s="82" t="s">
        <v>330</v>
      </c>
      <c r="E107" s="248" t="s">
        <v>732</v>
      </c>
      <c r="F107" s="261" t="s">
        <v>42</v>
      </c>
      <c r="G107" s="31" t="s">
        <v>922</v>
      </c>
      <c r="H107" s="119" t="s">
        <v>923</v>
      </c>
      <c r="I107" s="119">
        <v>2021.5</v>
      </c>
      <c r="J107" s="261" t="s">
        <v>42</v>
      </c>
      <c r="K107" s="261" t="s">
        <v>42</v>
      </c>
      <c r="L107" s="248" t="s">
        <v>673</v>
      </c>
      <c r="M107" s="248" t="s">
        <v>674</v>
      </c>
      <c r="N107" s="286">
        <v>45792</v>
      </c>
      <c r="O107" s="286">
        <v>46156</v>
      </c>
      <c r="P107" s="29">
        <v>500</v>
      </c>
      <c r="Q107" s="82"/>
      <c r="R107" s="173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  <c r="AR107" s="267"/>
      <c r="AS107" s="267"/>
      <c r="AT107" s="267"/>
      <c r="AU107" s="267"/>
      <c r="AV107" s="267"/>
      <c r="AW107" s="267"/>
      <c r="AX107" s="267"/>
      <c r="AY107" s="267"/>
      <c r="AZ107" s="267"/>
      <c r="BA107" s="267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7"/>
      <c r="BM107" s="267"/>
      <c r="BN107" s="267"/>
      <c r="BO107" s="267"/>
      <c r="BP107" s="267"/>
      <c r="BQ107" s="267"/>
      <c r="BR107" s="267"/>
      <c r="BS107" s="267"/>
      <c r="BT107" s="267"/>
      <c r="BU107" s="267"/>
      <c r="BV107" s="267"/>
      <c r="BW107" s="267"/>
      <c r="BX107" s="267"/>
      <c r="BY107" s="267"/>
      <c r="BZ107" s="267"/>
      <c r="CA107" s="267"/>
      <c r="CB107" s="267"/>
      <c r="CC107" s="267"/>
      <c r="CD107" s="267"/>
      <c r="CE107" s="267"/>
      <c r="CF107" s="267"/>
      <c r="CG107" s="267"/>
      <c r="CH107" s="267"/>
      <c r="CI107" s="267"/>
      <c r="CJ107" s="267"/>
      <c r="CK107" s="267"/>
      <c r="CL107" s="267"/>
      <c r="CM107" s="267"/>
      <c r="CN107" s="267"/>
      <c r="CO107" s="267"/>
      <c r="CP107" s="267"/>
      <c r="CQ107" s="267"/>
      <c r="CR107" s="267"/>
      <c r="CS107" s="267"/>
      <c r="CT107" s="267"/>
      <c r="CU107" s="267"/>
      <c r="CV107" s="267"/>
      <c r="CW107" s="267"/>
      <c r="CX107" s="267"/>
      <c r="CY107" s="267"/>
      <c r="CZ107" s="267"/>
      <c r="DA107" s="267"/>
      <c r="DB107" s="267"/>
      <c r="DC107" s="267"/>
      <c r="DD107" s="267"/>
      <c r="DE107" s="267"/>
      <c r="DF107" s="267"/>
      <c r="DG107" s="267"/>
      <c r="DH107" s="267"/>
      <c r="DI107" s="267"/>
      <c r="DJ107" s="267"/>
      <c r="DK107" s="267"/>
      <c r="DL107" s="267"/>
      <c r="DM107" s="267"/>
      <c r="DN107" s="267"/>
      <c r="DO107" s="267"/>
      <c r="DP107" s="267"/>
      <c r="DQ107" s="267"/>
      <c r="DR107" s="267"/>
      <c r="DS107" s="267"/>
      <c r="DT107" s="267"/>
      <c r="DU107" s="267"/>
      <c r="DV107" s="267"/>
      <c r="DW107" s="267"/>
      <c r="DX107" s="267"/>
      <c r="DY107" s="267"/>
      <c r="DZ107" s="267"/>
      <c r="EA107" s="267"/>
      <c r="EB107" s="267"/>
      <c r="EC107" s="267"/>
      <c r="ED107" s="267"/>
      <c r="EE107" s="267"/>
      <c r="EF107" s="267"/>
      <c r="EG107" s="267"/>
      <c r="EH107" s="267"/>
      <c r="EI107" s="267"/>
      <c r="EJ107" s="267"/>
      <c r="EK107" s="267"/>
      <c r="EL107" s="267"/>
      <c r="EM107" s="267"/>
      <c r="EN107" s="267"/>
      <c r="EO107" s="267"/>
      <c r="EP107" s="267"/>
      <c r="EQ107" s="267"/>
      <c r="ER107" s="267"/>
      <c r="ES107" s="267"/>
      <c r="ET107" s="267"/>
      <c r="EU107" s="267"/>
      <c r="EV107" s="267"/>
      <c r="EW107" s="267"/>
      <c r="EX107" s="267"/>
      <c r="EY107" s="267"/>
      <c r="EZ107" s="267"/>
      <c r="FA107" s="267"/>
      <c r="FB107" s="267"/>
      <c r="FC107" s="267"/>
      <c r="FD107" s="267"/>
      <c r="FE107" s="267"/>
      <c r="FF107" s="267"/>
      <c r="FG107" s="267"/>
      <c r="FH107" s="267"/>
      <c r="FI107" s="267"/>
      <c r="FJ107" s="267"/>
      <c r="FK107" s="267"/>
      <c r="FL107" s="267"/>
      <c r="FM107" s="267"/>
      <c r="FN107" s="267"/>
      <c r="FO107" s="267"/>
      <c r="FP107" s="267"/>
      <c r="FQ107" s="267"/>
      <c r="FR107" s="267"/>
      <c r="FS107" s="267"/>
      <c r="FT107" s="267"/>
      <c r="FU107" s="267"/>
      <c r="FV107" s="267"/>
      <c r="FW107" s="267"/>
      <c r="FX107" s="267"/>
      <c r="FY107" s="267"/>
      <c r="FZ107" s="267"/>
      <c r="GA107" s="267"/>
      <c r="GB107" s="267"/>
      <c r="GC107" s="267"/>
      <c r="GD107" s="267"/>
      <c r="GE107" s="267"/>
      <c r="GF107" s="267"/>
      <c r="GG107" s="267"/>
      <c r="GH107" s="267"/>
      <c r="GI107" s="267"/>
      <c r="GJ107" s="267"/>
      <c r="GK107" s="267"/>
      <c r="GL107" s="267"/>
      <c r="GM107" s="267"/>
      <c r="GN107" s="267"/>
      <c r="GO107" s="267"/>
      <c r="GP107" s="267"/>
      <c r="GQ107" s="267"/>
      <c r="GR107" s="267"/>
      <c r="GS107" s="267"/>
      <c r="GT107" s="267"/>
      <c r="GU107" s="267"/>
      <c r="GV107" s="267"/>
      <c r="GW107" s="267"/>
      <c r="GX107" s="267"/>
      <c r="GY107" s="267"/>
      <c r="GZ107" s="267"/>
      <c r="HA107" s="267"/>
      <c r="HB107" s="267"/>
      <c r="HC107" s="267"/>
      <c r="HD107" s="267"/>
      <c r="HE107" s="267"/>
      <c r="HF107" s="267"/>
      <c r="HG107" s="267"/>
      <c r="HH107" s="267"/>
      <c r="HI107" s="267"/>
      <c r="HJ107" s="267"/>
      <c r="HK107" s="267"/>
      <c r="HL107" s="267"/>
      <c r="HM107" s="267"/>
      <c r="HN107" s="267"/>
      <c r="HO107" s="267"/>
      <c r="HP107" s="267"/>
      <c r="HQ107" s="267"/>
      <c r="HR107" s="267"/>
      <c r="HS107" s="267"/>
      <c r="HT107" s="267"/>
      <c r="HU107" s="267"/>
      <c r="HV107" s="267"/>
      <c r="HW107" s="267"/>
      <c r="HX107" s="267"/>
      <c r="HY107" s="267"/>
      <c r="HZ107" s="267"/>
      <c r="IA107" s="267"/>
      <c r="IB107" s="267"/>
      <c r="IC107" s="267"/>
      <c r="ID107" s="267"/>
      <c r="IE107" s="267"/>
      <c r="IF107" s="267"/>
      <c r="IG107" s="267"/>
      <c r="IH107" s="267"/>
      <c r="II107" s="267"/>
      <c r="IJ107" s="267"/>
      <c r="IK107" s="267"/>
      <c r="IL107" s="267"/>
      <c r="IM107" s="267"/>
      <c r="IN107" s="267"/>
      <c r="IO107" s="267"/>
      <c r="IP107" s="267"/>
      <c r="IQ107" s="267"/>
      <c r="IR107" s="267"/>
      <c r="IS107" s="267"/>
      <c r="IT107" s="267"/>
      <c r="IU107" s="267"/>
      <c r="IV107" s="267"/>
      <c r="IW107" s="267"/>
      <c r="IX107" s="267"/>
      <c r="IY107" s="267"/>
      <c r="IZ107" s="267"/>
      <c r="JA107" s="267"/>
      <c r="JB107" s="267"/>
      <c r="JC107" s="267"/>
      <c r="JD107" s="267"/>
      <c r="JE107" s="267"/>
      <c r="JF107" s="267"/>
      <c r="JG107" s="267"/>
      <c r="JH107" s="267"/>
      <c r="JI107" s="267"/>
      <c r="JJ107" s="267"/>
      <c r="JK107" s="267"/>
      <c r="JL107" s="267"/>
      <c r="JM107" s="267"/>
      <c r="JN107" s="267"/>
      <c r="JO107" s="267"/>
      <c r="JP107" s="267"/>
      <c r="JQ107" s="267"/>
      <c r="JR107" s="267"/>
      <c r="JS107" s="267"/>
      <c r="JT107" s="267"/>
      <c r="JU107" s="267"/>
      <c r="JV107" s="267"/>
      <c r="JW107" s="267"/>
      <c r="JX107" s="267"/>
      <c r="JY107" s="267"/>
      <c r="JZ107" s="267"/>
      <c r="KA107" s="267"/>
      <c r="KB107" s="267"/>
      <c r="KC107" s="267"/>
      <c r="KD107" s="267"/>
      <c r="KE107" s="267"/>
      <c r="KF107" s="267"/>
      <c r="KG107" s="267"/>
      <c r="KH107" s="267"/>
      <c r="KI107" s="267"/>
      <c r="KJ107" s="267"/>
      <c r="KK107" s="267"/>
      <c r="KL107" s="267"/>
      <c r="KM107" s="267"/>
      <c r="KN107" s="267"/>
      <c r="KO107" s="267"/>
      <c r="KP107" s="267"/>
      <c r="KQ107" s="267"/>
      <c r="KR107" s="267"/>
      <c r="KS107" s="267"/>
      <c r="KT107" s="267"/>
      <c r="KU107" s="267"/>
      <c r="KV107" s="267"/>
      <c r="KW107" s="267"/>
      <c r="KX107" s="267"/>
      <c r="KY107" s="267"/>
      <c r="KZ107" s="267"/>
      <c r="LA107" s="267"/>
      <c r="LB107" s="267"/>
      <c r="LC107" s="267"/>
      <c r="LD107" s="267"/>
      <c r="LE107" s="267"/>
      <c r="LF107" s="267"/>
      <c r="LG107" s="267"/>
      <c r="LH107" s="267"/>
      <c r="LI107" s="267"/>
      <c r="LJ107" s="267"/>
      <c r="LK107" s="267"/>
      <c r="LL107" s="267"/>
      <c r="LM107" s="267"/>
      <c r="LN107" s="267"/>
      <c r="LO107" s="267"/>
      <c r="LP107" s="267"/>
      <c r="LQ107" s="267"/>
      <c r="LR107" s="267"/>
      <c r="LS107" s="267"/>
      <c r="LT107" s="267"/>
      <c r="LU107" s="267"/>
      <c r="LV107" s="267"/>
      <c r="LW107" s="267"/>
      <c r="LX107" s="267"/>
      <c r="LY107" s="267"/>
      <c r="LZ107" s="267"/>
      <c r="MA107" s="267"/>
      <c r="MB107" s="267"/>
      <c r="MC107" s="267"/>
      <c r="MD107" s="267"/>
      <c r="ME107" s="267"/>
      <c r="MF107" s="267"/>
      <c r="MG107" s="267"/>
      <c r="MH107" s="267"/>
      <c r="MI107" s="267"/>
      <c r="MJ107" s="267"/>
      <c r="MK107" s="267"/>
      <c r="ML107" s="267"/>
      <c r="MM107" s="267"/>
      <c r="MN107" s="267"/>
      <c r="MO107" s="267"/>
      <c r="MP107" s="267"/>
      <c r="MQ107" s="267"/>
      <c r="MR107" s="267"/>
      <c r="MS107" s="267"/>
      <c r="MT107" s="267"/>
      <c r="MU107" s="267"/>
      <c r="MV107" s="267"/>
      <c r="MW107" s="267"/>
      <c r="MX107" s="267"/>
      <c r="MY107" s="267"/>
      <c r="MZ107" s="267"/>
      <c r="NA107" s="267"/>
      <c r="NB107" s="267"/>
      <c r="NC107" s="267"/>
      <c r="ND107" s="267"/>
      <c r="NE107" s="267"/>
      <c r="NF107" s="267"/>
      <c r="NG107" s="267"/>
      <c r="NH107" s="267"/>
      <c r="NI107" s="267"/>
      <c r="NJ107" s="267"/>
      <c r="NK107" s="267"/>
      <c r="NL107" s="267"/>
      <c r="NM107" s="267"/>
      <c r="NN107" s="267"/>
      <c r="NO107" s="267"/>
      <c r="NP107" s="267"/>
      <c r="NQ107" s="267"/>
      <c r="NR107" s="267"/>
      <c r="NS107" s="267"/>
      <c r="NT107" s="267"/>
      <c r="NU107" s="267"/>
      <c r="NV107" s="267"/>
      <c r="NW107" s="267"/>
      <c r="NX107" s="267"/>
      <c r="NY107" s="267"/>
      <c r="NZ107" s="267"/>
      <c r="OA107" s="267"/>
      <c r="OB107" s="267"/>
      <c r="OC107" s="267"/>
      <c r="OD107" s="267"/>
      <c r="OE107" s="267"/>
      <c r="OF107" s="267"/>
      <c r="OG107" s="267"/>
      <c r="OH107" s="267"/>
      <c r="OI107" s="267"/>
      <c r="OJ107" s="267"/>
      <c r="OK107" s="267"/>
      <c r="OL107" s="267"/>
      <c r="OM107" s="267"/>
      <c r="ON107" s="267"/>
      <c r="OO107" s="267"/>
      <c r="OP107" s="267"/>
      <c r="OQ107" s="267"/>
      <c r="OR107" s="267"/>
      <c r="OS107" s="267"/>
      <c r="OT107" s="267"/>
      <c r="OU107" s="267"/>
      <c r="OV107" s="267"/>
      <c r="OW107" s="267"/>
      <c r="OX107" s="267"/>
      <c r="OY107" s="267"/>
      <c r="OZ107" s="267"/>
      <c r="PA107" s="267"/>
      <c r="PB107" s="267"/>
      <c r="PC107" s="267"/>
      <c r="PD107" s="267"/>
      <c r="PE107" s="267"/>
      <c r="PF107" s="267"/>
      <c r="PG107" s="267"/>
      <c r="PH107" s="267"/>
      <c r="PI107" s="267"/>
      <c r="PJ107" s="267"/>
      <c r="PK107" s="267"/>
      <c r="PL107" s="267"/>
      <c r="PM107" s="267"/>
      <c r="PN107" s="267"/>
      <c r="PO107" s="267"/>
      <c r="PP107" s="267"/>
      <c r="PQ107" s="267"/>
      <c r="PR107" s="267"/>
      <c r="PS107" s="267"/>
      <c r="PT107" s="267"/>
      <c r="PU107" s="267"/>
      <c r="PV107" s="267"/>
      <c r="PW107" s="267"/>
      <c r="PX107" s="267"/>
      <c r="PY107" s="267"/>
      <c r="PZ107" s="267"/>
      <c r="QA107" s="267"/>
      <c r="QB107" s="267"/>
      <c r="QC107" s="267"/>
      <c r="QD107" s="267"/>
      <c r="QE107" s="267"/>
      <c r="QF107" s="267"/>
      <c r="QG107" s="267"/>
      <c r="QH107" s="267"/>
      <c r="QI107" s="267"/>
      <c r="QJ107" s="267"/>
      <c r="QK107" s="267"/>
      <c r="QL107" s="267"/>
      <c r="QM107" s="267"/>
      <c r="QN107" s="267"/>
      <c r="QO107" s="267"/>
      <c r="QP107" s="267"/>
      <c r="QQ107" s="267"/>
      <c r="QR107" s="267"/>
      <c r="QS107" s="267"/>
      <c r="QT107" s="267"/>
      <c r="QU107" s="267"/>
      <c r="QV107" s="267"/>
      <c r="QW107" s="267"/>
      <c r="QX107" s="267"/>
      <c r="QY107" s="267"/>
      <c r="QZ107" s="267"/>
      <c r="RA107" s="267"/>
      <c r="RB107" s="267"/>
      <c r="RC107" s="267"/>
      <c r="RD107" s="267"/>
      <c r="RE107" s="267"/>
      <c r="RF107" s="267"/>
      <c r="RG107" s="267"/>
      <c r="RH107" s="267"/>
      <c r="RI107" s="267"/>
      <c r="RJ107" s="267"/>
      <c r="RK107" s="267"/>
      <c r="RL107" s="267"/>
      <c r="RM107" s="267"/>
      <c r="RN107" s="267"/>
      <c r="RO107" s="267"/>
      <c r="RP107" s="267"/>
      <c r="RQ107" s="267"/>
      <c r="RR107" s="267"/>
      <c r="RS107" s="267"/>
      <c r="RT107" s="267"/>
      <c r="RU107" s="267"/>
      <c r="RV107" s="267"/>
      <c r="RW107" s="267"/>
      <c r="RX107" s="267"/>
      <c r="RY107" s="267"/>
      <c r="RZ107" s="267"/>
      <c r="SA107" s="267"/>
      <c r="SB107" s="267"/>
      <c r="SC107" s="267"/>
      <c r="SD107" s="267"/>
      <c r="SE107" s="267"/>
      <c r="SF107" s="267"/>
      <c r="SG107" s="267"/>
      <c r="SH107" s="267"/>
      <c r="SI107" s="267"/>
      <c r="SJ107" s="267"/>
      <c r="SK107" s="267"/>
      <c r="SL107" s="267"/>
      <c r="SM107" s="267"/>
      <c r="SN107" s="267"/>
      <c r="SO107" s="267"/>
      <c r="SP107" s="267"/>
      <c r="SQ107" s="267"/>
      <c r="SR107" s="267"/>
      <c r="SS107" s="267"/>
      <c r="ST107" s="267"/>
      <c r="SU107" s="267"/>
      <c r="SV107" s="267"/>
      <c r="SW107" s="267"/>
      <c r="SX107" s="267"/>
      <c r="SY107" s="267"/>
      <c r="SZ107" s="267"/>
      <c r="TA107" s="267"/>
      <c r="TB107" s="267"/>
      <c r="TC107" s="267"/>
      <c r="TD107" s="267"/>
      <c r="TE107" s="267"/>
      <c r="TF107" s="267"/>
      <c r="TG107" s="267"/>
      <c r="TH107" s="267"/>
      <c r="TI107" s="267"/>
      <c r="TJ107" s="267"/>
      <c r="TK107" s="267"/>
      <c r="TL107" s="267"/>
      <c r="TM107" s="267"/>
      <c r="TN107" s="267"/>
      <c r="TO107" s="267"/>
      <c r="TP107" s="267"/>
      <c r="TQ107" s="267"/>
      <c r="TR107" s="267"/>
      <c r="TS107" s="267"/>
      <c r="TT107" s="267"/>
      <c r="TU107" s="267"/>
      <c r="TV107" s="267"/>
      <c r="TW107" s="267"/>
      <c r="TX107" s="267"/>
      <c r="TY107" s="267"/>
      <c r="TZ107" s="267"/>
      <c r="UA107" s="267"/>
      <c r="UB107" s="267"/>
      <c r="UC107" s="267"/>
      <c r="UD107" s="267"/>
      <c r="UE107" s="267"/>
      <c r="UF107" s="267"/>
      <c r="UG107" s="267"/>
      <c r="UH107" s="267"/>
      <c r="UI107" s="267"/>
      <c r="UJ107" s="267"/>
      <c r="UK107" s="267"/>
      <c r="UL107" s="267"/>
      <c r="UM107" s="267"/>
      <c r="UN107" s="267"/>
      <c r="UO107" s="267"/>
      <c r="UP107" s="267"/>
      <c r="UQ107" s="267"/>
      <c r="UR107" s="267"/>
      <c r="US107" s="267"/>
      <c r="UT107" s="267"/>
      <c r="UU107" s="267"/>
      <c r="UV107" s="267"/>
      <c r="UW107" s="267"/>
      <c r="UX107" s="267"/>
      <c r="UY107" s="267"/>
      <c r="UZ107" s="267"/>
      <c r="VA107" s="267"/>
      <c r="VB107" s="267"/>
      <c r="VC107" s="267"/>
      <c r="VD107" s="267"/>
      <c r="VE107" s="267"/>
      <c r="VF107" s="267"/>
      <c r="VG107" s="267"/>
      <c r="VH107" s="267"/>
      <c r="VI107" s="267"/>
      <c r="VJ107" s="267"/>
      <c r="VK107" s="267"/>
      <c r="VL107" s="267"/>
      <c r="VM107" s="267"/>
      <c r="VN107" s="267"/>
      <c r="VO107" s="267"/>
      <c r="VP107" s="267"/>
      <c r="VQ107" s="267"/>
      <c r="VR107" s="267"/>
      <c r="VS107" s="267"/>
      <c r="VT107" s="267"/>
      <c r="VU107" s="267"/>
      <c r="VV107" s="267"/>
      <c r="VW107" s="267"/>
      <c r="VX107" s="267"/>
      <c r="VY107" s="267"/>
      <c r="VZ107" s="267"/>
      <c r="WA107" s="267"/>
      <c r="WB107" s="267"/>
      <c r="WC107" s="267"/>
      <c r="WD107" s="267"/>
      <c r="WE107" s="267"/>
      <c r="WF107" s="267"/>
      <c r="WG107" s="267"/>
      <c r="WH107" s="267"/>
      <c r="WI107" s="267"/>
      <c r="WJ107" s="267"/>
      <c r="WK107" s="267"/>
      <c r="WL107" s="267"/>
      <c r="WM107" s="267"/>
      <c r="WN107" s="267"/>
      <c r="WO107" s="267"/>
      <c r="WP107" s="267"/>
      <c r="WQ107" s="267"/>
      <c r="WR107" s="267"/>
      <c r="WS107" s="267"/>
      <c r="WT107" s="267"/>
      <c r="WU107" s="267"/>
      <c r="WV107" s="267"/>
      <c r="WW107" s="267"/>
      <c r="WX107" s="267"/>
      <c r="WY107" s="267"/>
      <c r="WZ107" s="267"/>
      <c r="XA107" s="267"/>
      <c r="XB107" s="267"/>
      <c r="XC107" s="267"/>
      <c r="XD107" s="267"/>
      <c r="XE107" s="267"/>
      <c r="XF107" s="267"/>
      <c r="XG107" s="267"/>
      <c r="XH107" s="267"/>
      <c r="XI107" s="267"/>
      <c r="XJ107" s="267"/>
      <c r="XK107" s="267"/>
      <c r="XL107" s="267"/>
      <c r="XM107" s="267"/>
      <c r="XN107" s="267"/>
      <c r="XO107" s="267"/>
      <c r="XP107" s="267"/>
      <c r="XQ107" s="267"/>
      <c r="XR107" s="267"/>
      <c r="XS107" s="267"/>
      <c r="XT107" s="267"/>
      <c r="XU107" s="267"/>
      <c r="XV107" s="267"/>
      <c r="XW107" s="267"/>
      <c r="XX107" s="267"/>
      <c r="XY107" s="267"/>
      <c r="XZ107" s="267"/>
      <c r="YA107" s="267"/>
      <c r="YB107" s="267"/>
      <c r="YC107" s="267"/>
      <c r="YD107" s="267"/>
      <c r="YE107" s="267"/>
      <c r="YF107" s="267"/>
      <c r="YG107" s="267"/>
      <c r="YH107" s="267"/>
      <c r="YI107" s="267"/>
      <c r="YJ107" s="267"/>
      <c r="YK107" s="267"/>
      <c r="YL107" s="267"/>
      <c r="YM107" s="267"/>
      <c r="YN107" s="267"/>
      <c r="YO107" s="267"/>
      <c r="YP107" s="267"/>
      <c r="YQ107" s="267"/>
      <c r="YR107" s="267"/>
      <c r="YS107" s="267"/>
      <c r="YT107" s="267"/>
      <c r="YU107" s="267"/>
      <c r="YV107" s="267"/>
      <c r="YW107" s="267"/>
      <c r="YX107" s="267"/>
      <c r="YY107" s="267"/>
      <c r="YZ107" s="267"/>
      <c r="ZA107" s="267"/>
      <c r="ZB107" s="267"/>
      <c r="ZC107" s="267"/>
      <c r="ZD107" s="267"/>
      <c r="ZE107" s="267"/>
      <c r="ZF107" s="267"/>
      <c r="ZG107" s="267"/>
      <c r="ZH107" s="267"/>
      <c r="ZI107" s="267"/>
      <c r="ZJ107" s="267"/>
      <c r="ZK107" s="267"/>
      <c r="ZL107" s="267"/>
      <c r="ZM107" s="267"/>
      <c r="ZN107" s="267"/>
      <c r="ZO107" s="267"/>
      <c r="ZP107" s="267"/>
      <c r="ZQ107" s="267"/>
      <c r="ZR107" s="267"/>
      <c r="ZS107" s="267"/>
      <c r="ZT107" s="267"/>
      <c r="ZU107" s="267"/>
      <c r="ZV107" s="267"/>
      <c r="ZW107" s="267"/>
      <c r="ZX107" s="267"/>
      <c r="ZY107" s="267"/>
      <c r="ZZ107" s="267"/>
      <c r="AAA107" s="267"/>
      <c r="AAB107" s="267"/>
      <c r="AAC107" s="267"/>
      <c r="AAD107" s="267"/>
      <c r="AAE107" s="267"/>
      <c r="AAF107" s="267"/>
      <c r="AAG107" s="267"/>
      <c r="AAH107" s="267"/>
      <c r="AAI107" s="267"/>
      <c r="AAJ107" s="267"/>
      <c r="AAK107" s="267"/>
      <c r="AAL107" s="267"/>
      <c r="AAM107" s="267"/>
      <c r="AAN107" s="267"/>
      <c r="AAO107" s="267"/>
      <c r="AAP107" s="267"/>
      <c r="AAQ107" s="267"/>
      <c r="AAR107" s="267"/>
      <c r="AAS107" s="267"/>
      <c r="AAT107" s="267"/>
      <c r="AAU107" s="267"/>
      <c r="AAV107" s="267"/>
      <c r="AAW107" s="267"/>
      <c r="AAX107" s="267"/>
      <c r="AAY107" s="267"/>
      <c r="AAZ107" s="267"/>
      <c r="ABA107" s="267"/>
      <c r="ABB107" s="267"/>
      <c r="ABC107" s="267"/>
      <c r="ABD107" s="267"/>
      <c r="ABE107" s="267"/>
      <c r="ABF107" s="267"/>
      <c r="ABG107" s="267"/>
      <c r="ABH107" s="267"/>
      <c r="ABI107" s="267"/>
      <c r="ABJ107" s="267"/>
      <c r="ABK107" s="267"/>
      <c r="ABL107" s="267"/>
      <c r="ABM107" s="267"/>
      <c r="ABN107" s="267"/>
      <c r="ABO107" s="267"/>
      <c r="ABP107" s="267"/>
      <c r="ABQ107" s="267"/>
      <c r="ABR107" s="267"/>
      <c r="ABS107" s="267"/>
      <c r="ABT107" s="267"/>
      <c r="ABU107" s="267"/>
      <c r="ABV107" s="267"/>
      <c r="ABW107" s="267"/>
      <c r="ABX107" s="267"/>
      <c r="ABY107" s="267"/>
      <c r="ABZ107" s="267"/>
      <c r="ACA107" s="267"/>
      <c r="ACB107" s="267"/>
      <c r="ACC107" s="267"/>
      <c r="ACD107" s="267"/>
      <c r="ACE107" s="267"/>
      <c r="ACF107" s="267"/>
      <c r="ACG107" s="267"/>
      <c r="ACH107" s="267"/>
      <c r="ACI107" s="267"/>
      <c r="ACJ107" s="267"/>
      <c r="ACK107" s="267"/>
      <c r="ACL107" s="267"/>
      <c r="ACM107" s="267"/>
      <c r="ACN107" s="267"/>
      <c r="ACO107" s="267"/>
      <c r="ACP107" s="267"/>
      <c r="ACQ107" s="267"/>
      <c r="ACR107" s="267"/>
      <c r="ACS107" s="267"/>
      <c r="ACT107" s="267"/>
      <c r="ACU107" s="267"/>
      <c r="ACV107" s="267"/>
      <c r="ACW107" s="267"/>
      <c r="ACX107" s="267"/>
      <c r="ACY107" s="267"/>
      <c r="ACZ107" s="267"/>
      <c r="ADA107" s="267"/>
      <c r="ADB107" s="267"/>
      <c r="ADC107" s="267"/>
      <c r="ADD107" s="267"/>
      <c r="ADE107" s="267"/>
      <c r="ADF107" s="267"/>
      <c r="ADG107" s="267"/>
      <c r="ADH107" s="267"/>
      <c r="ADI107" s="267"/>
      <c r="ADJ107" s="267"/>
      <c r="ADK107" s="267"/>
      <c r="ADL107" s="267"/>
      <c r="ADM107" s="267"/>
      <c r="ADN107" s="267"/>
      <c r="ADO107" s="267"/>
      <c r="ADP107" s="267"/>
      <c r="ADQ107" s="267"/>
      <c r="ADR107" s="267"/>
      <c r="ADS107" s="267"/>
      <c r="ADT107" s="267"/>
      <c r="ADU107" s="267"/>
      <c r="ADV107" s="267"/>
      <c r="ADW107" s="267"/>
      <c r="ADX107" s="267"/>
      <c r="ADY107" s="267"/>
      <c r="ADZ107" s="267"/>
      <c r="AEA107" s="267"/>
      <c r="AEB107" s="267"/>
      <c r="AEC107" s="267"/>
      <c r="AED107" s="267"/>
      <c r="AEE107" s="267"/>
      <c r="AEF107" s="267"/>
      <c r="AEG107" s="267"/>
      <c r="AEH107" s="267"/>
      <c r="AEI107" s="267"/>
      <c r="AEJ107" s="267"/>
      <c r="AEK107" s="267"/>
      <c r="AEL107" s="267"/>
      <c r="AEM107" s="267"/>
      <c r="AEN107" s="267"/>
      <c r="AEO107" s="267"/>
      <c r="AEP107" s="267"/>
      <c r="AEQ107" s="267"/>
      <c r="AER107" s="267"/>
      <c r="AES107" s="267"/>
      <c r="AET107" s="267"/>
      <c r="AEU107" s="267"/>
      <c r="AEV107" s="267"/>
      <c r="AEW107" s="267"/>
      <c r="AEX107" s="267"/>
      <c r="AEY107" s="267"/>
      <c r="AEZ107" s="267"/>
      <c r="AFA107" s="267"/>
      <c r="AFB107" s="267"/>
      <c r="AFC107" s="267"/>
      <c r="AFD107" s="267"/>
      <c r="AFE107" s="267"/>
      <c r="AFF107" s="267"/>
      <c r="AFG107" s="267"/>
      <c r="AFH107" s="267"/>
      <c r="AFI107" s="267"/>
      <c r="AFJ107" s="267"/>
      <c r="AFK107" s="267"/>
      <c r="AFL107" s="267"/>
      <c r="AFM107" s="267"/>
      <c r="AFN107" s="267"/>
      <c r="AFO107" s="267"/>
      <c r="AFP107" s="267"/>
      <c r="AFQ107" s="267"/>
      <c r="AFR107" s="267"/>
      <c r="AFS107" s="267"/>
      <c r="AFT107" s="267"/>
      <c r="AFU107" s="267"/>
      <c r="AFV107" s="267"/>
      <c r="AFW107" s="267"/>
      <c r="AFX107" s="267"/>
      <c r="AFY107" s="267"/>
      <c r="AFZ107" s="267"/>
      <c r="AGA107" s="267"/>
      <c r="AGB107" s="267"/>
      <c r="AGC107" s="267"/>
      <c r="AGD107" s="267"/>
      <c r="AGE107" s="267"/>
      <c r="AGF107" s="267"/>
      <c r="AGG107" s="267"/>
      <c r="AGH107" s="267"/>
      <c r="AGI107" s="267"/>
      <c r="AGJ107" s="267"/>
      <c r="AGK107" s="267"/>
      <c r="AGL107" s="267"/>
      <c r="AGM107" s="267"/>
      <c r="AGN107" s="267"/>
      <c r="AGO107" s="267"/>
      <c r="AGP107" s="267"/>
      <c r="AGQ107" s="267"/>
      <c r="AGR107" s="267"/>
      <c r="AGS107" s="267"/>
      <c r="AGT107" s="267"/>
      <c r="AGU107" s="267"/>
      <c r="AGV107" s="267"/>
      <c r="AGW107" s="267"/>
      <c r="AGX107" s="267"/>
      <c r="AGY107" s="267"/>
      <c r="AGZ107" s="267"/>
      <c r="AHA107" s="267"/>
      <c r="AHB107" s="267"/>
      <c r="AHC107" s="267"/>
      <c r="AHD107" s="267"/>
      <c r="AHE107" s="267"/>
      <c r="AHF107" s="267"/>
      <c r="AHG107" s="267"/>
      <c r="AHH107" s="267"/>
      <c r="AHI107" s="267"/>
      <c r="AHJ107" s="267"/>
      <c r="AHK107" s="267"/>
      <c r="AHL107" s="267"/>
      <c r="AHM107" s="267"/>
      <c r="AHN107" s="267"/>
      <c r="AHO107" s="267"/>
      <c r="AHP107" s="267"/>
      <c r="AHQ107" s="267"/>
      <c r="AHR107" s="267"/>
      <c r="AHS107" s="267"/>
      <c r="AHT107" s="267"/>
      <c r="AHU107" s="267"/>
      <c r="AHV107" s="267"/>
      <c r="AHW107" s="267"/>
      <c r="AHX107" s="267"/>
      <c r="AHY107" s="267"/>
      <c r="AHZ107" s="267"/>
      <c r="AIA107" s="267"/>
      <c r="AIB107" s="267"/>
      <c r="AIC107" s="267"/>
      <c r="AID107" s="267"/>
      <c r="AIE107" s="267"/>
      <c r="AIF107" s="267"/>
      <c r="AIG107" s="267"/>
      <c r="AIH107" s="267"/>
      <c r="AII107" s="267"/>
      <c r="AIJ107" s="267"/>
      <c r="AIK107" s="267"/>
      <c r="AIL107" s="267"/>
      <c r="AIM107" s="267"/>
      <c r="AIN107" s="267"/>
      <c r="AIO107" s="267"/>
      <c r="AIP107" s="267"/>
      <c r="AIQ107" s="267"/>
      <c r="AIR107" s="267"/>
      <c r="AIS107" s="267"/>
      <c r="AIT107" s="267"/>
      <c r="AIU107" s="267"/>
      <c r="AIV107" s="267"/>
      <c r="AIW107" s="267"/>
      <c r="AIX107" s="267"/>
      <c r="AIY107" s="267"/>
      <c r="AIZ107" s="267"/>
      <c r="AJA107" s="267"/>
      <c r="AJB107" s="267"/>
      <c r="AJC107" s="267"/>
      <c r="AJD107" s="267"/>
      <c r="AJE107" s="267"/>
      <c r="AJF107" s="267"/>
      <c r="AJG107" s="267"/>
      <c r="AJH107" s="267"/>
      <c r="AJI107" s="267"/>
      <c r="AJJ107" s="267"/>
      <c r="AJK107" s="267"/>
      <c r="AJL107" s="267"/>
      <c r="AJM107" s="267"/>
      <c r="AJN107" s="267"/>
      <c r="AJO107" s="267"/>
      <c r="AJP107" s="267"/>
      <c r="AJQ107" s="267"/>
      <c r="AJR107" s="267"/>
      <c r="AJS107" s="267"/>
      <c r="AJT107" s="267"/>
      <c r="AJU107" s="267"/>
      <c r="AJV107" s="267"/>
      <c r="AJW107" s="267"/>
      <c r="AJX107" s="267"/>
      <c r="AJY107" s="267"/>
      <c r="AJZ107" s="267"/>
      <c r="AKA107" s="267"/>
      <c r="AKB107" s="267"/>
      <c r="AKC107" s="267"/>
      <c r="AKD107" s="267"/>
      <c r="AKE107" s="267"/>
      <c r="AKF107" s="267"/>
      <c r="AKG107" s="267"/>
      <c r="AKH107" s="267"/>
      <c r="AKI107" s="267"/>
      <c r="AKJ107" s="267"/>
      <c r="AKK107" s="267"/>
      <c r="AKL107" s="267"/>
      <c r="AKM107" s="267"/>
      <c r="AKN107" s="267"/>
      <c r="AKO107" s="267"/>
      <c r="AKP107" s="267"/>
      <c r="AKQ107" s="267"/>
      <c r="AKR107" s="267"/>
      <c r="AKS107" s="267"/>
      <c r="AKT107" s="267"/>
      <c r="AKU107" s="267"/>
      <c r="AKV107" s="267"/>
      <c r="AKW107" s="267"/>
      <c r="AKX107" s="267"/>
      <c r="AKY107" s="267"/>
      <c r="AKZ107" s="267"/>
      <c r="ALA107" s="267"/>
      <c r="ALB107" s="267"/>
      <c r="ALC107" s="267"/>
      <c r="ALD107" s="267"/>
      <c r="ALE107" s="267"/>
      <c r="ALF107" s="267"/>
      <c r="ALG107" s="267"/>
      <c r="ALH107" s="267"/>
      <c r="ALI107" s="267"/>
      <c r="ALJ107" s="267"/>
      <c r="ALK107" s="267"/>
      <c r="ALL107" s="267"/>
      <c r="ALM107" s="267"/>
      <c r="ALN107" s="267"/>
      <c r="ALO107" s="267"/>
      <c r="ALP107" s="267"/>
      <c r="ALQ107" s="267"/>
      <c r="ALR107" s="267"/>
      <c r="ALS107" s="267"/>
      <c r="ALT107" s="267"/>
      <c r="ALU107" s="267"/>
      <c r="ALV107" s="267"/>
      <c r="ALW107" s="267"/>
      <c r="ALX107" s="267"/>
      <c r="ALY107" s="267"/>
      <c r="ALZ107" s="267"/>
      <c r="AMA107" s="267"/>
      <c r="AMB107" s="267"/>
      <c r="AMC107" s="267"/>
      <c r="AMD107" s="267"/>
      <c r="AME107" s="267"/>
      <c r="AMF107" s="267"/>
      <c r="AMG107" s="267"/>
      <c r="AMH107" s="267"/>
      <c r="AMI107" s="267"/>
      <c r="AMJ107" s="267"/>
      <c r="AMK107" s="267"/>
      <c r="AML107" s="267"/>
      <c r="AMM107" s="267"/>
      <c r="AMN107" s="267"/>
      <c r="AMO107" s="267"/>
      <c r="AMP107" s="267"/>
      <c r="AMQ107" s="267"/>
      <c r="AMR107" s="267"/>
      <c r="AMS107" s="267"/>
      <c r="AMT107" s="267"/>
      <c r="AMU107" s="267"/>
      <c r="AMV107" s="267"/>
      <c r="AMW107" s="267"/>
      <c r="AMX107" s="267"/>
      <c r="AMY107" s="267"/>
      <c r="AMZ107" s="267"/>
      <c r="ANA107" s="267"/>
      <c r="ANB107" s="267"/>
      <c r="ANC107" s="267"/>
      <c r="AND107" s="267"/>
      <c r="ANE107" s="267"/>
      <c r="ANF107" s="267"/>
      <c r="ANG107" s="267"/>
      <c r="ANH107" s="267"/>
      <c r="ANI107" s="267"/>
      <c r="ANJ107" s="267"/>
      <c r="ANK107" s="267"/>
      <c r="ANL107" s="267"/>
      <c r="ANM107" s="267"/>
      <c r="ANN107" s="267"/>
      <c r="ANO107" s="267"/>
      <c r="ANP107" s="267"/>
      <c r="ANQ107" s="267"/>
      <c r="ANR107" s="267"/>
      <c r="ANS107" s="267"/>
      <c r="ANT107" s="267"/>
      <c r="ANU107" s="267"/>
      <c r="ANV107" s="267"/>
      <c r="ANW107" s="267"/>
      <c r="ANX107" s="267"/>
      <c r="ANY107" s="267"/>
      <c r="ANZ107" s="267"/>
      <c r="AOA107" s="267"/>
      <c r="AOB107" s="267"/>
      <c r="AOC107" s="267"/>
      <c r="AOD107" s="267"/>
      <c r="AOE107" s="267"/>
      <c r="AOF107" s="267"/>
      <c r="AOG107" s="267"/>
      <c r="AOH107" s="267"/>
      <c r="AOI107" s="267"/>
      <c r="AOJ107" s="267"/>
      <c r="AOK107" s="267"/>
      <c r="AOL107" s="267"/>
      <c r="AOM107" s="267"/>
      <c r="AON107" s="267"/>
      <c r="AOO107" s="267"/>
      <c r="AOP107" s="267"/>
      <c r="AOQ107" s="267"/>
      <c r="AOR107" s="267"/>
      <c r="AOS107" s="267"/>
      <c r="AOT107" s="267"/>
      <c r="AOU107" s="267"/>
      <c r="AOV107" s="267"/>
      <c r="AOW107" s="267"/>
      <c r="AOX107" s="267"/>
      <c r="AOY107" s="267"/>
      <c r="AOZ107" s="267"/>
      <c r="APA107" s="267"/>
      <c r="APB107" s="267"/>
      <c r="APC107" s="267"/>
      <c r="APD107" s="267"/>
      <c r="APE107" s="267"/>
      <c r="APF107" s="267"/>
      <c r="APG107" s="267"/>
      <c r="APH107" s="267"/>
      <c r="API107" s="267"/>
      <c r="APJ107" s="267"/>
      <c r="APK107" s="267"/>
      <c r="APL107" s="267"/>
      <c r="APM107" s="267"/>
      <c r="APN107" s="267"/>
      <c r="APO107" s="267"/>
      <c r="APP107" s="267"/>
      <c r="APQ107" s="267"/>
      <c r="APR107" s="267"/>
      <c r="APS107" s="267"/>
      <c r="APT107" s="267"/>
      <c r="APU107" s="267"/>
      <c r="APV107" s="267"/>
      <c r="APW107" s="267"/>
      <c r="APX107" s="267"/>
      <c r="APY107" s="267"/>
      <c r="APZ107" s="267"/>
      <c r="AQA107" s="267"/>
      <c r="AQB107" s="267"/>
      <c r="AQC107" s="267"/>
      <c r="AQD107" s="267"/>
      <c r="AQE107" s="267"/>
      <c r="AQF107" s="267"/>
      <c r="AQG107" s="267"/>
      <c r="AQH107" s="267"/>
      <c r="AQI107" s="267"/>
      <c r="AQJ107" s="267"/>
      <c r="AQK107" s="267"/>
      <c r="AQL107" s="267"/>
      <c r="AQM107" s="267"/>
      <c r="AQN107" s="267"/>
      <c r="AQO107" s="267"/>
      <c r="AQP107" s="267"/>
      <c r="AQQ107" s="267"/>
      <c r="AQR107" s="267"/>
      <c r="AQS107" s="267"/>
      <c r="AQT107" s="267"/>
      <c r="AQU107" s="267"/>
      <c r="AQV107" s="267"/>
      <c r="AQW107" s="267"/>
      <c r="AQX107" s="267"/>
      <c r="AQY107" s="267"/>
      <c r="AQZ107" s="267"/>
      <c r="ARA107" s="267"/>
      <c r="ARB107" s="267"/>
      <c r="ARC107" s="267"/>
      <c r="ARD107" s="267"/>
      <c r="ARE107" s="267"/>
      <c r="ARF107" s="267"/>
      <c r="ARG107" s="267"/>
      <c r="ARH107" s="267"/>
      <c r="ARI107" s="267"/>
      <c r="ARJ107" s="267"/>
      <c r="ARK107" s="267"/>
      <c r="ARL107" s="267"/>
      <c r="ARM107" s="267"/>
      <c r="ARN107" s="267"/>
      <c r="ARO107" s="267"/>
      <c r="ARP107" s="267"/>
      <c r="ARQ107" s="267"/>
      <c r="ARR107" s="267"/>
      <c r="ARS107" s="267"/>
      <c r="ART107" s="267"/>
      <c r="ARU107" s="267"/>
      <c r="ARV107" s="267"/>
      <c r="ARW107" s="267"/>
      <c r="ARX107" s="267"/>
      <c r="ARY107" s="267"/>
      <c r="ARZ107" s="267"/>
      <c r="ASA107" s="267"/>
      <c r="ASB107" s="267"/>
      <c r="ASC107" s="267"/>
      <c r="ASD107" s="267"/>
      <c r="ASE107" s="267"/>
      <c r="ASF107" s="267"/>
      <c r="ASG107" s="267"/>
      <c r="ASH107" s="267"/>
      <c r="ASI107" s="267"/>
      <c r="ASJ107" s="267"/>
      <c r="ASK107" s="267"/>
      <c r="ASL107" s="267"/>
      <c r="ASM107" s="267"/>
      <c r="ASN107" s="267"/>
      <c r="ASO107" s="267"/>
      <c r="ASP107" s="267"/>
      <c r="ASQ107" s="267"/>
      <c r="ASR107" s="267"/>
      <c r="ASS107" s="267"/>
      <c r="AST107" s="267"/>
      <c r="ASU107" s="267"/>
      <c r="ASV107" s="267"/>
      <c r="ASW107" s="267"/>
      <c r="ASX107" s="267"/>
      <c r="ASY107" s="267"/>
      <c r="ASZ107" s="267"/>
      <c r="ATA107" s="267"/>
      <c r="ATB107" s="267"/>
      <c r="ATC107" s="267"/>
      <c r="ATD107" s="267"/>
      <c r="ATE107" s="267"/>
      <c r="ATF107" s="267"/>
      <c r="ATG107" s="267"/>
      <c r="ATH107" s="267"/>
      <c r="ATI107" s="267"/>
      <c r="ATJ107" s="267"/>
      <c r="ATK107" s="267"/>
      <c r="ATL107" s="267"/>
      <c r="ATM107" s="267"/>
      <c r="ATN107" s="267"/>
      <c r="ATO107" s="267"/>
      <c r="ATP107" s="267"/>
      <c r="ATQ107" s="267"/>
      <c r="ATR107" s="267"/>
      <c r="ATS107" s="267"/>
      <c r="ATT107" s="267"/>
      <c r="ATU107" s="267"/>
      <c r="ATV107" s="267"/>
      <c r="ATW107" s="267"/>
      <c r="ATX107" s="267"/>
      <c r="ATY107" s="267"/>
      <c r="ATZ107" s="267"/>
      <c r="AUA107" s="267"/>
      <c r="AUB107" s="267"/>
      <c r="AUC107" s="267"/>
      <c r="AUD107" s="267"/>
      <c r="AUE107" s="267"/>
      <c r="AUF107" s="267"/>
      <c r="AUG107" s="267"/>
      <c r="AUH107" s="267"/>
      <c r="AUI107" s="267"/>
      <c r="AUJ107" s="267"/>
      <c r="AUK107" s="267"/>
      <c r="AUL107" s="267"/>
      <c r="AUM107" s="267"/>
      <c r="AUN107" s="267"/>
      <c r="AUO107" s="267"/>
      <c r="AUP107" s="267"/>
      <c r="AUQ107" s="267"/>
      <c r="AUR107" s="267"/>
      <c r="AUS107" s="267"/>
      <c r="AUT107" s="267"/>
      <c r="AUU107" s="267"/>
      <c r="AUV107" s="267"/>
      <c r="AUW107" s="267"/>
      <c r="AUX107" s="267"/>
      <c r="AUY107" s="267"/>
      <c r="AUZ107" s="267"/>
      <c r="AVA107" s="267"/>
      <c r="AVB107" s="267"/>
      <c r="AVC107" s="267"/>
      <c r="AVD107" s="267"/>
      <c r="AVE107" s="267"/>
      <c r="AVF107" s="267"/>
      <c r="AVG107" s="267"/>
      <c r="AVH107" s="267"/>
      <c r="AVI107" s="267"/>
      <c r="AVJ107" s="267"/>
      <c r="AVK107" s="267"/>
      <c r="AVL107" s="267"/>
      <c r="AVM107" s="267"/>
      <c r="AVN107" s="267"/>
      <c r="AVO107" s="267"/>
      <c r="AVP107" s="267"/>
      <c r="AVQ107" s="267"/>
      <c r="AVR107" s="267"/>
      <c r="AVS107" s="267"/>
      <c r="AVT107" s="267"/>
      <c r="AVU107" s="267"/>
      <c r="AVV107" s="267"/>
      <c r="AVW107" s="267"/>
      <c r="AVX107" s="267"/>
      <c r="AVY107" s="267"/>
      <c r="AVZ107" s="267"/>
      <c r="AWA107" s="267"/>
      <c r="AWB107" s="267"/>
      <c r="AWC107" s="267"/>
      <c r="AWD107" s="267"/>
      <c r="AWE107" s="267"/>
      <c r="AWF107" s="267"/>
      <c r="AWG107" s="267"/>
      <c r="AWH107" s="267"/>
      <c r="AWI107" s="267"/>
      <c r="AWJ107" s="267"/>
      <c r="AWK107" s="267"/>
      <c r="AWL107" s="267"/>
      <c r="AWM107" s="267"/>
      <c r="AWN107" s="267"/>
      <c r="AWO107" s="267"/>
      <c r="AWP107" s="267"/>
      <c r="AWQ107" s="267"/>
      <c r="AWR107" s="267"/>
      <c r="AWS107" s="267"/>
      <c r="AWT107" s="267"/>
      <c r="AWU107" s="267"/>
      <c r="AWV107" s="267"/>
      <c r="AWW107" s="267"/>
      <c r="AWX107" s="267"/>
      <c r="AWY107" s="267"/>
      <c r="AWZ107" s="267"/>
      <c r="AXA107" s="267"/>
      <c r="AXB107" s="267"/>
      <c r="AXC107" s="267"/>
      <c r="AXD107" s="267"/>
      <c r="AXE107" s="267"/>
      <c r="AXF107" s="267"/>
      <c r="AXG107" s="267"/>
      <c r="AXH107" s="267"/>
      <c r="AXI107" s="267"/>
      <c r="AXJ107" s="267"/>
      <c r="AXK107" s="267"/>
      <c r="AXL107" s="267"/>
      <c r="AXM107" s="267"/>
      <c r="AXN107" s="267"/>
      <c r="AXO107" s="267"/>
      <c r="AXP107" s="267"/>
      <c r="AXQ107" s="267"/>
      <c r="AXR107" s="267"/>
      <c r="AXS107" s="267"/>
      <c r="AXT107" s="267"/>
      <c r="AXU107" s="267"/>
      <c r="AXV107" s="267"/>
      <c r="AXW107" s="267"/>
      <c r="AXX107" s="267"/>
      <c r="AXY107" s="267"/>
      <c r="AXZ107" s="267"/>
      <c r="AYA107" s="267"/>
      <c r="AYB107" s="267"/>
      <c r="AYC107" s="267"/>
      <c r="AYD107" s="267"/>
      <c r="AYE107" s="267"/>
      <c r="AYF107" s="267"/>
      <c r="AYG107" s="267"/>
      <c r="AYH107" s="267"/>
      <c r="AYI107" s="267"/>
      <c r="AYJ107" s="267"/>
      <c r="AYK107" s="267"/>
      <c r="AYL107" s="267"/>
      <c r="AYM107" s="267"/>
      <c r="AYN107" s="267"/>
      <c r="AYO107" s="267"/>
      <c r="AYP107" s="267"/>
      <c r="AYQ107" s="267"/>
      <c r="AYR107" s="267"/>
      <c r="AYS107" s="267"/>
      <c r="AYT107" s="267"/>
      <c r="AYU107" s="267"/>
      <c r="AYV107" s="267"/>
      <c r="AYW107" s="267"/>
      <c r="AYX107" s="267"/>
      <c r="AYY107" s="267"/>
      <c r="AYZ107" s="267"/>
      <c r="AZA107" s="267"/>
      <c r="AZB107" s="267"/>
      <c r="AZC107" s="267"/>
      <c r="AZD107" s="267"/>
      <c r="AZE107" s="267"/>
      <c r="AZF107" s="267"/>
      <c r="AZG107" s="267"/>
      <c r="AZH107" s="267"/>
      <c r="AZI107" s="267"/>
      <c r="AZJ107" s="267"/>
      <c r="AZK107" s="267"/>
      <c r="AZL107" s="267"/>
      <c r="AZM107" s="267"/>
      <c r="AZN107" s="267"/>
      <c r="AZO107" s="267"/>
      <c r="AZP107" s="267"/>
      <c r="AZQ107" s="267"/>
      <c r="AZR107" s="267"/>
      <c r="AZS107" s="267"/>
      <c r="AZT107" s="267"/>
      <c r="AZU107" s="267"/>
      <c r="AZV107" s="267"/>
      <c r="AZW107" s="267"/>
      <c r="AZX107" s="267"/>
      <c r="AZY107" s="267"/>
      <c r="AZZ107" s="267"/>
      <c r="BAA107" s="267"/>
      <c r="BAB107" s="267"/>
      <c r="BAC107" s="267"/>
      <c r="BAD107" s="267"/>
      <c r="BAE107" s="267"/>
      <c r="BAF107" s="267"/>
      <c r="BAG107" s="267"/>
      <c r="BAH107" s="267"/>
      <c r="BAI107" s="267"/>
      <c r="BAJ107" s="267"/>
      <c r="BAK107" s="267"/>
      <c r="BAL107" s="267"/>
      <c r="BAM107" s="267"/>
      <c r="BAN107" s="267"/>
      <c r="BAO107" s="267"/>
      <c r="BAP107" s="267"/>
      <c r="BAQ107" s="267"/>
      <c r="BAR107" s="267"/>
      <c r="BAS107" s="267"/>
      <c r="BAT107" s="267"/>
      <c r="BAU107" s="267"/>
      <c r="BAV107" s="267"/>
      <c r="BAW107" s="267"/>
      <c r="BAX107" s="267"/>
      <c r="BAY107" s="267"/>
      <c r="BAZ107" s="267"/>
      <c r="BBA107" s="267"/>
      <c r="BBB107" s="267"/>
      <c r="BBC107" s="267"/>
      <c r="BBD107" s="267"/>
      <c r="BBE107" s="267"/>
      <c r="BBF107" s="267"/>
      <c r="BBG107" s="267"/>
      <c r="BBH107" s="267"/>
      <c r="BBI107" s="267"/>
      <c r="BBJ107" s="267"/>
      <c r="BBK107" s="267"/>
      <c r="BBL107" s="267"/>
      <c r="BBM107" s="267"/>
      <c r="BBN107" s="267"/>
      <c r="BBO107" s="267"/>
      <c r="BBP107" s="267"/>
      <c r="BBQ107" s="267"/>
      <c r="BBR107" s="267"/>
      <c r="BBS107" s="267"/>
      <c r="BBT107" s="267"/>
      <c r="BBU107" s="267"/>
      <c r="BBV107" s="267"/>
      <c r="BBW107" s="267"/>
      <c r="BBX107" s="267"/>
      <c r="BBY107" s="267"/>
      <c r="BBZ107" s="267"/>
      <c r="BCA107" s="267"/>
      <c r="BCB107" s="267"/>
      <c r="BCC107" s="267"/>
      <c r="BCD107" s="267"/>
      <c r="BCE107" s="267"/>
      <c r="BCF107" s="267"/>
      <c r="BCG107" s="267"/>
      <c r="BCH107" s="267"/>
      <c r="BCI107" s="267"/>
      <c r="BCJ107" s="267"/>
      <c r="BCK107" s="267"/>
      <c r="BCL107" s="267"/>
      <c r="BCM107" s="267"/>
      <c r="BCN107" s="267"/>
      <c r="BCO107" s="267"/>
      <c r="BCP107" s="267"/>
      <c r="BCQ107" s="267"/>
      <c r="BCR107" s="267"/>
      <c r="BCS107" s="267"/>
      <c r="BCT107" s="267"/>
      <c r="BCU107" s="267"/>
      <c r="BCV107" s="267"/>
      <c r="BCW107" s="267"/>
      <c r="BCX107" s="267"/>
      <c r="BCY107" s="267"/>
      <c r="BCZ107" s="267"/>
      <c r="BDA107" s="267"/>
      <c r="BDB107" s="267"/>
      <c r="BDC107" s="267"/>
      <c r="BDD107" s="267"/>
      <c r="BDE107" s="267"/>
      <c r="BDF107" s="267"/>
      <c r="BDG107" s="267"/>
      <c r="BDH107" s="267"/>
      <c r="BDI107" s="267"/>
      <c r="BDJ107" s="267"/>
      <c r="BDK107" s="267"/>
      <c r="BDL107" s="267"/>
      <c r="BDM107" s="267"/>
      <c r="BDN107" s="267"/>
      <c r="BDO107" s="267"/>
      <c r="BDP107" s="267"/>
      <c r="BDQ107" s="267"/>
      <c r="BDR107" s="267"/>
      <c r="BDS107" s="267"/>
      <c r="BDT107" s="267"/>
      <c r="BDU107" s="267"/>
      <c r="BDV107" s="267"/>
      <c r="BDW107" s="267"/>
      <c r="BDX107" s="267"/>
      <c r="BDY107" s="267"/>
      <c r="BDZ107" s="267"/>
      <c r="BEA107" s="267"/>
      <c r="BEB107" s="267"/>
      <c r="BEC107" s="267"/>
      <c r="BED107" s="267"/>
      <c r="BEE107" s="267"/>
      <c r="BEF107" s="267"/>
      <c r="BEG107" s="267"/>
      <c r="BEH107" s="267"/>
      <c r="BEI107" s="267"/>
      <c r="BEJ107" s="267"/>
      <c r="BEK107" s="267"/>
      <c r="BEL107" s="267"/>
      <c r="BEM107" s="267"/>
      <c r="BEN107" s="267"/>
      <c r="BEO107" s="267"/>
      <c r="BEP107" s="267"/>
      <c r="BEQ107" s="267"/>
      <c r="BER107" s="267"/>
      <c r="BES107" s="267"/>
      <c r="BET107" s="267"/>
      <c r="BEU107" s="267"/>
      <c r="BEV107" s="267"/>
      <c r="BEW107" s="267"/>
      <c r="BEX107" s="267"/>
      <c r="BEY107" s="267"/>
      <c r="BEZ107" s="267"/>
      <c r="BFA107" s="267"/>
      <c r="BFB107" s="267"/>
      <c r="BFC107" s="267"/>
      <c r="BFD107" s="267"/>
      <c r="BFE107" s="267"/>
      <c r="BFF107" s="267"/>
      <c r="BFG107" s="267"/>
      <c r="BFH107" s="267"/>
      <c r="BFI107" s="267"/>
      <c r="BFJ107" s="267"/>
      <c r="BFK107" s="267"/>
      <c r="BFL107" s="267"/>
      <c r="BFM107" s="267"/>
      <c r="BFN107" s="267"/>
      <c r="BFO107" s="267"/>
      <c r="BFP107" s="267"/>
      <c r="BFQ107" s="267"/>
      <c r="BFR107" s="267"/>
      <c r="BFS107" s="267"/>
      <c r="BFT107" s="267"/>
      <c r="BFU107" s="267"/>
      <c r="BFV107" s="267"/>
      <c r="BFW107" s="267"/>
      <c r="BFX107" s="267"/>
      <c r="BFY107" s="267"/>
      <c r="BFZ107" s="267"/>
      <c r="BGA107" s="267"/>
      <c r="BGB107" s="267"/>
      <c r="BGC107" s="267"/>
      <c r="BGD107" s="267"/>
      <c r="BGE107" s="267"/>
      <c r="BGF107" s="267"/>
      <c r="BGG107" s="267"/>
      <c r="BGH107" s="267"/>
      <c r="BGI107" s="267"/>
      <c r="BGJ107" s="267"/>
      <c r="BGK107" s="267"/>
      <c r="BGL107" s="267"/>
      <c r="BGM107" s="267"/>
      <c r="BGN107" s="267"/>
      <c r="BGO107" s="267"/>
      <c r="BGP107" s="267"/>
      <c r="BGQ107" s="267"/>
      <c r="BGR107" s="267"/>
      <c r="BGS107" s="267"/>
      <c r="BGT107" s="267"/>
      <c r="BGU107" s="267"/>
      <c r="BGV107" s="267"/>
      <c r="BGW107" s="267"/>
      <c r="BGX107" s="267"/>
      <c r="BGY107" s="267"/>
      <c r="BGZ107" s="267"/>
      <c r="BHA107" s="267"/>
      <c r="BHB107" s="267"/>
      <c r="BHC107" s="267"/>
      <c r="BHD107" s="267"/>
      <c r="BHE107" s="267"/>
      <c r="BHF107" s="267"/>
      <c r="BHG107" s="267"/>
      <c r="BHH107" s="267"/>
      <c r="BHI107" s="267"/>
      <c r="BHJ107" s="267"/>
      <c r="BHK107" s="267"/>
      <c r="BHL107" s="267"/>
      <c r="BHM107" s="267"/>
      <c r="BHN107" s="267"/>
      <c r="BHO107" s="267"/>
      <c r="BHP107" s="267"/>
      <c r="BHQ107" s="267"/>
      <c r="BHR107" s="267"/>
      <c r="BHS107" s="267"/>
      <c r="BHT107" s="267"/>
      <c r="BHU107" s="267"/>
      <c r="BHV107" s="267"/>
      <c r="BHW107" s="267"/>
      <c r="BHX107" s="267"/>
      <c r="BHY107" s="267"/>
      <c r="BHZ107" s="267"/>
      <c r="BIA107" s="267"/>
      <c r="BIB107" s="267"/>
      <c r="BIC107" s="267"/>
      <c r="BID107" s="267"/>
      <c r="BIE107" s="267"/>
      <c r="BIF107" s="267"/>
      <c r="BIG107" s="267"/>
      <c r="BIH107" s="267"/>
      <c r="BII107" s="267"/>
      <c r="BIJ107" s="267"/>
      <c r="BIK107" s="267"/>
      <c r="BIL107" s="267"/>
      <c r="BIM107" s="267"/>
      <c r="BIN107" s="267"/>
      <c r="BIO107" s="267"/>
      <c r="BIP107" s="267"/>
      <c r="BIQ107" s="267"/>
      <c r="BIR107" s="267"/>
      <c r="BIS107" s="267"/>
      <c r="BIT107" s="267"/>
      <c r="BIU107" s="267"/>
      <c r="BIV107" s="267"/>
      <c r="BIW107" s="267"/>
      <c r="BIX107" s="267"/>
      <c r="BIY107" s="267"/>
      <c r="BIZ107" s="267"/>
      <c r="BJA107" s="267"/>
      <c r="BJB107" s="267"/>
      <c r="BJC107" s="267"/>
      <c r="BJD107" s="267"/>
      <c r="BJE107" s="267"/>
      <c r="BJF107" s="267"/>
      <c r="BJG107" s="267"/>
      <c r="BJH107" s="267"/>
      <c r="BJI107" s="267"/>
      <c r="BJJ107" s="267"/>
      <c r="BJK107" s="267"/>
      <c r="BJL107" s="267"/>
      <c r="BJM107" s="267"/>
      <c r="BJN107" s="267"/>
      <c r="BJO107" s="267"/>
      <c r="BJP107" s="267"/>
      <c r="BJQ107" s="267"/>
      <c r="BJR107" s="267"/>
      <c r="BJS107" s="267"/>
      <c r="BJT107" s="267"/>
      <c r="BJU107" s="267"/>
      <c r="BJV107" s="267"/>
      <c r="BJW107" s="267"/>
      <c r="BJX107" s="267"/>
      <c r="BJY107" s="267"/>
      <c r="BJZ107" s="267"/>
      <c r="BKA107" s="267"/>
      <c r="BKB107" s="267"/>
      <c r="BKC107" s="267"/>
      <c r="BKD107" s="267"/>
      <c r="BKE107" s="267"/>
      <c r="BKF107" s="267"/>
      <c r="BKG107" s="267"/>
      <c r="BKH107" s="267"/>
      <c r="BKI107" s="267"/>
      <c r="BKJ107" s="267"/>
      <c r="BKK107" s="267"/>
      <c r="BKL107" s="267"/>
      <c r="BKM107" s="267"/>
      <c r="BKN107" s="267"/>
      <c r="BKO107" s="267"/>
      <c r="BKP107" s="267"/>
      <c r="BKQ107" s="267"/>
      <c r="BKR107" s="267"/>
      <c r="BKS107" s="267"/>
      <c r="BKT107" s="267"/>
      <c r="BKU107" s="267"/>
      <c r="BKV107" s="267"/>
      <c r="BKW107" s="267"/>
      <c r="BKX107" s="267"/>
      <c r="BKY107" s="267"/>
      <c r="BKZ107" s="267"/>
      <c r="BLA107" s="267"/>
      <c r="BLB107" s="267"/>
      <c r="BLC107" s="267"/>
      <c r="BLD107" s="267"/>
      <c r="BLE107" s="267"/>
      <c r="BLF107" s="267"/>
      <c r="BLG107" s="267"/>
      <c r="BLH107" s="267"/>
      <c r="BLI107" s="267"/>
      <c r="BLJ107" s="267"/>
      <c r="BLK107" s="267"/>
      <c r="BLL107" s="267"/>
      <c r="BLM107" s="267"/>
      <c r="BLN107" s="267"/>
      <c r="BLO107" s="267"/>
      <c r="BLP107" s="267"/>
      <c r="BLQ107" s="267"/>
      <c r="BLR107" s="267"/>
      <c r="BLS107" s="267"/>
      <c r="BLT107" s="267"/>
      <c r="BLU107" s="267"/>
      <c r="BLV107" s="267"/>
      <c r="BLW107" s="267"/>
      <c r="BLX107" s="267"/>
      <c r="BLY107" s="267"/>
      <c r="BLZ107" s="267"/>
      <c r="BMA107" s="267"/>
      <c r="BMB107" s="267"/>
      <c r="BMC107" s="267"/>
      <c r="BMD107" s="267"/>
      <c r="BME107" s="267"/>
      <c r="BMF107" s="267"/>
      <c r="BMG107" s="267"/>
      <c r="BMH107" s="267"/>
      <c r="BMI107" s="267"/>
      <c r="BMJ107" s="267"/>
      <c r="BMK107" s="267"/>
      <c r="BML107" s="267"/>
      <c r="BMM107" s="267"/>
      <c r="BMN107" s="267"/>
      <c r="BMO107" s="267"/>
      <c r="BMP107" s="267"/>
      <c r="BMQ107" s="267"/>
      <c r="BMR107" s="267"/>
      <c r="BMS107" s="267"/>
      <c r="BMT107" s="267"/>
      <c r="BMU107" s="267"/>
      <c r="BMV107" s="267"/>
      <c r="BMW107" s="267"/>
      <c r="BMX107" s="267"/>
      <c r="BMY107" s="267"/>
      <c r="BMZ107" s="267"/>
      <c r="BNA107" s="267"/>
      <c r="BNB107" s="267"/>
      <c r="BNC107" s="267"/>
      <c r="BND107" s="267"/>
      <c r="BNE107" s="267"/>
      <c r="BNF107" s="267"/>
      <c r="BNG107" s="267"/>
      <c r="BNH107" s="267"/>
      <c r="BNI107" s="267"/>
      <c r="BNJ107" s="267"/>
      <c r="BNK107" s="267"/>
      <c r="BNL107" s="267"/>
      <c r="BNM107" s="267"/>
      <c r="BNN107" s="267"/>
      <c r="BNO107" s="267"/>
      <c r="BNP107" s="267"/>
      <c r="BNQ107" s="267"/>
      <c r="BNR107" s="267"/>
      <c r="BNS107" s="267"/>
      <c r="BNT107" s="267"/>
      <c r="BNU107" s="267"/>
      <c r="BNV107" s="267"/>
      <c r="BNW107" s="267"/>
      <c r="BNX107" s="267"/>
      <c r="BNY107" s="267"/>
      <c r="BNZ107" s="267"/>
      <c r="BOA107" s="267"/>
      <c r="BOB107" s="267"/>
      <c r="BOC107" s="267"/>
      <c r="BOD107" s="267"/>
      <c r="BOE107" s="267"/>
      <c r="BOF107" s="267"/>
      <c r="BOG107" s="267"/>
      <c r="BOH107" s="267"/>
      <c r="BOI107" s="267"/>
      <c r="BOJ107" s="267"/>
      <c r="BOK107" s="267"/>
      <c r="BOL107" s="267"/>
      <c r="BOM107" s="267"/>
      <c r="BON107" s="267"/>
      <c r="BOO107" s="267"/>
      <c r="BOP107" s="267"/>
      <c r="BOQ107" s="267"/>
      <c r="BOR107" s="267"/>
      <c r="BOS107" s="267"/>
      <c r="BOT107" s="267"/>
      <c r="BOU107" s="267"/>
      <c r="BOV107" s="267"/>
      <c r="BOW107" s="267"/>
      <c r="BOX107" s="267"/>
      <c r="BOY107" s="267"/>
      <c r="BOZ107" s="267"/>
      <c r="BPA107" s="267"/>
      <c r="BPB107" s="267"/>
      <c r="BPC107" s="267"/>
      <c r="BPD107" s="267"/>
      <c r="BPE107" s="267"/>
      <c r="BPF107" s="267"/>
      <c r="BPG107" s="267"/>
      <c r="BPH107" s="267"/>
      <c r="BPI107" s="267"/>
      <c r="BPJ107" s="267"/>
      <c r="BPK107" s="267"/>
      <c r="BPL107" s="267"/>
      <c r="BPM107" s="267"/>
      <c r="BPN107" s="267"/>
      <c r="BPO107" s="267"/>
      <c r="BPP107" s="267"/>
      <c r="BPQ107" s="267"/>
      <c r="BPR107" s="267"/>
      <c r="BPS107" s="267"/>
      <c r="BPT107" s="267"/>
      <c r="BPU107" s="267"/>
      <c r="BPV107" s="267"/>
      <c r="BPW107" s="267"/>
      <c r="BPX107" s="267"/>
      <c r="BPY107" s="267"/>
      <c r="BPZ107" s="267"/>
      <c r="BQA107" s="267"/>
      <c r="BQB107" s="267"/>
      <c r="BQC107" s="267"/>
      <c r="BQD107" s="267"/>
      <c r="BQE107" s="267"/>
      <c r="BQF107" s="267"/>
      <c r="BQG107" s="267"/>
      <c r="BQH107" s="267"/>
      <c r="BQI107" s="267"/>
      <c r="BQJ107" s="267"/>
      <c r="BQK107" s="267"/>
      <c r="BQL107" s="267"/>
      <c r="BQM107" s="267"/>
      <c r="BQN107" s="267"/>
      <c r="BQO107" s="267"/>
      <c r="BQP107" s="267"/>
      <c r="BQQ107" s="267"/>
      <c r="BQR107" s="267"/>
      <c r="BQS107" s="267"/>
      <c r="BQT107" s="267"/>
      <c r="BQU107" s="267"/>
      <c r="BQV107" s="267"/>
      <c r="BQW107" s="267"/>
      <c r="BQX107" s="267"/>
      <c r="BQY107" s="267"/>
      <c r="BQZ107" s="267"/>
      <c r="BRA107" s="267"/>
      <c r="BRB107" s="267"/>
      <c r="BRC107" s="267"/>
      <c r="BRD107" s="267"/>
      <c r="BRE107" s="267"/>
      <c r="BRF107" s="267"/>
      <c r="BRG107" s="267"/>
      <c r="BRH107" s="267"/>
      <c r="BRI107" s="267"/>
      <c r="BRJ107" s="267"/>
      <c r="BRK107" s="267"/>
      <c r="BRL107" s="267"/>
      <c r="BRM107" s="267"/>
      <c r="BRN107" s="267"/>
      <c r="BRO107" s="267"/>
      <c r="BRP107" s="267"/>
      <c r="BRQ107" s="267"/>
      <c r="BRR107" s="267"/>
      <c r="BRS107" s="267"/>
      <c r="BRT107" s="267"/>
      <c r="BRU107" s="267"/>
      <c r="BRV107" s="267"/>
      <c r="BRW107" s="267"/>
      <c r="BRX107" s="267"/>
      <c r="BRY107" s="267"/>
      <c r="BRZ107" s="267"/>
      <c r="BSA107" s="267"/>
      <c r="BSB107" s="267"/>
      <c r="BSC107" s="267"/>
      <c r="BSD107" s="267"/>
      <c r="BSE107" s="267"/>
      <c r="BSF107" s="267"/>
      <c r="BSG107" s="267"/>
      <c r="BSH107" s="267"/>
      <c r="BSI107" s="267"/>
      <c r="BSJ107" s="267"/>
      <c r="BSK107" s="267"/>
      <c r="BSL107" s="267"/>
      <c r="BSM107" s="267"/>
      <c r="BSN107" s="267"/>
      <c r="BSO107" s="267"/>
      <c r="BSP107" s="267"/>
      <c r="BSQ107" s="267"/>
      <c r="BSR107" s="267"/>
      <c r="BSS107" s="267"/>
      <c r="BST107" s="267"/>
      <c r="BSU107" s="267"/>
      <c r="BSV107" s="267"/>
      <c r="BSW107" s="267"/>
      <c r="BSX107" s="267"/>
      <c r="BSY107" s="267"/>
      <c r="BSZ107" s="267"/>
      <c r="BTA107" s="267"/>
      <c r="BTB107" s="267"/>
      <c r="BTC107" s="267"/>
      <c r="BTD107" s="267"/>
      <c r="BTE107" s="267"/>
      <c r="BTF107" s="267"/>
      <c r="BTG107" s="267"/>
      <c r="BTH107" s="267"/>
      <c r="BTI107" s="267"/>
      <c r="BTJ107" s="267"/>
      <c r="BTK107" s="267"/>
      <c r="BTL107" s="267"/>
      <c r="BTM107" s="267"/>
      <c r="BTN107" s="267"/>
      <c r="BTO107" s="267"/>
      <c r="BTP107" s="267"/>
      <c r="BTQ107" s="267"/>
      <c r="BTR107" s="267"/>
      <c r="BTS107" s="267"/>
      <c r="BTT107" s="267"/>
      <c r="BTU107" s="267"/>
      <c r="BTV107" s="267"/>
      <c r="BTW107" s="267"/>
      <c r="BTX107" s="267"/>
      <c r="BTY107" s="267"/>
      <c r="BTZ107" s="267"/>
      <c r="BUA107" s="267"/>
      <c r="BUB107" s="267"/>
      <c r="BUC107" s="267"/>
      <c r="BUD107" s="267"/>
      <c r="BUE107" s="267"/>
      <c r="BUF107" s="267"/>
      <c r="BUG107" s="267"/>
      <c r="BUH107" s="267"/>
      <c r="BUI107" s="267"/>
      <c r="BUJ107" s="267"/>
      <c r="BUK107" s="267"/>
      <c r="BUL107" s="267"/>
      <c r="BUM107" s="267"/>
      <c r="BUN107" s="267"/>
      <c r="BUO107" s="267"/>
      <c r="BUP107" s="267"/>
      <c r="BUQ107" s="267"/>
      <c r="BUR107" s="267"/>
      <c r="BUS107" s="267"/>
      <c r="BUT107" s="267"/>
      <c r="BUU107" s="267"/>
      <c r="BUV107" s="267"/>
      <c r="BUW107" s="267"/>
      <c r="BUX107" s="267"/>
      <c r="BUY107" s="267"/>
      <c r="BUZ107" s="267"/>
      <c r="BVA107" s="267"/>
      <c r="BVB107" s="267"/>
      <c r="BVC107" s="267"/>
      <c r="BVD107" s="267"/>
      <c r="BVE107" s="267"/>
      <c r="BVF107" s="267"/>
      <c r="BVG107" s="267"/>
      <c r="BVH107" s="267"/>
      <c r="BVI107" s="267"/>
      <c r="BVJ107" s="267"/>
      <c r="BVK107" s="267"/>
      <c r="BVL107" s="267"/>
      <c r="BVM107" s="267"/>
      <c r="BVN107" s="267"/>
      <c r="BVO107" s="267"/>
      <c r="BVP107" s="267"/>
      <c r="BVQ107" s="267"/>
      <c r="BVR107" s="267"/>
      <c r="BVS107" s="267"/>
      <c r="BVT107" s="267"/>
      <c r="BVU107" s="267"/>
      <c r="BVV107" s="267"/>
      <c r="BVW107" s="267"/>
      <c r="BVX107" s="267"/>
      <c r="BVY107" s="267"/>
      <c r="BVZ107" s="267"/>
      <c r="BWA107" s="267"/>
      <c r="BWB107" s="267"/>
      <c r="BWC107" s="267"/>
      <c r="BWD107" s="267"/>
      <c r="BWE107" s="267"/>
      <c r="BWF107" s="267"/>
      <c r="BWG107" s="267"/>
      <c r="BWH107" s="267"/>
      <c r="BWI107" s="267"/>
      <c r="BWJ107" s="267"/>
      <c r="BWK107" s="267"/>
      <c r="BWL107" s="267"/>
      <c r="BWM107" s="267"/>
      <c r="BWN107" s="267"/>
      <c r="BWO107" s="267"/>
      <c r="BWP107" s="267"/>
      <c r="BWQ107" s="267"/>
      <c r="BWR107" s="267"/>
      <c r="BWS107" s="267"/>
      <c r="BWT107" s="267"/>
      <c r="BWU107" s="267"/>
      <c r="BWV107" s="267"/>
      <c r="BWW107" s="267"/>
      <c r="BWX107" s="267"/>
      <c r="BWY107" s="267"/>
      <c r="BWZ107" s="267"/>
      <c r="BXA107" s="267"/>
      <c r="BXB107" s="267"/>
      <c r="BXC107" s="267"/>
      <c r="BXD107" s="267"/>
      <c r="BXE107" s="267"/>
      <c r="BXF107" s="267"/>
      <c r="BXG107" s="267"/>
      <c r="BXH107" s="267"/>
      <c r="BXI107" s="267"/>
      <c r="BXJ107" s="267"/>
      <c r="BXK107" s="267"/>
      <c r="BXL107" s="267"/>
      <c r="BXM107" s="267"/>
      <c r="BXN107" s="267"/>
      <c r="BXO107" s="267"/>
      <c r="BXP107" s="267"/>
      <c r="BXQ107" s="267"/>
      <c r="BXR107" s="267"/>
      <c r="BXS107" s="267"/>
      <c r="BXT107" s="267"/>
      <c r="BXU107" s="267"/>
      <c r="BXV107" s="267"/>
      <c r="BXW107" s="267"/>
      <c r="BXX107" s="267"/>
      <c r="BXY107" s="267"/>
      <c r="BXZ107" s="267"/>
      <c r="BYA107" s="267"/>
      <c r="BYB107" s="267"/>
      <c r="BYC107" s="267"/>
      <c r="BYD107" s="267"/>
      <c r="BYE107" s="267"/>
      <c r="BYF107" s="267"/>
      <c r="BYG107" s="267"/>
      <c r="BYH107" s="267"/>
      <c r="BYI107" s="267"/>
      <c r="BYJ107" s="267"/>
      <c r="BYK107" s="267"/>
      <c r="BYL107" s="267"/>
      <c r="BYM107" s="267"/>
      <c r="BYN107" s="267"/>
      <c r="BYO107" s="267"/>
      <c r="BYP107" s="267"/>
      <c r="BYQ107" s="267"/>
      <c r="BYR107" s="267"/>
      <c r="BYS107" s="267"/>
      <c r="BYT107" s="267"/>
      <c r="BYU107" s="267"/>
      <c r="BYV107" s="267"/>
      <c r="BYW107" s="267"/>
      <c r="BYX107" s="267"/>
      <c r="BYY107" s="267"/>
      <c r="BYZ107" s="267"/>
      <c r="BZA107" s="267"/>
      <c r="BZB107" s="267"/>
      <c r="BZC107" s="267"/>
      <c r="BZD107" s="267"/>
      <c r="BZE107" s="267"/>
      <c r="BZF107" s="267"/>
      <c r="BZG107" s="267"/>
      <c r="BZH107" s="267"/>
      <c r="BZI107" s="267"/>
      <c r="BZJ107" s="267"/>
      <c r="BZK107" s="267"/>
      <c r="BZL107" s="267"/>
      <c r="BZM107" s="267"/>
      <c r="BZN107" s="267"/>
      <c r="BZO107" s="267"/>
      <c r="BZP107" s="267"/>
      <c r="BZQ107" s="267"/>
      <c r="BZR107" s="267"/>
      <c r="BZS107" s="267"/>
      <c r="BZT107" s="267"/>
      <c r="BZU107" s="267"/>
      <c r="BZV107" s="267"/>
      <c r="BZW107" s="267"/>
      <c r="BZX107" s="267"/>
      <c r="BZY107" s="267"/>
      <c r="BZZ107" s="267"/>
      <c r="CAA107" s="267"/>
      <c r="CAB107" s="267"/>
      <c r="CAC107" s="267"/>
      <c r="CAD107" s="267"/>
      <c r="CAE107" s="267"/>
      <c r="CAF107" s="267"/>
      <c r="CAG107" s="267"/>
      <c r="CAH107" s="267"/>
      <c r="CAI107" s="267"/>
      <c r="CAJ107" s="267"/>
      <c r="CAK107" s="267"/>
      <c r="CAL107" s="267"/>
      <c r="CAM107" s="267"/>
      <c r="CAN107" s="267"/>
      <c r="CAO107" s="267"/>
      <c r="CAP107" s="267"/>
      <c r="CAQ107" s="267"/>
      <c r="CAR107" s="267"/>
      <c r="CAS107" s="267"/>
      <c r="CAT107" s="267"/>
      <c r="CAU107" s="267"/>
      <c r="CAV107" s="267"/>
      <c r="CAW107" s="267"/>
      <c r="CAX107" s="267"/>
      <c r="CAY107" s="267"/>
      <c r="CAZ107" s="267"/>
      <c r="CBA107" s="267"/>
      <c r="CBB107" s="267"/>
      <c r="CBC107" s="267"/>
      <c r="CBD107" s="267"/>
      <c r="CBE107" s="267"/>
      <c r="CBF107" s="267"/>
      <c r="CBG107" s="267"/>
      <c r="CBH107" s="267"/>
      <c r="CBI107" s="267"/>
      <c r="CBJ107" s="267"/>
      <c r="CBK107" s="267"/>
      <c r="CBL107" s="267"/>
      <c r="CBM107" s="267"/>
      <c r="CBN107" s="267"/>
      <c r="CBO107" s="267"/>
      <c r="CBP107" s="267"/>
      <c r="CBQ107" s="267"/>
      <c r="CBR107" s="267"/>
      <c r="CBS107" s="267"/>
      <c r="CBT107" s="267"/>
      <c r="CBU107" s="267"/>
      <c r="CBV107" s="267"/>
      <c r="CBW107" s="267"/>
      <c r="CBX107" s="267"/>
      <c r="CBY107" s="267"/>
      <c r="CBZ107" s="267"/>
      <c r="CCA107" s="267"/>
      <c r="CCB107" s="267"/>
      <c r="CCC107" s="267"/>
      <c r="CCD107" s="267"/>
      <c r="CCE107" s="267"/>
      <c r="CCF107" s="267"/>
      <c r="CCG107" s="267"/>
      <c r="CCH107" s="267"/>
      <c r="CCI107" s="267"/>
      <c r="CCJ107" s="267"/>
      <c r="CCK107" s="267"/>
      <c r="CCL107" s="267"/>
      <c r="CCM107" s="267"/>
      <c r="CCN107" s="267"/>
      <c r="CCO107" s="267"/>
      <c r="CCP107" s="267"/>
      <c r="CCQ107" s="267"/>
      <c r="CCR107" s="267"/>
      <c r="CCS107" s="267"/>
      <c r="CCT107" s="267"/>
      <c r="CCU107" s="267"/>
      <c r="CCV107" s="267"/>
      <c r="CCW107" s="267"/>
      <c r="CCX107" s="267"/>
      <c r="CCY107" s="267"/>
      <c r="CCZ107" s="267"/>
      <c r="CDA107" s="267"/>
      <c r="CDB107" s="267"/>
      <c r="CDC107" s="267"/>
      <c r="CDD107" s="267"/>
      <c r="CDE107" s="267"/>
      <c r="CDF107" s="267"/>
      <c r="CDG107" s="267"/>
      <c r="CDH107" s="267"/>
      <c r="CDI107" s="267"/>
      <c r="CDJ107" s="267"/>
      <c r="CDK107" s="267"/>
      <c r="CDL107" s="267"/>
      <c r="CDM107" s="267"/>
      <c r="CDN107" s="267"/>
      <c r="CDO107" s="267"/>
      <c r="CDP107" s="267"/>
      <c r="CDQ107" s="267"/>
      <c r="CDR107" s="267"/>
      <c r="CDS107" s="267"/>
      <c r="CDT107" s="267"/>
      <c r="CDU107" s="267"/>
      <c r="CDV107" s="267"/>
      <c r="CDW107" s="267"/>
      <c r="CDX107" s="267"/>
      <c r="CDY107" s="267"/>
      <c r="CDZ107" s="267"/>
      <c r="CEA107" s="267"/>
      <c r="CEB107" s="267"/>
      <c r="CEC107" s="267"/>
      <c r="CED107" s="267"/>
      <c r="CEE107" s="267"/>
      <c r="CEF107" s="267"/>
      <c r="CEG107" s="267"/>
      <c r="CEH107" s="267"/>
      <c r="CEI107" s="267"/>
      <c r="CEJ107" s="267"/>
      <c r="CEK107" s="267"/>
      <c r="CEL107" s="267"/>
      <c r="CEM107" s="267"/>
      <c r="CEN107" s="267"/>
      <c r="CEO107" s="267"/>
      <c r="CEP107" s="267"/>
      <c r="CEQ107" s="267"/>
      <c r="CER107" s="267"/>
      <c r="CES107" s="267"/>
      <c r="CET107" s="267"/>
      <c r="CEU107" s="267"/>
      <c r="CEV107" s="267"/>
      <c r="CEW107" s="267"/>
      <c r="CEX107" s="267"/>
      <c r="CEY107" s="267"/>
      <c r="CEZ107" s="267"/>
      <c r="CFA107" s="267"/>
      <c r="CFB107" s="267"/>
      <c r="CFC107" s="267"/>
      <c r="CFD107" s="267"/>
      <c r="CFE107" s="267"/>
      <c r="CFF107" s="267"/>
      <c r="CFG107" s="267"/>
      <c r="CFH107" s="267"/>
      <c r="CFI107" s="267"/>
      <c r="CFJ107" s="267"/>
      <c r="CFK107" s="267"/>
      <c r="CFL107" s="267"/>
      <c r="CFM107" s="267"/>
      <c r="CFN107" s="267"/>
      <c r="CFO107" s="267"/>
      <c r="CFP107" s="267"/>
      <c r="CFQ107" s="267"/>
      <c r="CFR107" s="267"/>
      <c r="CFS107" s="267"/>
      <c r="CFT107" s="267"/>
      <c r="CFU107" s="267"/>
      <c r="CFV107" s="267"/>
      <c r="CFW107" s="267"/>
      <c r="CFX107" s="267"/>
      <c r="CFY107" s="267"/>
      <c r="CFZ107" s="267"/>
      <c r="CGA107" s="267"/>
      <c r="CGB107" s="267"/>
      <c r="CGC107" s="267"/>
      <c r="CGD107" s="267"/>
      <c r="CGE107" s="267"/>
      <c r="CGF107" s="267"/>
      <c r="CGG107" s="267"/>
      <c r="CGH107" s="267"/>
      <c r="CGI107" s="267"/>
      <c r="CGJ107" s="267"/>
      <c r="CGK107" s="267"/>
      <c r="CGL107" s="267"/>
      <c r="CGM107" s="267"/>
      <c r="CGN107" s="267"/>
      <c r="CGO107" s="267"/>
      <c r="CGP107" s="267"/>
      <c r="CGQ107" s="267"/>
      <c r="CGR107" s="267"/>
      <c r="CGS107" s="267"/>
      <c r="CGT107" s="267"/>
      <c r="CGU107" s="267"/>
      <c r="CGV107" s="267"/>
      <c r="CGW107" s="267"/>
      <c r="CGX107" s="267"/>
      <c r="CGY107" s="267"/>
      <c r="CGZ107" s="267"/>
      <c r="CHA107" s="267"/>
      <c r="CHB107" s="267"/>
      <c r="CHC107" s="267"/>
      <c r="CHD107" s="267"/>
      <c r="CHE107" s="267"/>
      <c r="CHF107" s="267"/>
      <c r="CHG107" s="267"/>
      <c r="CHH107" s="267"/>
      <c r="CHI107" s="267"/>
      <c r="CHJ107" s="267"/>
      <c r="CHK107" s="267"/>
      <c r="CHL107" s="267"/>
      <c r="CHM107" s="267"/>
      <c r="CHN107" s="267"/>
      <c r="CHO107" s="267"/>
      <c r="CHP107" s="267"/>
      <c r="CHQ107" s="267"/>
      <c r="CHR107" s="267"/>
      <c r="CHS107" s="267"/>
      <c r="CHT107" s="267"/>
      <c r="CHU107" s="267"/>
      <c r="CHV107" s="267"/>
      <c r="CHW107" s="267"/>
      <c r="CHX107" s="267"/>
      <c r="CHY107" s="267"/>
      <c r="CHZ107" s="267"/>
      <c r="CIA107" s="267"/>
      <c r="CIB107" s="267"/>
      <c r="CIC107" s="267"/>
      <c r="CID107" s="267"/>
      <c r="CIE107" s="267"/>
      <c r="CIF107" s="267"/>
      <c r="CIG107" s="267"/>
      <c r="CIH107" s="267"/>
      <c r="CII107" s="267"/>
      <c r="CIJ107" s="267"/>
      <c r="CIK107" s="267"/>
      <c r="CIL107" s="267"/>
      <c r="CIM107" s="267"/>
      <c r="CIN107" s="267"/>
      <c r="CIO107" s="267"/>
      <c r="CIP107" s="267"/>
      <c r="CIQ107" s="267"/>
      <c r="CIR107" s="267"/>
      <c r="CIS107" s="267"/>
      <c r="CIT107" s="267"/>
      <c r="CIU107" s="267"/>
      <c r="CIV107" s="267"/>
      <c r="CIW107" s="267"/>
      <c r="CIX107" s="267"/>
      <c r="CIY107" s="267"/>
      <c r="CIZ107" s="267"/>
      <c r="CJA107" s="267"/>
      <c r="CJB107" s="267"/>
      <c r="CJC107" s="267"/>
      <c r="CJD107" s="267"/>
      <c r="CJE107" s="267"/>
      <c r="CJF107" s="267"/>
      <c r="CJG107" s="267"/>
      <c r="CJH107" s="267"/>
      <c r="CJI107" s="267"/>
      <c r="CJJ107" s="267"/>
      <c r="CJK107" s="267"/>
      <c r="CJL107" s="267"/>
      <c r="CJM107" s="267"/>
      <c r="CJN107" s="267"/>
      <c r="CJO107" s="267"/>
      <c r="CJP107" s="267"/>
      <c r="CJQ107" s="267"/>
      <c r="CJR107" s="267"/>
      <c r="CJS107" s="267"/>
      <c r="CJT107" s="267"/>
      <c r="CJU107" s="267"/>
      <c r="CJV107" s="267"/>
      <c r="CJW107" s="267"/>
      <c r="CJX107" s="267"/>
      <c r="CJY107" s="267"/>
      <c r="CJZ107" s="267"/>
      <c r="CKA107" s="267"/>
      <c r="CKB107" s="267"/>
      <c r="CKC107" s="267"/>
      <c r="CKD107" s="267"/>
      <c r="CKE107" s="267"/>
      <c r="CKF107" s="267"/>
      <c r="CKG107" s="267"/>
      <c r="CKH107" s="267"/>
      <c r="CKI107" s="267"/>
      <c r="CKJ107" s="267"/>
      <c r="CKK107" s="267"/>
      <c r="CKL107" s="267"/>
      <c r="CKM107" s="267"/>
      <c r="CKN107" s="267"/>
      <c r="CKO107" s="267"/>
      <c r="CKP107" s="267"/>
      <c r="CKQ107" s="267"/>
      <c r="CKR107" s="267"/>
      <c r="CKS107" s="267"/>
      <c r="CKT107" s="267"/>
      <c r="CKU107" s="267"/>
      <c r="CKV107" s="267"/>
      <c r="CKW107" s="267"/>
      <c r="CKX107" s="267"/>
      <c r="CKY107" s="267"/>
      <c r="CKZ107" s="267"/>
      <c r="CLA107" s="267"/>
      <c r="CLB107" s="267"/>
      <c r="CLC107" s="267"/>
      <c r="CLD107" s="267"/>
      <c r="CLE107" s="267"/>
      <c r="CLF107" s="267"/>
      <c r="CLG107" s="267"/>
      <c r="CLH107" s="267"/>
      <c r="CLI107" s="267"/>
      <c r="CLJ107" s="267"/>
      <c r="CLK107" s="267"/>
      <c r="CLL107" s="267"/>
      <c r="CLM107" s="267"/>
      <c r="CLN107" s="267"/>
      <c r="CLO107" s="267"/>
      <c r="CLP107" s="267"/>
      <c r="CLQ107" s="267"/>
      <c r="CLR107" s="267"/>
      <c r="CLS107" s="267"/>
      <c r="CLT107" s="267"/>
      <c r="CLU107" s="267"/>
      <c r="CLV107" s="267"/>
      <c r="CLW107" s="267"/>
      <c r="CLX107" s="267"/>
      <c r="CLY107" s="267"/>
      <c r="CLZ107" s="267"/>
      <c r="CMA107" s="267"/>
      <c r="CMB107" s="267"/>
      <c r="CMC107" s="267"/>
      <c r="CMD107" s="267"/>
      <c r="CME107" s="267"/>
      <c r="CMF107" s="267"/>
      <c r="CMG107" s="267"/>
      <c r="CMH107" s="267"/>
      <c r="CMI107" s="267"/>
      <c r="CMJ107" s="267"/>
      <c r="CMK107" s="267"/>
      <c r="CML107" s="267"/>
      <c r="CMM107" s="267"/>
      <c r="CMN107" s="267"/>
      <c r="CMO107" s="267"/>
      <c r="CMP107" s="267"/>
      <c r="CMQ107" s="267"/>
      <c r="CMR107" s="267"/>
      <c r="CMS107" s="267"/>
      <c r="CMT107" s="267"/>
      <c r="CMU107" s="267"/>
      <c r="CMV107" s="267"/>
      <c r="CMW107" s="267"/>
      <c r="CMX107" s="267"/>
      <c r="CMY107" s="267"/>
      <c r="CMZ107" s="267"/>
      <c r="CNA107" s="267"/>
      <c r="CNB107" s="267"/>
      <c r="CNC107" s="267"/>
      <c r="CND107" s="267"/>
      <c r="CNE107" s="267"/>
      <c r="CNF107" s="267"/>
      <c r="CNG107" s="267"/>
      <c r="CNH107" s="267"/>
      <c r="CNI107" s="267"/>
      <c r="CNJ107" s="267"/>
      <c r="CNK107" s="267"/>
      <c r="CNL107" s="267"/>
      <c r="CNM107" s="267"/>
      <c r="CNN107" s="267"/>
      <c r="CNO107" s="267"/>
      <c r="CNP107" s="267"/>
      <c r="CNQ107" s="267"/>
      <c r="CNR107" s="267"/>
      <c r="CNS107" s="267"/>
      <c r="CNT107" s="267"/>
      <c r="CNU107" s="267"/>
      <c r="CNV107" s="267"/>
      <c r="CNW107" s="267"/>
      <c r="CNX107" s="267"/>
      <c r="CNY107" s="267"/>
      <c r="CNZ107" s="267"/>
      <c r="COA107" s="267"/>
      <c r="COB107" s="267"/>
      <c r="COC107" s="267"/>
      <c r="COD107" s="267"/>
      <c r="COE107" s="267"/>
      <c r="COF107" s="267"/>
      <c r="COG107" s="267"/>
      <c r="COH107" s="267"/>
      <c r="COI107" s="267"/>
      <c r="COJ107" s="267"/>
      <c r="COK107" s="267"/>
      <c r="COL107" s="267"/>
      <c r="COM107" s="267"/>
      <c r="CON107" s="267"/>
      <c r="COO107" s="267"/>
      <c r="COP107" s="267"/>
      <c r="COQ107" s="267"/>
      <c r="COR107" s="267"/>
      <c r="COS107" s="267"/>
      <c r="COT107" s="267"/>
      <c r="COU107" s="267"/>
      <c r="COV107" s="267"/>
      <c r="COW107" s="267"/>
      <c r="COX107" s="267"/>
      <c r="COY107" s="267"/>
      <c r="COZ107" s="267"/>
      <c r="CPA107" s="267"/>
      <c r="CPB107" s="267"/>
      <c r="CPC107" s="267"/>
      <c r="CPD107" s="267"/>
      <c r="CPE107" s="267"/>
      <c r="CPF107" s="267"/>
      <c r="CPG107" s="267"/>
      <c r="CPH107" s="267"/>
      <c r="CPI107" s="267"/>
      <c r="CPJ107" s="267"/>
      <c r="CPK107" s="267"/>
      <c r="CPL107" s="267"/>
      <c r="CPM107" s="267"/>
      <c r="CPN107" s="267"/>
      <c r="CPO107" s="267"/>
      <c r="CPP107" s="267"/>
      <c r="CPQ107" s="267"/>
      <c r="CPR107" s="267"/>
      <c r="CPS107" s="267"/>
      <c r="CPT107" s="267"/>
      <c r="CPU107" s="267"/>
      <c r="CPV107" s="267"/>
      <c r="CPW107" s="267"/>
      <c r="CPX107" s="267"/>
      <c r="CPY107" s="267"/>
      <c r="CPZ107" s="267"/>
      <c r="CQA107" s="267"/>
      <c r="CQB107" s="267"/>
      <c r="CQC107" s="267"/>
      <c r="CQD107" s="267"/>
      <c r="CQE107" s="267"/>
      <c r="CQF107" s="267"/>
      <c r="CQG107" s="267"/>
      <c r="CQH107" s="267"/>
      <c r="CQI107" s="267"/>
      <c r="CQJ107" s="267"/>
      <c r="CQK107" s="267"/>
      <c r="CQL107" s="267"/>
      <c r="CQM107" s="267"/>
      <c r="CQN107" s="267"/>
      <c r="CQO107" s="267"/>
      <c r="CQP107" s="267"/>
      <c r="CQQ107" s="267"/>
      <c r="CQR107" s="267"/>
      <c r="CQS107" s="267"/>
      <c r="CQT107" s="267"/>
      <c r="CQU107" s="267"/>
      <c r="CQV107" s="267"/>
      <c r="CQW107" s="267"/>
      <c r="CQX107" s="267"/>
      <c r="CQY107" s="267"/>
      <c r="CQZ107" s="267"/>
      <c r="CRA107" s="267"/>
      <c r="CRB107" s="267"/>
      <c r="CRC107" s="267"/>
      <c r="CRD107" s="267"/>
      <c r="CRE107" s="267"/>
      <c r="CRF107" s="267"/>
      <c r="CRG107" s="267"/>
      <c r="CRH107" s="267"/>
      <c r="CRI107" s="267"/>
      <c r="CRJ107" s="267"/>
      <c r="CRK107" s="267"/>
      <c r="CRL107" s="267"/>
      <c r="CRM107" s="267"/>
      <c r="CRN107" s="267"/>
      <c r="CRO107" s="267"/>
      <c r="CRP107" s="267"/>
      <c r="CRQ107" s="267"/>
      <c r="CRR107" s="267"/>
      <c r="CRS107" s="267"/>
      <c r="CRT107" s="267"/>
      <c r="CRU107" s="267"/>
      <c r="CRV107" s="267"/>
      <c r="CRW107" s="267"/>
      <c r="CRX107" s="267"/>
      <c r="CRY107" s="267"/>
      <c r="CRZ107" s="267"/>
      <c r="CSA107" s="267"/>
      <c r="CSB107" s="267"/>
      <c r="CSC107" s="267"/>
      <c r="CSD107" s="267"/>
      <c r="CSE107" s="267"/>
      <c r="CSF107" s="267"/>
      <c r="CSG107" s="267"/>
      <c r="CSH107" s="267"/>
      <c r="CSI107" s="267"/>
      <c r="CSJ107" s="267"/>
      <c r="CSK107" s="267"/>
      <c r="CSL107" s="267"/>
      <c r="CSM107" s="267"/>
      <c r="CSN107" s="267"/>
      <c r="CSO107" s="267"/>
      <c r="CSP107" s="267"/>
      <c r="CSQ107" s="267"/>
      <c r="CSR107" s="267"/>
      <c r="CSS107" s="267"/>
      <c r="CST107" s="267"/>
      <c r="CSU107" s="267"/>
      <c r="CSV107" s="267"/>
      <c r="CSW107" s="267"/>
      <c r="CSX107" s="267"/>
      <c r="CSY107" s="267"/>
      <c r="CSZ107" s="267"/>
      <c r="CTA107" s="267"/>
      <c r="CTB107" s="267"/>
      <c r="CTC107" s="267"/>
      <c r="CTD107" s="267"/>
      <c r="CTE107" s="267"/>
      <c r="CTF107" s="267"/>
      <c r="CTG107" s="267"/>
      <c r="CTH107" s="267"/>
      <c r="CTI107" s="267"/>
      <c r="CTJ107" s="267"/>
      <c r="CTK107" s="267"/>
      <c r="CTL107" s="267"/>
      <c r="CTM107" s="267"/>
      <c r="CTN107" s="267"/>
      <c r="CTO107" s="267"/>
      <c r="CTP107" s="267"/>
      <c r="CTQ107" s="267"/>
      <c r="CTR107" s="267"/>
      <c r="CTS107" s="267"/>
      <c r="CTT107" s="267"/>
      <c r="CTU107" s="267"/>
      <c r="CTV107" s="267"/>
      <c r="CTW107" s="267"/>
      <c r="CTX107" s="267"/>
      <c r="CTY107" s="267"/>
      <c r="CTZ107" s="267"/>
      <c r="CUA107" s="267"/>
    </row>
    <row r="108" s="30" customFormat="1" spans="1:2575">
      <c r="A108" s="268">
        <v>114</v>
      </c>
      <c r="B108" s="268" t="s">
        <v>13</v>
      </c>
      <c r="C108" s="268" t="s">
        <v>54</v>
      </c>
      <c r="D108" s="82" t="s">
        <v>330</v>
      </c>
      <c r="E108" s="248" t="s">
        <v>732</v>
      </c>
      <c r="F108" s="261" t="s">
        <v>42</v>
      </c>
      <c r="G108" s="31" t="s">
        <v>922</v>
      </c>
      <c r="H108" s="119" t="s">
        <v>924</v>
      </c>
      <c r="I108" s="119">
        <v>2021.5</v>
      </c>
      <c r="J108" s="261" t="s">
        <v>42</v>
      </c>
      <c r="K108" s="261" t="s">
        <v>42</v>
      </c>
      <c r="L108" s="248" t="s">
        <v>673</v>
      </c>
      <c r="M108" s="248" t="s">
        <v>674</v>
      </c>
      <c r="N108" s="286">
        <v>45792</v>
      </c>
      <c r="O108" s="286">
        <v>46156</v>
      </c>
      <c r="P108" s="29">
        <v>500</v>
      </c>
      <c r="Q108" s="82"/>
      <c r="R108" s="173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  <c r="AR108" s="267"/>
      <c r="AS108" s="267"/>
      <c r="AT108" s="267"/>
      <c r="AU108" s="267"/>
      <c r="AV108" s="267"/>
      <c r="AW108" s="267"/>
      <c r="AX108" s="267"/>
      <c r="AY108" s="267"/>
      <c r="AZ108" s="267"/>
      <c r="BA108" s="267"/>
      <c r="BB108" s="267"/>
      <c r="BC108" s="267"/>
      <c r="BD108" s="267"/>
      <c r="BE108" s="267"/>
      <c r="BF108" s="267"/>
      <c r="BG108" s="267"/>
      <c r="BH108" s="267"/>
      <c r="BI108" s="267"/>
      <c r="BJ108" s="267"/>
      <c r="BK108" s="267"/>
      <c r="BL108" s="267"/>
      <c r="BM108" s="267"/>
      <c r="BN108" s="267"/>
      <c r="BO108" s="267"/>
      <c r="BP108" s="267"/>
      <c r="BQ108" s="267"/>
      <c r="BR108" s="267"/>
      <c r="BS108" s="267"/>
      <c r="BT108" s="267"/>
      <c r="BU108" s="267"/>
      <c r="BV108" s="267"/>
      <c r="BW108" s="267"/>
      <c r="BX108" s="267"/>
      <c r="BY108" s="267"/>
      <c r="BZ108" s="267"/>
      <c r="CA108" s="267"/>
      <c r="CB108" s="267"/>
      <c r="CC108" s="267"/>
      <c r="CD108" s="267"/>
      <c r="CE108" s="267"/>
      <c r="CF108" s="267"/>
      <c r="CG108" s="267"/>
      <c r="CH108" s="267"/>
      <c r="CI108" s="267"/>
      <c r="CJ108" s="267"/>
      <c r="CK108" s="267"/>
      <c r="CL108" s="267"/>
      <c r="CM108" s="267"/>
      <c r="CN108" s="267"/>
      <c r="CO108" s="267"/>
      <c r="CP108" s="267"/>
      <c r="CQ108" s="267"/>
      <c r="CR108" s="267"/>
      <c r="CS108" s="267"/>
      <c r="CT108" s="267"/>
      <c r="CU108" s="267"/>
      <c r="CV108" s="267"/>
      <c r="CW108" s="267"/>
      <c r="CX108" s="267"/>
      <c r="CY108" s="267"/>
      <c r="CZ108" s="267"/>
      <c r="DA108" s="267"/>
      <c r="DB108" s="267"/>
      <c r="DC108" s="267"/>
      <c r="DD108" s="267"/>
      <c r="DE108" s="267"/>
      <c r="DF108" s="267"/>
      <c r="DG108" s="267"/>
      <c r="DH108" s="267"/>
      <c r="DI108" s="267"/>
      <c r="DJ108" s="267"/>
      <c r="DK108" s="267"/>
      <c r="DL108" s="267"/>
      <c r="DM108" s="267"/>
      <c r="DN108" s="267"/>
      <c r="DO108" s="267"/>
      <c r="DP108" s="267"/>
      <c r="DQ108" s="267"/>
      <c r="DR108" s="267"/>
      <c r="DS108" s="267"/>
      <c r="DT108" s="267"/>
      <c r="DU108" s="267"/>
      <c r="DV108" s="267"/>
      <c r="DW108" s="267"/>
      <c r="DX108" s="267"/>
      <c r="DY108" s="267"/>
      <c r="DZ108" s="267"/>
      <c r="EA108" s="267"/>
      <c r="EB108" s="267"/>
      <c r="EC108" s="267"/>
      <c r="ED108" s="267"/>
      <c r="EE108" s="267"/>
      <c r="EF108" s="267"/>
      <c r="EG108" s="267"/>
      <c r="EH108" s="267"/>
      <c r="EI108" s="267"/>
      <c r="EJ108" s="267"/>
      <c r="EK108" s="267"/>
      <c r="EL108" s="267"/>
      <c r="EM108" s="267"/>
      <c r="EN108" s="267"/>
      <c r="EO108" s="267"/>
      <c r="EP108" s="267"/>
      <c r="EQ108" s="267"/>
      <c r="ER108" s="267"/>
      <c r="ES108" s="267"/>
      <c r="ET108" s="267"/>
      <c r="EU108" s="267"/>
      <c r="EV108" s="267"/>
      <c r="EW108" s="267"/>
      <c r="EX108" s="267"/>
      <c r="EY108" s="267"/>
      <c r="EZ108" s="267"/>
      <c r="FA108" s="267"/>
      <c r="FB108" s="267"/>
      <c r="FC108" s="267"/>
      <c r="FD108" s="267"/>
      <c r="FE108" s="267"/>
      <c r="FF108" s="267"/>
      <c r="FG108" s="267"/>
      <c r="FH108" s="267"/>
      <c r="FI108" s="267"/>
      <c r="FJ108" s="267"/>
      <c r="FK108" s="267"/>
      <c r="FL108" s="267"/>
      <c r="FM108" s="267"/>
      <c r="FN108" s="267"/>
      <c r="FO108" s="267"/>
      <c r="FP108" s="267"/>
      <c r="FQ108" s="267"/>
      <c r="FR108" s="267"/>
      <c r="FS108" s="267"/>
      <c r="FT108" s="267"/>
      <c r="FU108" s="267"/>
      <c r="FV108" s="267"/>
      <c r="FW108" s="267"/>
      <c r="FX108" s="267"/>
      <c r="FY108" s="267"/>
      <c r="FZ108" s="267"/>
      <c r="GA108" s="267"/>
      <c r="GB108" s="267"/>
      <c r="GC108" s="267"/>
      <c r="GD108" s="267"/>
      <c r="GE108" s="267"/>
      <c r="GF108" s="267"/>
      <c r="GG108" s="267"/>
      <c r="GH108" s="267"/>
      <c r="GI108" s="267"/>
      <c r="GJ108" s="267"/>
      <c r="GK108" s="267"/>
      <c r="GL108" s="267"/>
      <c r="GM108" s="267"/>
      <c r="GN108" s="267"/>
      <c r="GO108" s="267"/>
      <c r="GP108" s="267"/>
      <c r="GQ108" s="267"/>
      <c r="GR108" s="267"/>
      <c r="GS108" s="267"/>
      <c r="GT108" s="267"/>
      <c r="GU108" s="267"/>
      <c r="GV108" s="267"/>
      <c r="GW108" s="267"/>
      <c r="GX108" s="267"/>
      <c r="GY108" s="267"/>
      <c r="GZ108" s="267"/>
      <c r="HA108" s="267"/>
      <c r="HB108" s="267"/>
      <c r="HC108" s="267"/>
      <c r="HD108" s="267"/>
      <c r="HE108" s="267"/>
      <c r="HF108" s="267"/>
      <c r="HG108" s="267"/>
      <c r="HH108" s="267"/>
      <c r="HI108" s="267"/>
      <c r="HJ108" s="267"/>
      <c r="HK108" s="267"/>
      <c r="HL108" s="267"/>
      <c r="HM108" s="267"/>
      <c r="HN108" s="267"/>
      <c r="HO108" s="267"/>
      <c r="HP108" s="267"/>
      <c r="HQ108" s="267"/>
      <c r="HR108" s="267"/>
      <c r="HS108" s="267"/>
      <c r="HT108" s="267"/>
      <c r="HU108" s="267"/>
      <c r="HV108" s="267"/>
      <c r="HW108" s="267"/>
      <c r="HX108" s="267"/>
      <c r="HY108" s="267"/>
      <c r="HZ108" s="267"/>
      <c r="IA108" s="267"/>
      <c r="IB108" s="267"/>
      <c r="IC108" s="267"/>
      <c r="ID108" s="267"/>
      <c r="IE108" s="267"/>
      <c r="IF108" s="267"/>
      <c r="IG108" s="267"/>
      <c r="IH108" s="267"/>
      <c r="II108" s="267"/>
      <c r="IJ108" s="267"/>
      <c r="IK108" s="267"/>
      <c r="IL108" s="267"/>
      <c r="IM108" s="267"/>
      <c r="IN108" s="267"/>
      <c r="IO108" s="267"/>
      <c r="IP108" s="267"/>
      <c r="IQ108" s="267"/>
      <c r="IR108" s="267"/>
      <c r="IS108" s="267"/>
      <c r="IT108" s="267"/>
      <c r="IU108" s="267"/>
      <c r="IV108" s="267"/>
      <c r="IW108" s="267"/>
      <c r="IX108" s="267"/>
      <c r="IY108" s="267"/>
      <c r="IZ108" s="267"/>
      <c r="JA108" s="267"/>
      <c r="JB108" s="267"/>
      <c r="JC108" s="267"/>
      <c r="JD108" s="267"/>
      <c r="JE108" s="267"/>
      <c r="JF108" s="267"/>
      <c r="JG108" s="267"/>
      <c r="JH108" s="267"/>
      <c r="JI108" s="267"/>
      <c r="JJ108" s="267"/>
      <c r="JK108" s="267"/>
      <c r="JL108" s="267"/>
      <c r="JM108" s="267"/>
      <c r="JN108" s="267"/>
      <c r="JO108" s="267"/>
      <c r="JP108" s="267"/>
      <c r="JQ108" s="267"/>
      <c r="JR108" s="267"/>
      <c r="JS108" s="267"/>
      <c r="JT108" s="267"/>
      <c r="JU108" s="267"/>
      <c r="JV108" s="267"/>
      <c r="JW108" s="267"/>
      <c r="JX108" s="267"/>
      <c r="JY108" s="267"/>
      <c r="JZ108" s="267"/>
      <c r="KA108" s="267"/>
      <c r="KB108" s="267"/>
      <c r="KC108" s="267"/>
      <c r="KD108" s="267"/>
      <c r="KE108" s="267"/>
      <c r="KF108" s="267"/>
      <c r="KG108" s="267"/>
      <c r="KH108" s="267"/>
      <c r="KI108" s="267"/>
      <c r="KJ108" s="267"/>
      <c r="KK108" s="267"/>
      <c r="KL108" s="267"/>
      <c r="KM108" s="267"/>
      <c r="KN108" s="267"/>
      <c r="KO108" s="267"/>
      <c r="KP108" s="267"/>
      <c r="KQ108" s="267"/>
      <c r="KR108" s="267"/>
      <c r="KS108" s="267"/>
      <c r="KT108" s="267"/>
      <c r="KU108" s="267"/>
      <c r="KV108" s="267"/>
      <c r="KW108" s="267"/>
      <c r="KX108" s="267"/>
      <c r="KY108" s="267"/>
      <c r="KZ108" s="267"/>
      <c r="LA108" s="267"/>
      <c r="LB108" s="267"/>
      <c r="LC108" s="267"/>
      <c r="LD108" s="267"/>
      <c r="LE108" s="267"/>
      <c r="LF108" s="267"/>
      <c r="LG108" s="267"/>
      <c r="LH108" s="267"/>
      <c r="LI108" s="267"/>
      <c r="LJ108" s="267"/>
      <c r="LK108" s="267"/>
      <c r="LL108" s="267"/>
      <c r="LM108" s="267"/>
      <c r="LN108" s="267"/>
      <c r="LO108" s="267"/>
      <c r="LP108" s="267"/>
      <c r="LQ108" s="267"/>
      <c r="LR108" s="267"/>
      <c r="LS108" s="267"/>
      <c r="LT108" s="267"/>
      <c r="LU108" s="267"/>
      <c r="LV108" s="267"/>
      <c r="LW108" s="267"/>
      <c r="LX108" s="267"/>
      <c r="LY108" s="267"/>
      <c r="LZ108" s="267"/>
      <c r="MA108" s="267"/>
      <c r="MB108" s="267"/>
      <c r="MC108" s="267"/>
      <c r="MD108" s="267"/>
      <c r="ME108" s="267"/>
      <c r="MF108" s="267"/>
      <c r="MG108" s="267"/>
      <c r="MH108" s="267"/>
      <c r="MI108" s="267"/>
      <c r="MJ108" s="267"/>
      <c r="MK108" s="267"/>
      <c r="ML108" s="267"/>
      <c r="MM108" s="267"/>
      <c r="MN108" s="267"/>
      <c r="MO108" s="267"/>
      <c r="MP108" s="267"/>
      <c r="MQ108" s="267"/>
      <c r="MR108" s="267"/>
      <c r="MS108" s="267"/>
      <c r="MT108" s="267"/>
      <c r="MU108" s="267"/>
      <c r="MV108" s="267"/>
      <c r="MW108" s="267"/>
      <c r="MX108" s="267"/>
      <c r="MY108" s="267"/>
      <c r="MZ108" s="267"/>
      <c r="NA108" s="267"/>
      <c r="NB108" s="267"/>
      <c r="NC108" s="267"/>
      <c r="ND108" s="267"/>
      <c r="NE108" s="267"/>
      <c r="NF108" s="267"/>
      <c r="NG108" s="267"/>
      <c r="NH108" s="267"/>
      <c r="NI108" s="267"/>
      <c r="NJ108" s="267"/>
      <c r="NK108" s="267"/>
      <c r="NL108" s="267"/>
      <c r="NM108" s="267"/>
      <c r="NN108" s="267"/>
      <c r="NO108" s="267"/>
      <c r="NP108" s="267"/>
      <c r="NQ108" s="267"/>
      <c r="NR108" s="267"/>
      <c r="NS108" s="267"/>
      <c r="NT108" s="267"/>
      <c r="NU108" s="267"/>
      <c r="NV108" s="267"/>
      <c r="NW108" s="267"/>
      <c r="NX108" s="267"/>
      <c r="NY108" s="267"/>
      <c r="NZ108" s="267"/>
      <c r="OA108" s="267"/>
      <c r="OB108" s="267"/>
      <c r="OC108" s="267"/>
      <c r="OD108" s="267"/>
      <c r="OE108" s="267"/>
      <c r="OF108" s="267"/>
      <c r="OG108" s="267"/>
      <c r="OH108" s="267"/>
      <c r="OI108" s="267"/>
      <c r="OJ108" s="267"/>
      <c r="OK108" s="267"/>
      <c r="OL108" s="267"/>
      <c r="OM108" s="267"/>
      <c r="ON108" s="267"/>
      <c r="OO108" s="267"/>
      <c r="OP108" s="267"/>
      <c r="OQ108" s="267"/>
      <c r="OR108" s="267"/>
      <c r="OS108" s="267"/>
      <c r="OT108" s="267"/>
      <c r="OU108" s="267"/>
      <c r="OV108" s="267"/>
      <c r="OW108" s="267"/>
      <c r="OX108" s="267"/>
      <c r="OY108" s="267"/>
      <c r="OZ108" s="267"/>
      <c r="PA108" s="267"/>
      <c r="PB108" s="267"/>
      <c r="PC108" s="267"/>
      <c r="PD108" s="267"/>
      <c r="PE108" s="267"/>
      <c r="PF108" s="267"/>
      <c r="PG108" s="267"/>
      <c r="PH108" s="267"/>
      <c r="PI108" s="267"/>
      <c r="PJ108" s="267"/>
      <c r="PK108" s="267"/>
      <c r="PL108" s="267"/>
      <c r="PM108" s="267"/>
      <c r="PN108" s="267"/>
      <c r="PO108" s="267"/>
      <c r="PP108" s="267"/>
      <c r="PQ108" s="267"/>
      <c r="PR108" s="267"/>
      <c r="PS108" s="267"/>
      <c r="PT108" s="267"/>
      <c r="PU108" s="267"/>
      <c r="PV108" s="267"/>
      <c r="PW108" s="267"/>
      <c r="PX108" s="267"/>
      <c r="PY108" s="267"/>
      <c r="PZ108" s="267"/>
      <c r="QA108" s="267"/>
      <c r="QB108" s="267"/>
      <c r="QC108" s="267"/>
      <c r="QD108" s="267"/>
      <c r="QE108" s="267"/>
      <c r="QF108" s="267"/>
      <c r="QG108" s="267"/>
      <c r="QH108" s="267"/>
      <c r="QI108" s="267"/>
      <c r="QJ108" s="267"/>
      <c r="QK108" s="267"/>
      <c r="QL108" s="267"/>
      <c r="QM108" s="267"/>
      <c r="QN108" s="267"/>
      <c r="QO108" s="267"/>
      <c r="QP108" s="267"/>
      <c r="QQ108" s="267"/>
      <c r="QR108" s="267"/>
      <c r="QS108" s="267"/>
      <c r="QT108" s="267"/>
      <c r="QU108" s="267"/>
      <c r="QV108" s="267"/>
      <c r="QW108" s="267"/>
      <c r="QX108" s="267"/>
      <c r="QY108" s="267"/>
      <c r="QZ108" s="267"/>
      <c r="RA108" s="267"/>
      <c r="RB108" s="267"/>
      <c r="RC108" s="267"/>
      <c r="RD108" s="267"/>
      <c r="RE108" s="267"/>
      <c r="RF108" s="267"/>
      <c r="RG108" s="267"/>
      <c r="RH108" s="267"/>
      <c r="RI108" s="267"/>
      <c r="RJ108" s="267"/>
      <c r="RK108" s="267"/>
      <c r="RL108" s="267"/>
      <c r="RM108" s="267"/>
      <c r="RN108" s="267"/>
      <c r="RO108" s="267"/>
      <c r="RP108" s="267"/>
      <c r="RQ108" s="267"/>
      <c r="RR108" s="267"/>
      <c r="RS108" s="267"/>
      <c r="RT108" s="267"/>
      <c r="RU108" s="267"/>
      <c r="RV108" s="267"/>
      <c r="RW108" s="267"/>
      <c r="RX108" s="267"/>
      <c r="RY108" s="267"/>
      <c r="RZ108" s="267"/>
      <c r="SA108" s="267"/>
      <c r="SB108" s="267"/>
      <c r="SC108" s="267"/>
      <c r="SD108" s="267"/>
      <c r="SE108" s="267"/>
      <c r="SF108" s="267"/>
      <c r="SG108" s="267"/>
      <c r="SH108" s="267"/>
      <c r="SI108" s="267"/>
      <c r="SJ108" s="267"/>
      <c r="SK108" s="267"/>
      <c r="SL108" s="267"/>
      <c r="SM108" s="267"/>
      <c r="SN108" s="267"/>
      <c r="SO108" s="267"/>
      <c r="SP108" s="267"/>
      <c r="SQ108" s="267"/>
      <c r="SR108" s="267"/>
      <c r="SS108" s="267"/>
      <c r="ST108" s="267"/>
      <c r="SU108" s="267"/>
      <c r="SV108" s="267"/>
      <c r="SW108" s="267"/>
      <c r="SX108" s="267"/>
      <c r="SY108" s="267"/>
      <c r="SZ108" s="267"/>
      <c r="TA108" s="267"/>
      <c r="TB108" s="267"/>
      <c r="TC108" s="267"/>
      <c r="TD108" s="267"/>
      <c r="TE108" s="267"/>
      <c r="TF108" s="267"/>
      <c r="TG108" s="267"/>
      <c r="TH108" s="267"/>
      <c r="TI108" s="267"/>
      <c r="TJ108" s="267"/>
      <c r="TK108" s="267"/>
      <c r="TL108" s="267"/>
      <c r="TM108" s="267"/>
      <c r="TN108" s="267"/>
      <c r="TO108" s="267"/>
      <c r="TP108" s="267"/>
      <c r="TQ108" s="267"/>
      <c r="TR108" s="267"/>
      <c r="TS108" s="267"/>
      <c r="TT108" s="267"/>
      <c r="TU108" s="267"/>
      <c r="TV108" s="267"/>
      <c r="TW108" s="267"/>
      <c r="TX108" s="267"/>
      <c r="TY108" s="267"/>
      <c r="TZ108" s="267"/>
      <c r="UA108" s="267"/>
      <c r="UB108" s="267"/>
      <c r="UC108" s="267"/>
      <c r="UD108" s="267"/>
      <c r="UE108" s="267"/>
      <c r="UF108" s="267"/>
      <c r="UG108" s="267"/>
      <c r="UH108" s="267"/>
      <c r="UI108" s="267"/>
      <c r="UJ108" s="267"/>
      <c r="UK108" s="267"/>
      <c r="UL108" s="267"/>
      <c r="UM108" s="267"/>
      <c r="UN108" s="267"/>
      <c r="UO108" s="267"/>
      <c r="UP108" s="267"/>
      <c r="UQ108" s="267"/>
      <c r="UR108" s="267"/>
      <c r="US108" s="267"/>
      <c r="UT108" s="267"/>
      <c r="UU108" s="267"/>
      <c r="UV108" s="267"/>
      <c r="UW108" s="267"/>
      <c r="UX108" s="267"/>
      <c r="UY108" s="267"/>
      <c r="UZ108" s="267"/>
      <c r="VA108" s="267"/>
      <c r="VB108" s="267"/>
      <c r="VC108" s="267"/>
      <c r="VD108" s="267"/>
      <c r="VE108" s="267"/>
      <c r="VF108" s="267"/>
      <c r="VG108" s="267"/>
      <c r="VH108" s="267"/>
      <c r="VI108" s="267"/>
      <c r="VJ108" s="267"/>
      <c r="VK108" s="267"/>
      <c r="VL108" s="267"/>
      <c r="VM108" s="267"/>
      <c r="VN108" s="267"/>
      <c r="VO108" s="267"/>
      <c r="VP108" s="267"/>
      <c r="VQ108" s="267"/>
      <c r="VR108" s="267"/>
      <c r="VS108" s="267"/>
      <c r="VT108" s="267"/>
      <c r="VU108" s="267"/>
      <c r="VV108" s="267"/>
      <c r="VW108" s="267"/>
      <c r="VX108" s="267"/>
      <c r="VY108" s="267"/>
      <c r="VZ108" s="267"/>
      <c r="WA108" s="267"/>
      <c r="WB108" s="267"/>
      <c r="WC108" s="267"/>
      <c r="WD108" s="267"/>
      <c r="WE108" s="267"/>
      <c r="WF108" s="267"/>
      <c r="WG108" s="267"/>
      <c r="WH108" s="267"/>
      <c r="WI108" s="267"/>
      <c r="WJ108" s="267"/>
      <c r="WK108" s="267"/>
      <c r="WL108" s="267"/>
      <c r="WM108" s="267"/>
      <c r="WN108" s="267"/>
      <c r="WO108" s="267"/>
      <c r="WP108" s="267"/>
      <c r="WQ108" s="267"/>
      <c r="WR108" s="267"/>
      <c r="WS108" s="267"/>
      <c r="WT108" s="267"/>
      <c r="WU108" s="267"/>
      <c r="WV108" s="267"/>
      <c r="WW108" s="267"/>
      <c r="WX108" s="267"/>
      <c r="WY108" s="267"/>
      <c r="WZ108" s="267"/>
      <c r="XA108" s="267"/>
      <c r="XB108" s="267"/>
      <c r="XC108" s="267"/>
      <c r="XD108" s="267"/>
      <c r="XE108" s="267"/>
      <c r="XF108" s="267"/>
      <c r="XG108" s="267"/>
      <c r="XH108" s="267"/>
      <c r="XI108" s="267"/>
      <c r="XJ108" s="267"/>
      <c r="XK108" s="267"/>
      <c r="XL108" s="267"/>
      <c r="XM108" s="267"/>
      <c r="XN108" s="267"/>
      <c r="XO108" s="267"/>
      <c r="XP108" s="267"/>
      <c r="XQ108" s="267"/>
      <c r="XR108" s="267"/>
      <c r="XS108" s="267"/>
      <c r="XT108" s="267"/>
      <c r="XU108" s="267"/>
      <c r="XV108" s="267"/>
      <c r="XW108" s="267"/>
      <c r="XX108" s="267"/>
      <c r="XY108" s="267"/>
      <c r="XZ108" s="267"/>
      <c r="YA108" s="267"/>
      <c r="YB108" s="267"/>
      <c r="YC108" s="267"/>
      <c r="YD108" s="267"/>
      <c r="YE108" s="267"/>
      <c r="YF108" s="267"/>
      <c r="YG108" s="267"/>
      <c r="YH108" s="267"/>
      <c r="YI108" s="267"/>
      <c r="YJ108" s="267"/>
      <c r="YK108" s="267"/>
      <c r="YL108" s="267"/>
      <c r="YM108" s="267"/>
      <c r="YN108" s="267"/>
      <c r="YO108" s="267"/>
      <c r="YP108" s="267"/>
      <c r="YQ108" s="267"/>
      <c r="YR108" s="267"/>
      <c r="YS108" s="267"/>
      <c r="YT108" s="267"/>
      <c r="YU108" s="267"/>
      <c r="YV108" s="267"/>
      <c r="YW108" s="267"/>
      <c r="YX108" s="267"/>
      <c r="YY108" s="267"/>
      <c r="YZ108" s="267"/>
      <c r="ZA108" s="267"/>
      <c r="ZB108" s="267"/>
      <c r="ZC108" s="267"/>
      <c r="ZD108" s="267"/>
      <c r="ZE108" s="267"/>
      <c r="ZF108" s="267"/>
      <c r="ZG108" s="267"/>
      <c r="ZH108" s="267"/>
      <c r="ZI108" s="267"/>
      <c r="ZJ108" s="267"/>
      <c r="ZK108" s="267"/>
      <c r="ZL108" s="267"/>
      <c r="ZM108" s="267"/>
      <c r="ZN108" s="267"/>
      <c r="ZO108" s="267"/>
      <c r="ZP108" s="267"/>
      <c r="ZQ108" s="267"/>
      <c r="ZR108" s="267"/>
      <c r="ZS108" s="267"/>
      <c r="ZT108" s="267"/>
      <c r="ZU108" s="267"/>
      <c r="ZV108" s="267"/>
      <c r="ZW108" s="267"/>
      <c r="ZX108" s="267"/>
      <c r="ZY108" s="267"/>
      <c r="ZZ108" s="267"/>
      <c r="AAA108" s="267"/>
      <c r="AAB108" s="267"/>
      <c r="AAC108" s="267"/>
      <c r="AAD108" s="267"/>
      <c r="AAE108" s="267"/>
      <c r="AAF108" s="267"/>
      <c r="AAG108" s="267"/>
      <c r="AAH108" s="267"/>
      <c r="AAI108" s="267"/>
      <c r="AAJ108" s="267"/>
      <c r="AAK108" s="267"/>
      <c r="AAL108" s="267"/>
      <c r="AAM108" s="267"/>
      <c r="AAN108" s="267"/>
      <c r="AAO108" s="267"/>
      <c r="AAP108" s="267"/>
      <c r="AAQ108" s="267"/>
      <c r="AAR108" s="267"/>
      <c r="AAS108" s="267"/>
      <c r="AAT108" s="267"/>
      <c r="AAU108" s="267"/>
      <c r="AAV108" s="267"/>
      <c r="AAW108" s="267"/>
      <c r="AAX108" s="267"/>
      <c r="AAY108" s="267"/>
      <c r="AAZ108" s="267"/>
      <c r="ABA108" s="267"/>
      <c r="ABB108" s="267"/>
      <c r="ABC108" s="267"/>
      <c r="ABD108" s="267"/>
      <c r="ABE108" s="267"/>
      <c r="ABF108" s="267"/>
      <c r="ABG108" s="267"/>
      <c r="ABH108" s="267"/>
      <c r="ABI108" s="267"/>
      <c r="ABJ108" s="267"/>
      <c r="ABK108" s="267"/>
      <c r="ABL108" s="267"/>
      <c r="ABM108" s="267"/>
      <c r="ABN108" s="267"/>
      <c r="ABO108" s="267"/>
      <c r="ABP108" s="267"/>
      <c r="ABQ108" s="267"/>
      <c r="ABR108" s="267"/>
      <c r="ABS108" s="267"/>
      <c r="ABT108" s="267"/>
      <c r="ABU108" s="267"/>
      <c r="ABV108" s="267"/>
      <c r="ABW108" s="267"/>
      <c r="ABX108" s="267"/>
      <c r="ABY108" s="267"/>
      <c r="ABZ108" s="267"/>
      <c r="ACA108" s="267"/>
      <c r="ACB108" s="267"/>
      <c r="ACC108" s="267"/>
      <c r="ACD108" s="267"/>
      <c r="ACE108" s="267"/>
      <c r="ACF108" s="267"/>
      <c r="ACG108" s="267"/>
      <c r="ACH108" s="267"/>
      <c r="ACI108" s="267"/>
      <c r="ACJ108" s="267"/>
      <c r="ACK108" s="267"/>
      <c r="ACL108" s="267"/>
      <c r="ACM108" s="267"/>
      <c r="ACN108" s="267"/>
      <c r="ACO108" s="267"/>
      <c r="ACP108" s="267"/>
      <c r="ACQ108" s="267"/>
      <c r="ACR108" s="267"/>
      <c r="ACS108" s="267"/>
      <c r="ACT108" s="267"/>
      <c r="ACU108" s="267"/>
      <c r="ACV108" s="267"/>
      <c r="ACW108" s="267"/>
      <c r="ACX108" s="267"/>
      <c r="ACY108" s="267"/>
      <c r="ACZ108" s="267"/>
      <c r="ADA108" s="267"/>
      <c r="ADB108" s="267"/>
      <c r="ADC108" s="267"/>
      <c r="ADD108" s="267"/>
      <c r="ADE108" s="267"/>
      <c r="ADF108" s="267"/>
      <c r="ADG108" s="267"/>
      <c r="ADH108" s="267"/>
      <c r="ADI108" s="267"/>
      <c r="ADJ108" s="267"/>
      <c r="ADK108" s="267"/>
      <c r="ADL108" s="267"/>
      <c r="ADM108" s="267"/>
      <c r="ADN108" s="267"/>
      <c r="ADO108" s="267"/>
      <c r="ADP108" s="267"/>
      <c r="ADQ108" s="267"/>
      <c r="ADR108" s="267"/>
      <c r="ADS108" s="267"/>
      <c r="ADT108" s="267"/>
      <c r="ADU108" s="267"/>
      <c r="ADV108" s="267"/>
      <c r="ADW108" s="267"/>
      <c r="ADX108" s="267"/>
      <c r="ADY108" s="267"/>
      <c r="ADZ108" s="267"/>
      <c r="AEA108" s="267"/>
      <c r="AEB108" s="267"/>
      <c r="AEC108" s="267"/>
      <c r="AED108" s="267"/>
      <c r="AEE108" s="267"/>
      <c r="AEF108" s="267"/>
      <c r="AEG108" s="267"/>
      <c r="AEH108" s="267"/>
      <c r="AEI108" s="267"/>
      <c r="AEJ108" s="267"/>
      <c r="AEK108" s="267"/>
      <c r="AEL108" s="267"/>
      <c r="AEM108" s="267"/>
      <c r="AEN108" s="267"/>
      <c r="AEO108" s="267"/>
      <c r="AEP108" s="267"/>
      <c r="AEQ108" s="267"/>
      <c r="AER108" s="267"/>
      <c r="AES108" s="267"/>
      <c r="AET108" s="267"/>
      <c r="AEU108" s="267"/>
      <c r="AEV108" s="267"/>
      <c r="AEW108" s="267"/>
      <c r="AEX108" s="267"/>
      <c r="AEY108" s="267"/>
      <c r="AEZ108" s="267"/>
      <c r="AFA108" s="267"/>
      <c r="AFB108" s="267"/>
      <c r="AFC108" s="267"/>
      <c r="AFD108" s="267"/>
      <c r="AFE108" s="267"/>
      <c r="AFF108" s="267"/>
      <c r="AFG108" s="267"/>
      <c r="AFH108" s="267"/>
      <c r="AFI108" s="267"/>
      <c r="AFJ108" s="267"/>
      <c r="AFK108" s="267"/>
      <c r="AFL108" s="267"/>
      <c r="AFM108" s="267"/>
      <c r="AFN108" s="267"/>
      <c r="AFO108" s="267"/>
      <c r="AFP108" s="267"/>
      <c r="AFQ108" s="267"/>
      <c r="AFR108" s="267"/>
      <c r="AFS108" s="267"/>
      <c r="AFT108" s="267"/>
      <c r="AFU108" s="267"/>
      <c r="AFV108" s="267"/>
      <c r="AFW108" s="267"/>
      <c r="AFX108" s="267"/>
      <c r="AFY108" s="267"/>
      <c r="AFZ108" s="267"/>
      <c r="AGA108" s="267"/>
      <c r="AGB108" s="267"/>
      <c r="AGC108" s="267"/>
      <c r="AGD108" s="267"/>
      <c r="AGE108" s="267"/>
      <c r="AGF108" s="267"/>
      <c r="AGG108" s="267"/>
      <c r="AGH108" s="267"/>
      <c r="AGI108" s="267"/>
      <c r="AGJ108" s="267"/>
      <c r="AGK108" s="267"/>
      <c r="AGL108" s="267"/>
      <c r="AGM108" s="267"/>
      <c r="AGN108" s="267"/>
      <c r="AGO108" s="267"/>
      <c r="AGP108" s="267"/>
      <c r="AGQ108" s="267"/>
      <c r="AGR108" s="267"/>
      <c r="AGS108" s="267"/>
      <c r="AGT108" s="267"/>
      <c r="AGU108" s="267"/>
      <c r="AGV108" s="267"/>
      <c r="AGW108" s="267"/>
      <c r="AGX108" s="267"/>
      <c r="AGY108" s="267"/>
      <c r="AGZ108" s="267"/>
      <c r="AHA108" s="267"/>
      <c r="AHB108" s="267"/>
      <c r="AHC108" s="267"/>
      <c r="AHD108" s="267"/>
      <c r="AHE108" s="267"/>
      <c r="AHF108" s="267"/>
      <c r="AHG108" s="267"/>
      <c r="AHH108" s="267"/>
      <c r="AHI108" s="267"/>
      <c r="AHJ108" s="267"/>
      <c r="AHK108" s="267"/>
      <c r="AHL108" s="267"/>
      <c r="AHM108" s="267"/>
      <c r="AHN108" s="267"/>
      <c r="AHO108" s="267"/>
      <c r="AHP108" s="267"/>
      <c r="AHQ108" s="267"/>
      <c r="AHR108" s="267"/>
      <c r="AHS108" s="267"/>
      <c r="AHT108" s="267"/>
      <c r="AHU108" s="267"/>
      <c r="AHV108" s="267"/>
      <c r="AHW108" s="267"/>
      <c r="AHX108" s="267"/>
      <c r="AHY108" s="267"/>
      <c r="AHZ108" s="267"/>
      <c r="AIA108" s="267"/>
      <c r="AIB108" s="267"/>
      <c r="AIC108" s="267"/>
      <c r="AID108" s="267"/>
      <c r="AIE108" s="267"/>
      <c r="AIF108" s="267"/>
      <c r="AIG108" s="267"/>
      <c r="AIH108" s="267"/>
      <c r="AII108" s="267"/>
      <c r="AIJ108" s="267"/>
      <c r="AIK108" s="267"/>
      <c r="AIL108" s="267"/>
      <c r="AIM108" s="267"/>
      <c r="AIN108" s="267"/>
      <c r="AIO108" s="267"/>
      <c r="AIP108" s="267"/>
      <c r="AIQ108" s="267"/>
      <c r="AIR108" s="267"/>
      <c r="AIS108" s="267"/>
      <c r="AIT108" s="267"/>
      <c r="AIU108" s="267"/>
      <c r="AIV108" s="267"/>
      <c r="AIW108" s="267"/>
      <c r="AIX108" s="267"/>
      <c r="AIY108" s="267"/>
      <c r="AIZ108" s="267"/>
      <c r="AJA108" s="267"/>
      <c r="AJB108" s="267"/>
      <c r="AJC108" s="267"/>
      <c r="AJD108" s="267"/>
      <c r="AJE108" s="267"/>
      <c r="AJF108" s="267"/>
      <c r="AJG108" s="267"/>
      <c r="AJH108" s="267"/>
      <c r="AJI108" s="267"/>
      <c r="AJJ108" s="267"/>
      <c r="AJK108" s="267"/>
      <c r="AJL108" s="267"/>
      <c r="AJM108" s="267"/>
      <c r="AJN108" s="267"/>
      <c r="AJO108" s="267"/>
      <c r="AJP108" s="267"/>
      <c r="AJQ108" s="267"/>
      <c r="AJR108" s="267"/>
      <c r="AJS108" s="267"/>
      <c r="AJT108" s="267"/>
      <c r="AJU108" s="267"/>
      <c r="AJV108" s="267"/>
      <c r="AJW108" s="267"/>
      <c r="AJX108" s="267"/>
      <c r="AJY108" s="267"/>
      <c r="AJZ108" s="267"/>
      <c r="AKA108" s="267"/>
      <c r="AKB108" s="267"/>
      <c r="AKC108" s="267"/>
      <c r="AKD108" s="267"/>
      <c r="AKE108" s="267"/>
      <c r="AKF108" s="267"/>
      <c r="AKG108" s="267"/>
      <c r="AKH108" s="267"/>
      <c r="AKI108" s="267"/>
      <c r="AKJ108" s="267"/>
      <c r="AKK108" s="267"/>
      <c r="AKL108" s="267"/>
      <c r="AKM108" s="267"/>
      <c r="AKN108" s="267"/>
      <c r="AKO108" s="267"/>
      <c r="AKP108" s="267"/>
      <c r="AKQ108" s="267"/>
      <c r="AKR108" s="267"/>
      <c r="AKS108" s="267"/>
      <c r="AKT108" s="267"/>
      <c r="AKU108" s="267"/>
      <c r="AKV108" s="267"/>
      <c r="AKW108" s="267"/>
      <c r="AKX108" s="267"/>
      <c r="AKY108" s="267"/>
      <c r="AKZ108" s="267"/>
      <c r="ALA108" s="267"/>
      <c r="ALB108" s="267"/>
      <c r="ALC108" s="267"/>
      <c r="ALD108" s="267"/>
      <c r="ALE108" s="267"/>
      <c r="ALF108" s="267"/>
      <c r="ALG108" s="267"/>
      <c r="ALH108" s="267"/>
      <c r="ALI108" s="267"/>
      <c r="ALJ108" s="267"/>
      <c r="ALK108" s="267"/>
      <c r="ALL108" s="267"/>
      <c r="ALM108" s="267"/>
      <c r="ALN108" s="267"/>
      <c r="ALO108" s="267"/>
      <c r="ALP108" s="267"/>
      <c r="ALQ108" s="267"/>
      <c r="ALR108" s="267"/>
      <c r="ALS108" s="267"/>
      <c r="ALT108" s="267"/>
      <c r="ALU108" s="267"/>
      <c r="ALV108" s="267"/>
      <c r="ALW108" s="267"/>
      <c r="ALX108" s="267"/>
      <c r="ALY108" s="267"/>
      <c r="ALZ108" s="267"/>
      <c r="AMA108" s="267"/>
      <c r="AMB108" s="267"/>
      <c r="AMC108" s="267"/>
      <c r="AMD108" s="267"/>
      <c r="AME108" s="267"/>
      <c r="AMF108" s="267"/>
      <c r="AMG108" s="267"/>
      <c r="AMH108" s="267"/>
      <c r="AMI108" s="267"/>
      <c r="AMJ108" s="267"/>
      <c r="AMK108" s="267"/>
      <c r="AML108" s="267"/>
      <c r="AMM108" s="267"/>
      <c r="AMN108" s="267"/>
      <c r="AMO108" s="267"/>
      <c r="AMP108" s="267"/>
      <c r="AMQ108" s="267"/>
      <c r="AMR108" s="267"/>
      <c r="AMS108" s="267"/>
      <c r="AMT108" s="267"/>
      <c r="AMU108" s="267"/>
      <c r="AMV108" s="267"/>
      <c r="AMW108" s="267"/>
      <c r="AMX108" s="267"/>
      <c r="AMY108" s="267"/>
      <c r="AMZ108" s="267"/>
      <c r="ANA108" s="267"/>
      <c r="ANB108" s="267"/>
      <c r="ANC108" s="267"/>
      <c r="AND108" s="267"/>
      <c r="ANE108" s="267"/>
      <c r="ANF108" s="267"/>
      <c r="ANG108" s="267"/>
      <c r="ANH108" s="267"/>
      <c r="ANI108" s="267"/>
      <c r="ANJ108" s="267"/>
      <c r="ANK108" s="267"/>
      <c r="ANL108" s="267"/>
      <c r="ANM108" s="267"/>
      <c r="ANN108" s="267"/>
      <c r="ANO108" s="267"/>
      <c r="ANP108" s="267"/>
      <c r="ANQ108" s="267"/>
      <c r="ANR108" s="267"/>
      <c r="ANS108" s="267"/>
      <c r="ANT108" s="267"/>
      <c r="ANU108" s="267"/>
      <c r="ANV108" s="267"/>
      <c r="ANW108" s="267"/>
      <c r="ANX108" s="267"/>
      <c r="ANY108" s="267"/>
      <c r="ANZ108" s="267"/>
      <c r="AOA108" s="267"/>
      <c r="AOB108" s="267"/>
      <c r="AOC108" s="267"/>
      <c r="AOD108" s="267"/>
      <c r="AOE108" s="267"/>
      <c r="AOF108" s="267"/>
      <c r="AOG108" s="267"/>
      <c r="AOH108" s="267"/>
      <c r="AOI108" s="267"/>
      <c r="AOJ108" s="267"/>
      <c r="AOK108" s="267"/>
      <c r="AOL108" s="267"/>
      <c r="AOM108" s="267"/>
      <c r="AON108" s="267"/>
      <c r="AOO108" s="267"/>
      <c r="AOP108" s="267"/>
      <c r="AOQ108" s="267"/>
      <c r="AOR108" s="267"/>
      <c r="AOS108" s="267"/>
      <c r="AOT108" s="267"/>
      <c r="AOU108" s="267"/>
      <c r="AOV108" s="267"/>
      <c r="AOW108" s="267"/>
      <c r="AOX108" s="267"/>
      <c r="AOY108" s="267"/>
      <c r="AOZ108" s="267"/>
      <c r="APA108" s="267"/>
      <c r="APB108" s="267"/>
      <c r="APC108" s="267"/>
      <c r="APD108" s="267"/>
      <c r="APE108" s="267"/>
      <c r="APF108" s="267"/>
      <c r="APG108" s="267"/>
      <c r="APH108" s="267"/>
      <c r="API108" s="267"/>
      <c r="APJ108" s="267"/>
      <c r="APK108" s="267"/>
      <c r="APL108" s="267"/>
      <c r="APM108" s="267"/>
      <c r="APN108" s="267"/>
      <c r="APO108" s="267"/>
      <c r="APP108" s="267"/>
      <c r="APQ108" s="267"/>
      <c r="APR108" s="267"/>
      <c r="APS108" s="267"/>
      <c r="APT108" s="267"/>
      <c r="APU108" s="267"/>
      <c r="APV108" s="267"/>
      <c r="APW108" s="267"/>
      <c r="APX108" s="267"/>
      <c r="APY108" s="267"/>
      <c r="APZ108" s="267"/>
      <c r="AQA108" s="267"/>
      <c r="AQB108" s="267"/>
      <c r="AQC108" s="267"/>
      <c r="AQD108" s="267"/>
      <c r="AQE108" s="267"/>
      <c r="AQF108" s="267"/>
      <c r="AQG108" s="267"/>
      <c r="AQH108" s="267"/>
      <c r="AQI108" s="267"/>
      <c r="AQJ108" s="267"/>
      <c r="AQK108" s="267"/>
      <c r="AQL108" s="267"/>
      <c r="AQM108" s="267"/>
      <c r="AQN108" s="267"/>
      <c r="AQO108" s="267"/>
      <c r="AQP108" s="267"/>
      <c r="AQQ108" s="267"/>
      <c r="AQR108" s="267"/>
      <c r="AQS108" s="267"/>
      <c r="AQT108" s="267"/>
      <c r="AQU108" s="267"/>
      <c r="AQV108" s="267"/>
      <c r="AQW108" s="267"/>
      <c r="AQX108" s="267"/>
      <c r="AQY108" s="267"/>
      <c r="AQZ108" s="267"/>
      <c r="ARA108" s="267"/>
      <c r="ARB108" s="267"/>
      <c r="ARC108" s="267"/>
      <c r="ARD108" s="267"/>
      <c r="ARE108" s="267"/>
      <c r="ARF108" s="267"/>
      <c r="ARG108" s="267"/>
      <c r="ARH108" s="267"/>
      <c r="ARI108" s="267"/>
      <c r="ARJ108" s="267"/>
      <c r="ARK108" s="267"/>
      <c r="ARL108" s="267"/>
      <c r="ARM108" s="267"/>
      <c r="ARN108" s="267"/>
      <c r="ARO108" s="267"/>
      <c r="ARP108" s="267"/>
      <c r="ARQ108" s="267"/>
      <c r="ARR108" s="267"/>
      <c r="ARS108" s="267"/>
      <c r="ART108" s="267"/>
      <c r="ARU108" s="267"/>
      <c r="ARV108" s="267"/>
      <c r="ARW108" s="267"/>
      <c r="ARX108" s="267"/>
      <c r="ARY108" s="267"/>
      <c r="ARZ108" s="267"/>
      <c r="ASA108" s="267"/>
      <c r="ASB108" s="267"/>
      <c r="ASC108" s="267"/>
      <c r="ASD108" s="267"/>
      <c r="ASE108" s="267"/>
      <c r="ASF108" s="267"/>
      <c r="ASG108" s="267"/>
      <c r="ASH108" s="267"/>
      <c r="ASI108" s="267"/>
      <c r="ASJ108" s="267"/>
      <c r="ASK108" s="267"/>
      <c r="ASL108" s="267"/>
      <c r="ASM108" s="267"/>
      <c r="ASN108" s="267"/>
      <c r="ASO108" s="267"/>
      <c r="ASP108" s="267"/>
      <c r="ASQ108" s="267"/>
      <c r="ASR108" s="267"/>
      <c r="ASS108" s="267"/>
      <c r="AST108" s="267"/>
      <c r="ASU108" s="267"/>
      <c r="ASV108" s="267"/>
      <c r="ASW108" s="267"/>
      <c r="ASX108" s="267"/>
      <c r="ASY108" s="267"/>
      <c r="ASZ108" s="267"/>
      <c r="ATA108" s="267"/>
      <c r="ATB108" s="267"/>
      <c r="ATC108" s="267"/>
      <c r="ATD108" s="267"/>
      <c r="ATE108" s="267"/>
      <c r="ATF108" s="267"/>
      <c r="ATG108" s="267"/>
      <c r="ATH108" s="267"/>
      <c r="ATI108" s="267"/>
      <c r="ATJ108" s="267"/>
      <c r="ATK108" s="267"/>
      <c r="ATL108" s="267"/>
      <c r="ATM108" s="267"/>
      <c r="ATN108" s="267"/>
      <c r="ATO108" s="267"/>
      <c r="ATP108" s="267"/>
      <c r="ATQ108" s="267"/>
      <c r="ATR108" s="267"/>
      <c r="ATS108" s="267"/>
      <c r="ATT108" s="267"/>
      <c r="ATU108" s="267"/>
      <c r="ATV108" s="267"/>
      <c r="ATW108" s="267"/>
      <c r="ATX108" s="267"/>
      <c r="ATY108" s="267"/>
      <c r="ATZ108" s="267"/>
      <c r="AUA108" s="267"/>
      <c r="AUB108" s="267"/>
      <c r="AUC108" s="267"/>
      <c r="AUD108" s="267"/>
      <c r="AUE108" s="267"/>
      <c r="AUF108" s="267"/>
      <c r="AUG108" s="267"/>
      <c r="AUH108" s="267"/>
      <c r="AUI108" s="267"/>
      <c r="AUJ108" s="267"/>
      <c r="AUK108" s="267"/>
      <c r="AUL108" s="267"/>
      <c r="AUM108" s="267"/>
      <c r="AUN108" s="267"/>
      <c r="AUO108" s="267"/>
      <c r="AUP108" s="267"/>
      <c r="AUQ108" s="267"/>
      <c r="AUR108" s="267"/>
      <c r="AUS108" s="267"/>
      <c r="AUT108" s="267"/>
      <c r="AUU108" s="267"/>
      <c r="AUV108" s="267"/>
      <c r="AUW108" s="267"/>
      <c r="AUX108" s="267"/>
      <c r="AUY108" s="267"/>
      <c r="AUZ108" s="267"/>
      <c r="AVA108" s="267"/>
      <c r="AVB108" s="267"/>
      <c r="AVC108" s="267"/>
      <c r="AVD108" s="267"/>
      <c r="AVE108" s="267"/>
      <c r="AVF108" s="267"/>
      <c r="AVG108" s="267"/>
      <c r="AVH108" s="267"/>
      <c r="AVI108" s="267"/>
      <c r="AVJ108" s="267"/>
      <c r="AVK108" s="267"/>
      <c r="AVL108" s="267"/>
      <c r="AVM108" s="267"/>
      <c r="AVN108" s="267"/>
      <c r="AVO108" s="267"/>
      <c r="AVP108" s="267"/>
      <c r="AVQ108" s="267"/>
      <c r="AVR108" s="267"/>
      <c r="AVS108" s="267"/>
      <c r="AVT108" s="267"/>
      <c r="AVU108" s="267"/>
      <c r="AVV108" s="267"/>
      <c r="AVW108" s="267"/>
      <c r="AVX108" s="267"/>
      <c r="AVY108" s="267"/>
      <c r="AVZ108" s="267"/>
      <c r="AWA108" s="267"/>
      <c r="AWB108" s="267"/>
      <c r="AWC108" s="267"/>
      <c r="AWD108" s="267"/>
      <c r="AWE108" s="267"/>
      <c r="AWF108" s="267"/>
      <c r="AWG108" s="267"/>
      <c r="AWH108" s="267"/>
      <c r="AWI108" s="267"/>
      <c r="AWJ108" s="267"/>
      <c r="AWK108" s="267"/>
      <c r="AWL108" s="267"/>
      <c r="AWM108" s="267"/>
      <c r="AWN108" s="267"/>
      <c r="AWO108" s="267"/>
      <c r="AWP108" s="267"/>
      <c r="AWQ108" s="267"/>
      <c r="AWR108" s="267"/>
      <c r="AWS108" s="267"/>
      <c r="AWT108" s="267"/>
      <c r="AWU108" s="267"/>
      <c r="AWV108" s="267"/>
      <c r="AWW108" s="267"/>
      <c r="AWX108" s="267"/>
      <c r="AWY108" s="267"/>
      <c r="AWZ108" s="267"/>
      <c r="AXA108" s="267"/>
      <c r="AXB108" s="267"/>
      <c r="AXC108" s="267"/>
      <c r="AXD108" s="267"/>
      <c r="AXE108" s="267"/>
      <c r="AXF108" s="267"/>
      <c r="AXG108" s="267"/>
      <c r="AXH108" s="267"/>
      <c r="AXI108" s="267"/>
      <c r="AXJ108" s="267"/>
      <c r="AXK108" s="267"/>
      <c r="AXL108" s="267"/>
      <c r="AXM108" s="267"/>
      <c r="AXN108" s="267"/>
      <c r="AXO108" s="267"/>
      <c r="AXP108" s="267"/>
      <c r="AXQ108" s="267"/>
      <c r="AXR108" s="267"/>
      <c r="AXS108" s="267"/>
      <c r="AXT108" s="267"/>
      <c r="AXU108" s="267"/>
      <c r="AXV108" s="267"/>
      <c r="AXW108" s="267"/>
      <c r="AXX108" s="267"/>
      <c r="AXY108" s="267"/>
      <c r="AXZ108" s="267"/>
      <c r="AYA108" s="267"/>
      <c r="AYB108" s="267"/>
      <c r="AYC108" s="267"/>
      <c r="AYD108" s="267"/>
      <c r="AYE108" s="267"/>
      <c r="AYF108" s="267"/>
      <c r="AYG108" s="267"/>
      <c r="AYH108" s="267"/>
      <c r="AYI108" s="267"/>
      <c r="AYJ108" s="267"/>
      <c r="AYK108" s="267"/>
      <c r="AYL108" s="267"/>
      <c r="AYM108" s="267"/>
      <c r="AYN108" s="267"/>
      <c r="AYO108" s="267"/>
      <c r="AYP108" s="267"/>
      <c r="AYQ108" s="267"/>
      <c r="AYR108" s="267"/>
      <c r="AYS108" s="267"/>
      <c r="AYT108" s="267"/>
      <c r="AYU108" s="267"/>
      <c r="AYV108" s="267"/>
      <c r="AYW108" s="267"/>
      <c r="AYX108" s="267"/>
      <c r="AYY108" s="267"/>
      <c r="AYZ108" s="267"/>
      <c r="AZA108" s="267"/>
      <c r="AZB108" s="267"/>
      <c r="AZC108" s="267"/>
      <c r="AZD108" s="267"/>
      <c r="AZE108" s="267"/>
      <c r="AZF108" s="267"/>
      <c r="AZG108" s="267"/>
      <c r="AZH108" s="267"/>
      <c r="AZI108" s="267"/>
      <c r="AZJ108" s="267"/>
      <c r="AZK108" s="267"/>
      <c r="AZL108" s="267"/>
      <c r="AZM108" s="267"/>
      <c r="AZN108" s="267"/>
      <c r="AZO108" s="267"/>
      <c r="AZP108" s="267"/>
      <c r="AZQ108" s="267"/>
      <c r="AZR108" s="267"/>
      <c r="AZS108" s="267"/>
      <c r="AZT108" s="267"/>
      <c r="AZU108" s="267"/>
      <c r="AZV108" s="267"/>
      <c r="AZW108" s="267"/>
      <c r="AZX108" s="267"/>
      <c r="AZY108" s="267"/>
      <c r="AZZ108" s="267"/>
      <c r="BAA108" s="267"/>
      <c r="BAB108" s="267"/>
      <c r="BAC108" s="267"/>
      <c r="BAD108" s="267"/>
      <c r="BAE108" s="267"/>
      <c r="BAF108" s="267"/>
      <c r="BAG108" s="267"/>
      <c r="BAH108" s="267"/>
      <c r="BAI108" s="267"/>
      <c r="BAJ108" s="267"/>
      <c r="BAK108" s="267"/>
      <c r="BAL108" s="267"/>
      <c r="BAM108" s="267"/>
      <c r="BAN108" s="267"/>
      <c r="BAO108" s="267"/>
      <c r="BAP108" s="267"/>
      <c r="BAQ108" s="267"/>
      <c r="BAR108" s="267"/>
      <c r="BAS108" s="267"/>
      <c r="BAT108" s="267"/>
      <c r="BAU108" s="267"/>
      <c r="BAV108" s="267"/>
      <c r="BAW108" s="267"/>
      <c r="BAX108" s="267"/>
      <c r="BAY108" s="267"/>
      <c r="BAZ108" s="267"/>
      <c r="BBA108" s="267"/>
      <c r="BBB108" s="267"/>
      <c r="BBC108" s="267"/>
      <c r="BBD108" s="267"/>
      <c r="BBE108" s="267"/>
      <c r="BBF108" s="267"/>
      <c r="BBG108" s="267"/>
      <c r="BBH108" s="267"/>
      <c r="BBI108" s="267"/>
      <c r="BBJ108" s="267"/>
      <c r="BBK108" s="267"/>
      <c r="BBL108" s="267"/>
      <c r="BBM108" s="267"/>
      <c r="BBN108" s="267"/>
      <c r="BBO108" s="267"/>
      <c r="BBP108" s="267"/>
      <c r="BBQ108" s="267"/>
      <c r="BBR108" s="267"/>
      <c r="BBS108" s="267"/>
      <c r="BBT108" s="267"/>
      <c r="BBU108" s="267"/>
      <c r="BBV108" s="267"/>
      <c r="BBW108" s="267"/>
      <c r="BBX108" s="267"/>
      <c r="BBY108" s="267"/>
      <c r="BBZ108" s="267"/>
      <c r="BCA108" s="267"/>
      <c r="BCB108" s="267"/>
      <c r="BCC108" s="267"/>
      <c r="BCD108" s="267"/>
      <c r="BCE108" s="267"/>
      <c r="BCF108" s="267"/>
      <c r="BCG108" s="267"/>
      <c r="BCH108" s="267"/>
      <c r="BCI108" s="267"/>
      <c r="BCJ108" s="267"/>
      <c r="BCK108" s="267"/>
      <c r="BCL108" s="267"/>
      <c r="BCM108" s="267"/>
      <c r="BCN108" s="267"/>
      <c r="BCO108" s="267"/>
      <c r="BCP108" s="267"/>
      <c r="BCQ108" s="267"/>
      <c r="BCR108" s="267"/>
      <c r="BCS108" s="267"/>
      <c r="BCT108" s="267"/>
      <c r="BCU108" s="267"/>
      <c r="BCV108" s="267"/>
      <c r="BCW108" s="267"/>
      <c r="BCX108" s="267"/>
      <c r="BCY108" s="267"/>
      <c r="BCZ108" s="267"/>
      <c r="BDA108" s="267"/>
      <c r="BDB108" s="267"/>
      <c r="BDC108" s="267"/>
      <c r="BDD108" s="267"/>
      <c r="BDE108" s="267"/>
      <c r="BDF108" s="267"/>
      <c r="BDG108" s="267"/>
      <c r="BDH108" s="267"/>
      <c r="BDI108" s="267"/>
      <c r="BDJ108" s="267"/>
      <c r="BDK108" s="267"/>
      <c r="BDL108" s="267"/>
      <c r="BDM108" s="267"/>
      <c r="BDN108" s="267"/>
      <c r="BDO108" s="267"/>
      <c r="BDP108" s="267"/>
      <c r="BDQ108" s="267"/>
      <c r="BDR108" s="267"/>
      <c r="BDS108" s="267"/>
      <c r="BDT108" s="267"/>
      <c r="BDU108" s="267"/>
      <c r="BDV108" s="267"/>
      <c r="BDW108" s="267"/>
      <c r="BDX108" s="267"/>
      <c r="BDY108" s="267"/>
      <c r="BDZ108" s="267"/>
      <c r="BEA108" s="267"/>
      <c r="BEB108" s="267"/>
      <c r="BEC108" s="267"/>
      <c r="BED108" s="267"/>
      <c r="BEE108" s="267"/>
      <c r="BEF108" s="267"/>
      <c r="BEG108" s="267"/>
      <c r="BEH108" s="267"/>
      <c r="BEI108" s="267"/>
      <c r="BEJ108" s="267"/>
      <c r="BEK108" s="267"/>
      <c r="BEL108" s="267"/>
      <c r="BEM108" s="267"/>
      <c r="BEN108" s="267"/>
      <c r="BEO108" s="267"/>
      <c r="BEP108" s="267"/>
      <c r="BEQ108" s="267"/>
      <c r="BER108" s="267"/>
      <c r="BES108" s="267"/>
      <c r="BET108" s="267"/>
      <c r="BEU108" s="267"/>
      <c r="BEV108" s="267"/>
      <c r="BEW108" s="267"/>
      <c r="BEX108" s="267"/>
      <c r="BEY108" s="267"/>
      <c r="BEZ108" s="267"/>
      <c r="BFA108" s="267"/>
      <c r="BFB108" s="267"/>
      <c r="BFC108" s="267"/>
      <c r="BFD108" s="267"/>
      <c r="BFE108" s="267"/>
      <c r="BFF108" s="267"/>
      <c r="BFG108" s="267"/>
      <c r="BFH108" s="267"/>
      <c r="BFI108" s="267"/>
      <c r="BFJ108" s="267"/>
      <c r="BFK108" s="267"/>
      <c r="BFL108" s="267"/>
      <c r="BFM108" s="267"/>
      <c r="BFN108" s="267"/>
      <c r="BFO108" s="267"/>
      <c r="BFP108" s="267"/>
      <c r="BFQ108" s="267"/>
      <c r="BFR108" s="267"/>
      <c r="BFS108" s="267"/>
      <c r="BFT108" s="267"/>
      <c r="BFU108" s="267"/>
      <c r="BFV108" s="267"/>
      <c r="BFW108" s="267"/>
      <c r="BFX108" s="267"/>
      <c r="BFY108" s="267"/>
      <c r="BFZ108" s="267"/>
      <c r="BGA108" s="267"/>
      <c r="BGB108" s="267"/>
      <c r="BGC108" s="267"/>
      <c r="BGD108" s="267"/>
      <c r="BGE108" s="267"/>
      <c r="BGF108" s="267"/>
      <c r="BGG108" s="267"/>
      <c r="BGH108" s="267"/>
      <c r="BGI108" s="267"/>
      <c r="BGJ108" s="267"/>
      <c r="BGK108" s="267"/>
      <c r="BGL108" s="267"/>
      <c r="BGM108" s="267"/>
      <c r="BGN108" s="267"/>
      <c r="BGO108" s="267"/>
      <c r="BGP108" s="267"/>
      <c r="BGQ108" s="267"/>
      <c r="BGR108" s="267"/>
      <c r="BGS108" s="267"/>
      <c r="BGT108" s="267"/>
      <c r="BGU108" s="267"/>
      <c r="BGV108" s="267"/>
      <c r="BGW108" s="267"/>
      <c r="BGX108" s="267"/>
      <c r="BGY108" s="267"/>
      <c r="BGZ108" s="267"/>
      <c r="BHA108" s="267"/>
      <c r="BHB108" s="267"/>
      <c r="BHC108" s="267"/>
      <c r="BHD108" s="267"/>
      <c r="BHE108" s="267"/>
      <c r="BHF108" s="267"/>
      <c r="BHG108" s="267"/>
      <c r="BHH108" s="267"/>
      <c r="BHI108" s="267"/>
      <c r="BHJ108" s="267"/>
      <c r="BHK108" s="267"/>
      <c r="BHL108" s="267"/>
      <c r="BHM108" s="267"/>
      <c r="BHN108" s="267"/>
      <c r="BHO108" s="267"/>
      <c r="BHP108" s="267"/>
      <c r="BHQ108" s="267"/>
      <c r="BHR108" s="267"/>
      <c r="BHS108" s="267"/>
      <c r="BHT108" s="267"/>
      <c r="BHU108" s="267"/>
      <c r="BHV108" s="267"/>
      <c r="BHW108" s="267"/>
      <c r="BHX108" s="267"/>
      <c r="BHY108" s="267"/>
      <c r="BHZ108" s="267"/>
      <c r="BIA108" s="267"/>
      <c r="BIB108" s="267"/>
      <c r="BIC108" s="267"/>
      <c r="BID108" s="267"/>
      <c r="BIE108" s="267"/>
      <c r="BIF108" s="267"/>
      <c r="BIG108" s="267"/>
      <c r="BIH108" s="267"/>
      <c r="BII108" s="267"/>
      <c r="BIJ108" s="267"/>
      <c r="BIK108" s="267"/>
      <c r="BIL108" s="267"/>
      <c r="BIM108" s="267"/>
      <c r="BIN108" s="267"/>
      <c r="BIO108" s="267"/>
      <c r="BIP108" s="267"/>
      <c r="BIQ108" s="267"/>
      <c r="BIR108" s="267"/>
      <c r="BIS108" s="267"/>
      <c r="BIT108" s="267"/>
      <c r="BIU108" s="267"/>
      <c r="BIV108" s="267"/>
      <c r="BIW108" s="267"/>
      <c r="BIX108" s="267"/>
      <c r="BIY108" s="267"/>
      <c r="BIZ108" s="267"/>
      <c r="BJA108" s="267"/>
      <c r="BJB108" s="267"/>
      <c r="BJC108" s="267"/>
      <c r="BJD108" s="267"/>
      <c r="BJE108" s="267"/>
      <c r="BJF108" s="267"/>
      <c r="BJG108" s="267"/>
      <c r="BJH108" s="267"/>
      <c r="BJI108" s="267"/>
      <c r="BJJ108" s="267"/>
      <c r="BJK108" s="267"/>
      <c r="BJL108" s="267"/>
      <c r="BJM108" s="267"/>
      <c r="BJN108" s="267"/>
      <c r="BJO108" s="267"/>
      <c r="BJP108" s="267"/>
      <c r="BJQ108" s="267"/>
      <c r="BJR108" s="267"/>
      <c r="BJS108" s="267"/>
      <c r="BJT108" s="267"/>
      <c r="BJU108" s="267"/>
      <c r="BJV108" s="267"/>
      <c r="BJW108" s="267"/>
      <c r="BJX108" s="267"/>
      <c r="BJY108" s="267"/>
      <c r="BJZ108" s="267"/>
      <c r="BKA108" s="267"/>
      <c r="BKB108" s="267"/>
      <c r="BKC108" s="267"/>
      <c r="BKD108" s="267"/>
      <c r="BKE108" s="267"/>
      <c r="BKF108" s="267"/>
      <c r="BKG108" s="267"/>
      <c r="BKH108" s="267"/>
      <c r="BKI108" s="267"/>
      <c r="BKJ108" s="267"/>
      <c r="BKK108" s="267"/>
      <c r="BKL108" s="267"/>
      <c r="BKM108" s="267"/>
      <c r="BKN108" s="267"/>
      <c r="BKO108" s="267"/>
      <c r="BKP108" s="267"/>
      <c r="BKQ108" s="267"/>
      <c r="BKR108" s="267"/>
      <c r="BKS108" s="267"/>
      <c r="BKT108" s="267"/>
      <c r="BKU108" s="267"/>
      <c r="BKV108" s="267"/>
      <c r="BKW108" s="267"/>
      <c r="BKX108" s="267"/>
      <c r="BKY108" s="267"/>
      <c r="BKZ108" s="267"/>
      <c r="BLA108" s="267"/>
      <c r="BLB108" s="267"/>
      <c r="BLC108" s="267"/>
      <c r="BLD108" s="267"/>
      <c r="BLE108" s="267"/>
      <c r="BLF108" s="267"/>
      <c r="BLG108" s="267"/>
      <c r="BLH108" s="267"/>
      <c r="BLI108" s="267"/>
      <c r="BLJ108" s="267"/>
      <c r="BLK108" s="267"/>
      <c r="BLL108" s="267"/>
      <c r="BLM108" s="267"/>
      <c r="BLN108" s="267"/>
      <c r="BLO108" s="267"/>
      <c r="BLP108" s="267"/>
      <c r="BLQ108" s="267"/>
      <c r="BLR108" s="267"/>
      <c r="BLS108" s="267"/>
      <c r="BLT108" s="267"/>
      <c r="BLU108" s="267"/>
      <c r="BLV108" s="267"/>
      <c r="BLW108" s="267"/>
      <c r="BLX108" s="267"/>
      <c r="BLY108" s="267"/>
      <c r="BLZ108" s="267"/>
      <c r="BMA108" s="267"/>
      <c r="BMB108" s="267"/>
      <c r="BMC108" s="267"/>
      <c r="BMD108" s="267"/>
      <c r="BME108" s="267"/>
      <c r="BMF108" s="267"/>
      <c r="BMG108" s="267"/>
      <c r="BMH108" s="267"/>
      <c r="BMI108" s="267"/>
      <c r="BMJ108" s="267"/>
      <c r="BMK108" s="267"/>
      <c r="BML108" s="267"/>
      <c r="BMM108" s="267"/>
      <c r="BMN108" s="267"/>
      <c r="BMO108" s="267"/>
      <c r="BMP108" s="267"/>
      <c r="BMQ108" s="267"/>
      <c r="BMR108" s="267"/>
      <c r="BMS108" s="267"/>
      <c r="BMT108" s="267"/>
      <c r="BMU108" s="267"/>
      <c r="BMV108" s="267"/>
      <c r="BMW108" s="267"/>
      <c r="BMX108" s="267"/>
      <c r="BMY108" s="267"/>
      <c r="BMZ108" s="267"/>
      <c r="BNA108" s="267"/>
      <c r="BNB108" s="267"/>
      <c r="BNC108" s="267"/>
      <c r="BND108" s="267"/>
      <c r="BNE108" s="267"/>
      <c r="BNF108" s="267"/>
      <c r="BNG108" s="267"/>
      <c r="BNH108" s="267"/>
      <c r="BNI108" s="267"/>
      <c r="BNJ108" s="267"/>
      <c r="BNK108" s="267"/>
      <c r="BNL108" s="267"/>
      <c r="BNM108" s="267"/>
      <c r="BNN108" s="267"/>
      <c r="BNO108" s="267"/>
      <c r="BNP108" s="267"/>
      <c r="BNQ108" s="267"/>
      <c r="BNR108" s="267"/>
      <c r="BNS108" s="267"/>
      <c r="BNT108" s="267"/>
      <c r="BNU108" s="267"/>
      <c r="BNV108" s="267"/>
      <c r="BNW108" s="267"/>
      <c r="BNX108" s="267"/>
      <c r="BNY108" s="267"/>
      <c r="BNZ108" s="267"/>
      <c r="BOA108" s="267"/>
      <c r="BOB108" s="267"/>
      <c r="BOC108" s="267"/>
      <c r="BOD108" s="267"/>
      <c r="BOE108" s="267"/>
      <c r="BOF108" s="267"/>
      <c r="BOG108" s="267"/>
      <c r="BOH108" s="267"/>
      <c r="BOI108" s="267"/>
      <c r="BOJ108" s="267"/>
      <c r="BOK108" s="267"/>
      <c r="BOL108" s="267"/>
      <c r="BOM108" s="267"/>
      <c r="BON108" s="267"/>
      <c r="BOO108" s="267"/>
      <c r="BOP108" s="267"/>
      <c r="BOQ108" s="267"/>
      <c r="BOR108" s="267"/>
      <c r="BOS108" s="267"/>
      <c r="BOT108" s="267"/>
      <c r="BOU108" s="267"/>
      <c r="BOV108" s="267"/>
      <c r="BOW108" s="267"/>
      <c r="BOX108" s="267"/>
      <c r="BOY108" s="267"/>
      <c r="BOZ108" s="267"/>
      <c r="BPA108" s="267"/>
      <c r="BPB108" s="267"/>
      <c r="BPC108" s="267"/>
      <c r="BPD108" s="267"/>
      <c r="BPE108" s="267"/>
      <c r="BPF108" s="267"/>
      <c r="BPG108" s="267"/>
      <c r="BPH108" s="267"/>
      <c r="BPI108" s="267"/>
      <c r="BPJ108" s="267"/>
      <c r="BPK108" s="267"/>
      <c r="BPL108" s="267"/>
      <c r="BPM108" s="267"/>
      <c r="BPN108" s="267"/>
      <c r="BPO108" s="267"/>
      <c r="BPP108" s="267"/>
      <c r="BPQ108" s="267"/>
      <c r="BPR108" s="267"/>
      <c r="BPS108" s="267"/>
      <c r="BPT108" s="267"/>
      <c r="BPU108" s="267"/>
      <c r="BPV108" s="267"/>
      <c r="BPW108" s="267"/>
      <c r="BPX108" s="267"/>
      <c r="BPY108" s="267"/>
      <c r="BPZ108" s="267"/>
      <c r="BQA108" s="267"/>
      <c r="BQB108" s="267"/>
      <c r="BQC108" s="267"/>
      <c r="BQD108" s="267"/>
      <c r="BQE108" s="267"/>
      <c r="BQF108" s="267"/>
      <c r="BQG108" s="267"/>
      <c r="BQH108" s="267"/>
      <c r="BQI108" s="267"/>
      <c r="BQJ108" s="267"/>
      <c r="BQK108" s="267"/>
      <c r="BQL108" s="267"/>
      <c r="BQM108" s="267"/>
      <c r="BQN108" s="267"/>
      <c r="BQO108" s="267"/>
      <c r="BQP108" s="267"/>
      <c r="BQQ108" s="267"/>
      <c r="BQR108" s="267"/>
      <c r="BQS108" s="267"/>
      <c r="BQT108" s="267"/>
      <c r="BQU108" s="267"/>
      <c r="BQV108" s="267"/>
      <c r="BQW108" s="267"/>
      <c r="BQX108" s="267"/>
      <c r="BQY108" s="267"/>
      <c r="BQZ108" s="267"/>
      <c r="BRA108" s="267"/>
      <c r="BRB108" s="267"/>
      <c r="BRC108" s="267"/>
      <c r="BRD108" s="267"/>
      <c r="BRE108" s="267"/>
      <c r="BRF108" s="267"/>
      <c r="BRG108" s="267"/>
      <c r="BRH108" s="267"/>
      <c r="BRI108" s="267"/>
      <c r="BRJ108" s="267"/>
      <c r="BRK108" s="267"/>
      <c r="BRL108" s="267"/>
      <c r="BRM108" s="267"/>
      <c r="BRN108" s="267"/>
      <c r="BRO108" s="267"/>
      <c r="BRP108" s="267"/>
      <c r="BRQ108" s="267"/>
      <c r="BRR108" s="267"/>
      <c r="BRS108" s="267"/>
      <c r="BRT108" s="267"/>
      <c r="BRU108" s="267"/>
      <c r="BRV108" s="267"/>
      <c r="BRW108" s="267"/>
      <c r="BRX108" s="267"/>
      <c r="BRY108" s="267"/>
      <c r="BRZ108" s="267"/>
      <c r="BSA108" s="267"/>
      <c r="BSB108" s="267"/>
      <c r="BSC108" s="267"/>
      <c r="BSD108" s="267"/>
      <c r="BSE108" s="267"/>
      <c r="BSF108" s="267"/>
      <c r="BSG108" s="267"/>
      <c r="BSH108" s="267"/>
      <c r="BSI108" s="267"/>
      <c r="BSJ108" s="267"/>
      <c r="BSK108" s="267"/>
      <c r="BSL108" s="267"/>
      <c r="BSM108" s="267"/>
      <c r="BSN108" s="267"/>
      <c r="BSO108" s="267"/>
      <c r="BSP108" s="267"/>
      <c r="BSQ108" s="267"/>
      <c r="BSR108" s="267"/>
      <c r="BSS108" s="267"/>
      <c r="BST108" s="267"/>
      <c r="BSU108" s="267"/>
      <c r="BSV108" s="267"/>
      <c r="BSW108" s="267"/>
      <c r="BSX108" s="267"/>
      <c r="BSY108" s="267"/>
      <c r="BSZ108" s="267"/>
      <c r="BTA108" s="267"/>
      <c r="BTB108" s="267"/>
      <c r="BTC108" s="267"/>
      <c r="BTD108" s="267"/>
      <c r="BTE108" s="267"/>
      <c r="BTF108" s="267"/>
      <c r="BTG108" s="267"/>
      <c r="BTH108" s="267"/>
      <c r="BTI108" s="267"/>
      <c r="BTJ108" s="267"/>
      <c r="BTK108" s="267"/>
      <c r="BTL108" s="267"/>
      <c r="BTM108" s="267"/>
      <c r="BTN108" s="267"/>
      <c r="BTO108" s="267"/>
      <c r="BTP108" s="267"/>
      <c r="BTQ108" s="267"/>
      <c r="BTR108" s="267"/>
      <c r="BTS108" s="267"/>
      <c r="BTT108" s="267"/>
      <c r="BTU108" s="267"/>
      <c r="BTV108" s="267"/>
      <c r="BTW108" s="267"/>
      <c r="BTX108" s="267"/>
      <c r="BTY108" s="267"/>
      <c r="BTZ108" s="267"/>
      <c r="BUA108" s="267"/>
      <c r="BUB108" s="267"/>
      <c r="BUC108" s="267"/>
      <c r="BUD108" s="267"/>
      <c r="BUE108" s="267"/>
      <c r="BUF108" s="267"/>
      <c r="BUG108" s="267"/>
      <c r="BUH108" s="267"/>
      <c r="BUI108" s="267"/>
      <c r="BUJ108" s="267"/>
      <c r="BUK108" s="267"/>
      <c r="BUL108" s="267"/>
      <c r="BUM108" s="267"/>
      <c r="BUN108" s="267"/>
      <c r="BUO108" s="267"/>
      <c r="BUP108" s="267"/>
      <c r="BUQ108" s="267"/>
      <c r="BUR108" s="267"/>
      <c r="BUS108" s="267"/>
      <c r="BUT108" s="267"/>
      <c r="BUU108" s="267"/>
      <c r="BUV108" s="267"/>
      <c r="BUW108" s="267"/>
      <c r="BUX108" s="267"/>
      <c r="BUY108" s="267"/>
      <c r="BUZ108" s="267"/>
      <c r="BVA108" s="267"/>
      <c r="BVB108" s="267"/>
      <c r="BVC108" s="267"/>
      <c r="BVD108" s="267"/>
      <c r="BVE108" s="267"/>
      <c r="BVF108" s="267"/>
      <c r="BVG108" s="267"/>
      <c r="BVH108" s="267"/>
      <c r="BVI108" s="267"/>
      <c r="BVJ108" s="267"/>
      <c r="BVK108" s="267"/>
      <c r="BVL108" s="267"/>
      <c r="BVM108" s="267"/>
      <c r="BVN108" s="267"/>
      <c r="BVO108" s="267"/>
      <c r="BVP108" s="267"/>
      <c r="BVQ108" s="267"/>
      <c r="BVR108" s="267"/>
      <c r="BVS108" s="267"/>
      <c r="BVT108" s="267"/>
      <c r="BVU108" s="267"/>
      <c r="BVV108" s="267"/>
      <c r="BVW108" s="267"/>
      <c r="BVX108" s="267"/>
      <c r="BVY108" s="267"/>
      <c r="BVZ108" s="267"/>
      <c r="BWA108" s="267"/>
      <c r="BWB108" s="267"/>
      <c r="BWC108" s="267"/>
      <c r="BWD108" s="267"/>
      <c r="BWE108" s="267"/>
      <c r="BWF108" s="267"/>
      <c r="BWG108" s="267"/>
      <c r="BWH108" s="267"/>
      <c r="BWI108" s="267"/>
      <c r="BWJ108" s="267"/>
      <c r="BWK108" s="267"/>
      <c r="BWL108" s="267"/>
      <c r="BWM108" s="267"/>
      <c r="BWN108" s="267"/>
      <c r="BWO108" s="267"/>
      <c r="BWP108" s="267"/>
      <c r="BWQ108" s="267"/>
      <c r="BWR108" s="267"/>
      <c r="BWS108" s="267"/>
      <c r="BWT108" s="267"/>
      <c r="BWU108" s="267"/>
      <c r="BWV108" s="267"/>
      <c r="BWW108" s="267"/>
      <c r="BWX108" s="267"/>
      <c r="BWY108" s="267"/>
      <c r="BWZ108" s="267"/>
      <c r="BXA108" s="267"/>
      <c r="BXB108" s="267"/>
      <c r="BXC108" s="267"/>
      <c r="BXD108" s="267"/>
      <c r="BXE108" s="267"/>
      <c r="BXF108" s="267"/>
      <c r="BXG108" s="267"/>
      <c r="BXH108" s="267"/>
      <c r="BXI108" s="267"/>
      <c r="BXJ108" s="267"/>
      <c r="BXK108" s="267"/>
      <c r="BXL108" s="267"/>
      <c r="BXM108" s="267"/>
      <c r="BXN108" s="267"/>
      <c r="BXO108" s="267"/>
      <c r="BXP108" s="267"/>
      <c r="BXQ108" s="267"/>
      <c r="BXR108" s="267"/>
      <c r="BXS108" s="267"/>
      <c r="BXT108" s="267"/>
      <c r="BXU108" s="267"/>
      <c r="BXV108" s="267"/>
      <c r="BXW108" s="267"/>
      <c r="BXX108" s="267"/>
      <c r="BXY108" s="267"/>
      <c r="BXZ108" s="267"/>
      <c r="BYA108" s="267"/>
      <c r="BYB108" s="267"/>
      <c r="BYC108" s="267"/>
      <c r="BYD108" s="267"/>
      <c r="BYE108" s="267"/>
      <c r="BYF108" s="267"/>
      <c r="BYG108" s="267"/>
      <c r="BYH108" s="267"/>
      <c r="BYI108" s="267"/>
      <c r="BYJ108" s="267"/>
      <c r="BYK108" s="267"/>
      <c r="BYL108" s="267"/>
      <c r="BYM108" s="267"/>
      <c r="BYN108" s="267"/>
      <c r="BYO108" s="267"/>
      <c r="BYP108" s="267"/>
      <c r="BYQ108" s="267"/>
      <c r="BYR108" s="267"/>
      <c r="BYS108" s="267"/>
      <c r="BYT108" s="267"/>
      <c r="BYU108" s="267"/>
      <c r="BYV108" s="267"/>
      <c r="BYW108" s="267"/>
      <c r="BYX108" s="267"/>
      <c r="BYY108" s="267"/>
      <c r="BYZ108" s="267"/>
      <c r="BZA108" s="267"/>
      <c r="BZB108" s="267"/>
      <c r="BZC108" s="267"/>
      <c r="BZD108" s="267"/>
      <c r="BZE108" s="267"/>
      <c r="BZF108" s="267"/>
      <c r="BZG108" s="267"/>
      <c r="BZH108" s="267"/>
      <c r="BZI108" s="267"/>
      <c r="BZJ108" s="267"/>
      <c r="BZK108" s="267"/>
      <c r="BZL108" s="267"/>
      <c r="BZM108" s="267"/>
      <c r="BZN108" s="267"/>
      <c r="BZO108" s="267"/>
      <c r="BZP108" s="267"/>
      <c r="BZQ108" s="267"/>
      <c r="BZR108" s="267"/>
      <c r="BZS108" s="267"/>
      <c r="BZT108" s="267"/>
      <c r="BZU108" s="267"/>
      <c r="BZV108" s="267"/>
      <c r="BZW108" s="267"/>
      <c r="BZX108" s="267"/>
      <c r="BZY108" s="267"/>
      <c r="BZZ108" s="267"/>
      <c r="CAA108" s="267"/>
      <c r="CAB108" s="267"/>
      <c r="CAC108" s="267"/>
      <c r="CAD108" s="267"/>
      <c r="CAE108" s="267"/>
      <c r="CAF108" s="267"/>
      <c r="CAG108" s="267"/>
      <c r="CAH108" s="267"/>
      <c r="CAI108" s="267"/>
      <c r="CAJ108" s="267"/>
      <c r="CAK108" s="267"/>
      <c r="CAL108" s="267"/>
      <c r="CAM108" s="267"/>
      <c r="CAN108" s="267"/>
      <c r="CAO108" s="267"/>
      <c r="CAP108" s="267"/>
      <c r="CAQ108" s="267"/>
      <c r="CAR108" s="267"/>
      <c r="CAS108" s="267"/>
      <c r="CAT108" s="267"/>
      <c r="CAU108" s="267"/>
      <c r="CAV108" s="267"/>
      <c r="CAW108" s="267"/>
      <c r="CAX108" s="267"/>
      <c r="CAY108" s="267"/>
      <c r="CAZ108" s="267"/>
      <c r="CBA108" s="267"/>
      <c r="CBB108" s="267"/>
      <c r="CBC108" s="267"/>
      <c r="CBD108" s="267"/>
      <c r="CBE108" s="267"/>
      <c r="CBF108" s="267"/>
      <c r="CBG108" s="267"/>
      <c r="CBH108" s="267"/>
      <c r="CBI108" s="267"/>
      <c r="CBJ108" s="267"/>
      <c r="CBK108" s="267"/>
      <c r="CBL108" s="267"/>
      <c r="CBM108" s="267"/>
      <c r="CBN108" s="267"/>
      <c r="CBO108" s="267"/>
      <c r="CBP108" s="267"/>
      <c r="CBQ108" s="267"/>
      <c r="CBR108" s="267"/>
      <c r="CBS108" s="267"/>
      <c r="CBT108" s="267"/>
      <c r="CBU108" s="267"/>
      <c r="CBV108" s="267"/>
      <c r="CBW108" s="267"/>
      <c r="CBX108" s="267"/>
      <c r="CBY108" s="267"/>
      <c r="CBZ108" s="267"/>
      <c r="CCA108" s="267"/>
      <c r="CCB108" s="267"/>
      <c r="CCC108" s="267"/>
      <c r="CCD108" s="267"/>
      <c r="CCE108" s="267"/>
      <c r="CCF108" s="267"/>
      <c r="CCG108" s="267"/>
      <c r="CCH108" s="267"/>
      <c r="CCI108" s="267"/>
      <c r="CCJ108" s="267"/>
      <c r="CCK108" s="267"/>
      <c r="CCL108" s="267"/>
      <c r="CCM108" s="267"/>
      <c r="CCN108" s="267"/>
      <c r="CCO108" s="267"/>
      <c r="CCP108" s="267"/>
      <c r="CCQ108" s="267"/>
      <c r="CCR108" s="267"/>
      <c r="CCS108" s="267"/>
      <c r="CCT108" s="267"/>
      <c r="CCU108" s="267"/>
      <c r="CCV108" s="267"/>
      <c r="CCW108" s="267"/>
      <c r="CCX108" s="267"/>
      <c r="CCY108" s="267"/>
      <c r="CCZ108" s="267"/>
      <c r="CDA108" s="267"/>
      <c r="CDB108" s="267"/>
      <c r="CDC108" s="267"/>
      <c r="CDD108" s="267"/>
      <c r="CDE108" s="267"/>
      <c r="CDF108" s="267"/>
      <c r="CDG108" s="267"/>
      <c r="CDH108" s="267"/>
      <c r="CDI108" s="267"/>
      <c r="CDJ108" s="267"/>
      <c r="CDK108" s="267"/>
      <c r="CDL108" s="267"/>
      <c r="CDM108" s="267"/>
      <c r="CDN108" s="267"/>
      <c r="CDO108" s="267"/>
      <c r="CDP108" s="267"/>
      <c r="CDQ108" s="267"/>
      <c r="CDR108" s="267"/>
      <c r="CDS108" s="267"/>
      <c r="CDT108" s="267"/>
      <c r="CDU108" s="267"/>
      <c r="CDV108" s="267"/>
      <c r="CDW108" s="267"/>
      <c r="CDX108" s="267"/>
      <c r="CDY108" s="267"/>
      <c r="CDZ108" s="267"/>
      <c r="CEA108" s="267"/>
      <c r="CEB108" s="267"/>
      <c r="CEC108" s="267"/>
      <c r="CED108" s="267"/>
      <c r="CEE108" s="267"/>
      <c r="CEF108" s="267"/>
      <c r="CEG108" s="267"/>
      <c r="CEH108" s="267"/>
      <c r="CEI108" s="267"/>
      <c r="CEJ108" s="267"/>
      <c r="CEK108" s="267"/>
      <c r="CEL108" s="267"/>
      <c r="CEM108" s="267"/>
      <c r="CEN108" s="267"/>
      <c r="CEO108" s="267"/>
      <c r="CEP108" s="267"/>
      <c r="CEQ108" s="267"/>
      <c r="CER108" s="267"/>
      <c r="CES108" s="267"/>
      <c r="CET108" s="267"/>
      <c r="CEU108" s="267"/>
      <c r="CEV108" s="267"/>
      <c r="CEW108" s="267"/>
      <c r="CEX108" s="267"/>
      <c r="CEY108" s="267"/>
      <c r="CEZ108" s="267"/>
      <c r="CFA108" s="267"/>
      <c r="CFB108" s="267"/>
      <c r="CFC108" s="267"/>
      <c r="CFD108" s="267"/>
      <c r="CFE108" s="267"/>
      <c r="CFF108" s="267"/>
      <c r="CFG108" s="267"/>
      <c r="CFH108" s="267"/>
      <c r="CFI108" s="267"/>
      <c r="CFJ108" s="267"/>
      <c r="CFK108" s="267"/>
      <c r="CFL108" s="267"/>
      <c r="CFM108" s="267"/>
      <c r="CFN108" s="267"/>
      <c r="CFO108" s="267"/>
      <c r="CFP108" s="267"/>
      <c r="CFQ108" s="267"/>
      <c r="CFR108" s="267"/>
      <c r="CFS108" s="267"/>
      <c r="CFT108" s="267"/>
      <c r="CFU108" s="267"/>
      <c r="CFV108" s="267"/>
      <c r="CFW108" s="267"/>
      <c r="CFX108" s="267"/>
      <c r="CFY108" s="267"/>
      <c r="CFZ108" s="267"/>
      <c r="CGA108" s="267"/>
      <c r="CGB108" s="267"/>
      <c r="CGC108" s="267"/>
      <c r="CGD108" s="267"/>
      <c r="CGE108" s="267"/>
      <c r="CGF108" s="267"/>
      <c r="CGG108" s="267"/>
      <c r="CGH108" s="267"/>
      <c r="CGI108" s="267"/>
      <c r="CGJ108" s="267"/>
      <c r="CGK108" s="267"/>
      <c r="CGL108" s="267"/>
      <c r="CGM108" s="267"/>
      <c r="CGN108" s="267"/>
      <c r="CGO108" s="267"/>
      <c r="CGP108" s="267"/>
      <c r="CGQ108" s="267"/>
      <c r="CGR108" s="267"/>
      <c r="CGS108" s="267"/>
      <c r="CGT108" s="267"/>
      <c r="CGU108" s="267"/>
      <c r="CGV108" s="267"/>
      <c r="CGW108" s="267"/>
      <c r="CGX108" s="267"/>
      <c r="CGY108" s="267"/>
      <c r="CGZ108" s="267"/>
      <c r="CHA108" s="267"/>
      <c r="CHB108" s="267"/>
      <c r="CHC108" s="267"/>
      <c r="CHD108" s="267"/>
      <c r="CHE108" s="267"/>
      <c r="CHF108" s="267"/>
      <c r="CHG108" s="267"/>
      <c r="CHH108" s="267"/>
      <c r="CHI108" s="267"/>
      <c r="CHJ108" s="267"/>
      <c r="CHK108" s="267"/>
      <c r="CHL108" s="267"/>
      <c r="CHM108" s="267"/>
      <c r="CHN108" s="267"/>
      <c r="CHO108" s="267"/>
      <c r="CHP108" s="267"/>
      <c r="CHQ108" s="267"/>
      <c r="CHR108" s="267"/>
      <c r="CHS108" s="267"/>
      <c r="CHT108" s="267"/>
      <c r="CHU108" s="267"/>
      <c r="CHV108" s="267"/>
      <c r="CHW108" s="267"/>
      <c r="CHX108" s="267"/>
      <c r="CHY108" s="267"/>
      <c r="CHZ108" s="267"/>
      <c r="CIA108" s="267"/>
      <c r="CIB108" s="267"/>
      <c r="CIC108" s="267"/>
      <c r="CID108" s="267"/>
      <c r="CIE108" s="267"/>
      <c r="CIF108" s="267"/>
      <c r="CIG108" s="267"/>
      <c r="CIH108" s="267"/>
      <c r="CII108" s="267"/>
      <c r="CIJ108" s="267"/>
      <c r="CIK108" s="267"/>
      <c r="CIL108" s="267"/>
      <c r="CIM108" s="267"/>
      <c r="CIN108" s="267"/>
      <c r="CIO108" s="267"/>
      <c r="CIP108" s="267"/>
      <c r="CIQ108" s="267"/>
      <c r="CIR108" s="267"/>
      <c r="CIS108" s="267"/>
      <c r="CIT108" s="267"/>
      <c r="CIU108" s="267"/>
      <c r="CIV108" s="267"/>
      <c r="CIW108" s="267"/>
      <c r="CIX108" s="267"/>
      <c r="CIY108" s="267"/>
      <c r="CIZ108" s="267"/>
      <c r="CJA108" s="267"/>
      <c r="CJB108" s="267"/>
      <c r="CJC108" s="267"/>
      <c r="CJD108" s="267"/>
      <c r="CJE108" s="267"/>
      <c r="CJF108" s="267"/>
      <c r="CJG108" s="267"/>
      <c r="CJH108" s="267"/>
      <c r="CJI108" s="267"/>
      <c r="CJJ108" s="267"/>
      <c r="CJK108" s="267"/>
      <c r="CJL108" s="267"/>
      <c r="CJM108" s="267"/>
      <c r="CJN108" s="267"/>
      <c r="CJO108" s="267"/>
      <c r="CJP108" s="267"/>
      <c r="CJQ108" s="267"/>
      <c r="CJR108" s="267"/>
      <c r="CJS108" s="267"/>
      <c r="CJT108" s="267"/>
      <c r="CJU108" s="267"/>
      <c r="CJV108" s="267"/>
      <c r="CJW108" s="267"/>
      <c r="CJX108" s="267"/>
      <c r="CJY108" s="267"/>
      <c r="CJZ108" s="267"/>
      <c r="CKA108" s="267"/>
      <c r="CKB108" s="267"/>
      <c r="CKC108" s="267"/>
      <c r="CKD108" s="267"/>
      <c r="CKE108" s="267"/>
      <c r="CKF108" s="267"/>
      <c r="CKG108" s="267"/>
      <c r="CKH108" s="267"/>
      <c r="CKI108" s="267"/>
      <c r="CKJ108" s="267"/>
      <c r="CKK108" s="267"/>
      <c r="CKL108" s="267"/>
      <c r="CKM108" s="267"/>
      <c r="CKN108" s="267"/>
      <c r="CKO108" s="267"/>
      <c r="CKP108" s="267"/>
      <c r="CKQ108" s="267"/>
      <c r="CKR108" s="267"/>
      <c r="CKS108" s="267"/>
      <c r="CKT108" s="267"/>
      <c r="CKU108" s="267"/>
      <c r="CKV108" s="267"/>
      <c r="CKW108" s="267"/>
      <c r="CKX108" s="267"/>
      <c r="CKY108" s="267"/>
      <c r="CKZ108" s="267"/>
      <c r="CLA108" s="267"/>
      <c r="CLB108" s="267"/>
      <c r="CLC108" s="267"/>
      <c r="CLD108" s="267"/>
      <c r="CLE108" s="267"/>
      <c r="CLF108" s="267"/>
      <c r="CLG108" s="267"/>
      <c r="CLH108" s="267"/>
      <c r="CLI108" s="267"/>
      <c r="CLJ108" s="267"/>
      <c r="CLK108" s="267"/>
      <c r="CLL108" s="267"/>
      <c r="CLM108" s="267"/>
      <c r="CLN108" s="267"/>
      <c r="CLO108" s="267"/>
      <c r="CLP108" s="267"/>
      <c r="CLQ108" s="267"/>
      <c r="CLR108" s="267"/>
      <c r="CLS108" s="267"/>
      <c r="CLT108" s="267"/>
      <c r="CLU108" s="267"/>
      <c r="CLV108" s="267"/>
      <c r="CLW108" s="267"/>
      <c r="CLX108" s="267"/>
      <c r="CLY108" s="267"/>
      <c r="CLZ108" s="267"/>
      <c r="CMA108" s="267"/>
      <c r="CMB108" s="267"/>
      <c r="CMC108" s="267"/>
      <c r="CMD108" s="267"/>
      <c r="CME108" s="267"/>
      <c r="CMF108" s="267"/>
      <c r="CMG108" s="267"/>
      <c r="CMH108" s="267"/>
      <c r="CMI108" s="267"/>
      <c r="CMJ108" s="267"/>
      <c r="CMK108" s="267"/>
      <c r="CML108" s="267"/>
      <c r="CMM108" s="267"/>
      <c r="CMN108" s="267"/>
      <c r="CMO108" s="267"/>
      <c r="CMP108" s="267"/>
      <c r="CMQ108" s="267"/>
      <c r="CMR108" s="267"/>
      <c r="CMS108" s="267"/>
      <c r="CMT108" s="267"/>
      <c r="CMU108" s="267"/>
      <c r="CMV108" s="267"/>
      <c r="CMW108" s="267"/>
      <c r="CMX108" s="267"/>
      <c r="CMY108" s="267"/>
      <c r="CMZ108" s="267"/>
      <c r="CNA108" s="267"/>
      <c r="CNB108" s="267"/>
      <c r="CNC108" s="267"/>
      <c r="CND108" s="267"/>
      <c r="CNE108" s="267"/>
      <c r="CNF108" s="267"/>
      <c r="CNG108" s="267"/>
      <c r="CNH108" s="267"/>
      <c r="CNI108" s="267"/>
      <c r="CNJ108" s="267"/>
      <c r="CNK108" s="267"/>
      <c r="CNL108" s="267"/>
      <c r="CNM108" s="267"/>
      <c r="CNN108" s="267"/>
      <c r="CNO108" s="267"/>
      <c r="CNP108" s="267"/>
      <c r="CNQ108" s="267"/>
      <c r="CNR108" s="267"/>
      <c r="CNS108" s="267"/>
      <c r="CNT108" s="267"/>
      <c r="CNU108" s="267"/>
      <c r="CNV108" s="267"/>
      <c r="CNW108" s="267"/>
      <c r="CNX108" s="267"/>
      <c r="CNY108" s="267"/>
      <c r="CNZ108" s="267"/>
      <c r="COA108" s="267"/>
      <c r="COB108" s="267"/>
      <c r="COC108" s="267"/>
      <c r="COD108" s="267"/>
      <c r="COE108" s="267"/>
      <c r="COF108" s="267"/>
      <c r="COG108" s="267"/>
      <c r="COH108" s="267"/>
      <c r="COI108" s="267"/>
      <c r="COJ108" s="267"/>
      <c r="COK108" s="267"/>
      <c r="COL108" s="267"/>
      <c r="COM108" s="267"/>
      <c r="CON108" s="267"/>
      <c r="COO108" s="267"/>
      <c r="COP108" s="267"/>
      <c r="COQ108" s="267"/>
      <c r="COR108" s="267"/>
      <c r="COS108" s="267"/>
      <c r="COT108" s="267"/>
      <c r="COU108" s="267"/>
      <c r="COV108" s="267"/>
      <c r="COW108" s="267"/>
      <c r="COX108" s="267"/>
      <c r="COY108" s="267"/>
      <c r="COZ108" s="267"/>
      <c r="CPA108" s="267"/>
      <c r="CPB108" s="267"/>
      <c r="CPC108" s="267"/>
      <c r="CPD108" s="267"/>
      <c r="CPE108" s="267"/>
      <c r="CPF108" s="267"/>
      <c r="CPG108" s="267"/>
      <c r="CPH108" s="267"/>
      <c r="CPI108" s="267"/>
      <c r="CPJ108" s="267"/>
      <c r="CPK108" s="267"/>
      <c r="CPL108" s="267"/>
      <c r="CPM108" s="267"/>
      <c r="CPN108" s="267"/>
      <c r="CPO108" s="267"/>
      <c r="CPP108" s="267"/>
      <c r="CPQ108" s="267"/>
      <c r="CPR108" s="267"/>
      <c r="CPS108" s="267"/>
      <c r="CPT108" s="267"/>
      <c r="CPU108" s="267"/>
      <c r="CPV108" s="267"/>
      <c r="CPW108" s="267"/>
      <c r="CPX108" s="267"/>
      <c r="CPY108" s="267"/>
      <c r="CPZ108" s="267"/>
      <c r="CQA108" s="267"/>
      <c r="CQB108" s="267"/>
      <c r="CQC108" s="267"/>
      <c r="CQD108" s="267"/>
      <c r="CQE108" s="267"/>
      <c r="CQF108" s="267"/>
      <c r="CQG108" s="267"/>
      <c r="CQH108" s="267"/>
      <c r="CQI108" s="267"/>
      <c r="CQJ108" s="267"/>
      <c r="CQK108" s="267"/>
      <c r="CQL108" s="267"/>
      <c r="CQM108" s="267"/>
      <c r="CQN108" s="267"/>
      <c r="CQO108" s="267"/>
      <c r="CQP108" s="267"/>
      <c r="CQQ108" s="267"/>
      <c r="CQR108" s="267"/>
      <c r="CQS108" s="267"/>
      <c r="CQT108" s="267"/>
      <c r="CQU108" s="267"/>
      <c r="CQV108" s="267"/>
      <c r="CQW108" s="267"/>
      <c r="CQX108" s="267"/>
      <c r="CQY108" s="267"/>
      <c r="CQZ108" s="267"/>
      <c r="CRA108" s="267"/>
      <c r="CRB108" s="267"/>
      <c r="CRC108" s="267"/>
      <c r="CRD108" s="267"/>
      <c r="CRE108" s="267"/>
      <c r="CRF108" s="267"/>
      <c r="CRG108" s="267"/>
      <c r="CRH108" s="267"/>
      <c r="CRI108" s="267"/>
      <c r="CRJ108" s="267"/>
      <c r="CRK108" s="267"/>
      <c r="CRL108" s="267"/>
      <c r="CRM108" s="267"/>
      <c r="CRN108" s="267"/>
      <c r="CRO108" s="267"/>
      <c r="CRP108" s="267"/>
      <c r="CRQ108" s="267"/>
      <c r="CRR108" s="267"/>
      <c r="CRS108" s="267"/>
      <c r="CRT108" s="267"/>
      <c r="CRU108" s="267"/>
      <c r="CRV108" s="267"/>
      <c r="CRW108" s="267"/>
      <c r="CRX108" s="267"/>
      <c r="CRY108" s="267"/>
      <c r="CRZ108" s="267"/>
      <c r="CSA108" s="267"/>
      <c r="CSB108" s="267"/>
      <c r="CSC108" s="267"/>
      <c r="CSD108" s="267"/>
      <c r="CSE108" s="267"/>
      <c r="CSF108" s="267"/>
      <c r="CSG108" s="267"/>
      <c r="CSH108" s="267"/>
      <c r="CSI108" s="267"/>
      <c r="CSJ108" s="267"/>
      <c r="CSK108" s="267"/>
      <c r="CSL108" s="267"/>
      <c r="CSM108" s="267"/>
      <c r="CSN108" s="267"/>
      <c r="CSO108" s="267"/>
      <c r="CSP108" s="267"/>
      <c r="CSQ108" s="267"/>
      <c r="CSR108" s="267"/>
      <c r="CSS108" s="267"/>
      <c r="CST108" s="267"/>
      <c r="CSU108" s="267"/>
      <c r="CSV108" s="267"/>
      <c r="CSW108" s="267"/>
      <c r="CSX108" s="267"/>
      <c r="CSY108" s="267"/>
      <c r="CSZ108" s="267"/>
      <c r="CTA108" s="267"/>
      <c r="CTB108" s="267"/>
      <c r="CTC108" s="267"/>
      <c r="CTD108" s="267"/>
      <c r="CTE108" s="267"/>
      <c r="CTF108" s="267"/>
      <c r="CTG108" s="267"/>
      <c r="CTH108" s="267"/>
      <c r="CTI108" s="267"/>
      <c r="CTJ108" s="267"/>
      <c r="CTK108" s="267"/>
      <c r="CTL108" s="267"/>
      <c r="CTM108" s="267"/>
      <c r="CTN108" s="267"/>
      <c r="CTO108" s="267"/>
      <c r="CTP108" s="267"/>
      <c r="CTQ108" s="267"/>
      <c r="CTR108" s="267"/>
      <c r="CTS108" s="267"/>
      <c r="CTT108" s="267"/>
      <c r="CTU108" s="267"/>
      <c r="CTV108" s="267"/>
      <c r="CTW108" s="267"/>
      <c r="CTX108" s="267"/>
      <c r="CTY108" s="267"/>
      <c r="CTZ108" s="267"/>
      <c r="CUA108" s="267"/>
    </row>
    <row r="109" s="30" customFormat="1" spans="1:2575">
      <c r="A109" s="268">
        <v>115</v>
      </c>
      <c r="B109" s="268" t="s">
        <v>15</v>
      </c>
      <c r="C109" s="268" t="s">
        <v>37</v>
      </c>
      <c r="D109" s="82" t="s">
        <v>675</v>
      </c>
      <c r="E109" s="29" t="s">
        <v>925</v>
      </c>
      <c r="F109" s="31"/>
      <c r="G109" s="31" t="s">
        <v>926</v>
      </c>
      <c r="H109" s="32">
        <v>12247</v>
      </c>
      <c r="I109" s="31"/>
      <c r="J109" s="31"/>
      <c r="K109" s="31"/>
      <c r="L109" s="31"/>
      <c r="M109" s="29" t="s">
        <v>674</v>
      </c>
      <c r="N109" s="286">
        <v>45792</v>
      </c>
      <c r="O109" s="286">
        <v>46156</v>
      </c>
      <c r="P109" s="29">
        <v>300</v>
      </c>
      <c r="Q109" s="85"/>
      <c r="R109" s="325"/>
      <c r="S109" s="292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7"/>
      <c r="BC109" s="267"/>
      <c r="BD109" s="267"/>
      <c r="BE109" s="267"/>
      <c r="BF109" s="267"/>
      <c r="BG109" s="267"/>
      <c r="BH109" s="267"/>
      <c r="BI109" s="267"/>
      <c r="BJ109" s="267"/>
      <c r="BK109" s="267"/>
      <c r="BL109" s="267"/>
      <c r="BM109" s="267"/>
      <c r="BN109" s="267"/>
      <c r="BO109" s="267"/>
      <c r="BP109" s="267"/>
      <c r="BQ109" s="267"/>
      <c r="BR109" s="267"/>
      <c r="BS109" s="267"/>
      <c r="BT109" s="267"/>
      <c r="BU109" s="267"/>
      <c r="BV109" s="267"/>
      <c r="BW109" s="267"/>
      <c r="BX109" s="267"/>
      <c r="BY109" s="267"/>
      <c r="BZ109" s="267"/>
      <c r="CA109" s="267"/>
      <c r="CB109" s="267"/>
      <c r="CC109" s="267"/>
      <c r="CD109" s="267"/>
      <c r="CE109" s="267"/>
      <c r="CF109" s="267"/>
      <c r="CG109" s="267"/>
      <c r="CH109" s="267"/>
      <c r="CI109" s="267"/>
      <c r="CJ109" s="267"/>
      <c r="CK109" s="267"/>
      <c r="CL109" s="267"/>
      <c r="CM109" s="267"/>
      <c r="CN109" s="267"/>
      <c r="CO109" s="267"/>
      <c r="CP109" s="267"/>
      <c r="CQ109" s="267"/>
      <c r="CR109" s="267"/>
      <c r="CS109" s="267"/>
      <c r="CT109" s="267"/>
      <c r="CU109" s="267"/>
      <c r="CV109" s="267"/>
      <c r="CW109" s="267"/>
      <c r="CX109" s="267"/>
      <c r="CY109" s="267"/>
      <c r="CZ109" s="267"/>
      <c r="DA109" s="267"/>
      <c r="DB109" s="267"/>
      <c r="DC109" s="267"/>
      <c r="DD109" s="267"/>
      <c r="DE109" s="267"/>
      <c r="DF109" s="267"/>
      <c r="DG109" s="267"/>
      <c r="DH109" s="267"/>
      <c r="DI109" s="267"/>
      <c r="DJ109" s="267"/>
      <c r="DK109" s="267"/>
      <c r="DL109" s="267"/>
      <c r="DM109" s="267"/>
      <c r="DN109" s="267"/>
      <c r="DO109" s="267"/>
      <c r="DP109" s="267"/>
      <c r="DQ109" s="267"/>
      <c r="DR109" s="267"/>
      <c r="DS109" s="267"/>
      <c r="DT109" s="267"/>
      <c r="DU109" s="267"/>
      <c r="DV109" s="267"/>
      <c r="DW109" s="267"/>
      <c r="DX109" s="267"/>
      <c r="DY109" s="267"/>
      <c r="DZ109" s="267"/>
      <c r="EA109" s="267"/>
      <c r="EB109" s="267"/>
      <c r="EC109" s="267"/>
      <c r="ED109" s="267"/>
      <c r="EE109" s="267"/>
      <c r="EF109" s="267"/>
      <c r="EG109" s="267"/>
      <c r="EH109" s="267"/>
      <c r="EI109" s="267"/>
      <c r="EJ109" s="267"/>
      <c r="EK109" s="267"/>
      <c r="EL109" s="267"/>
      <c r="EM109" s="267"/>
      <c r="EN109" s="267"/>
      <c r="EO109" s="267"/>
      <c r="EP109" s="267"/>
      <c r="EQ109" s="267"/>
      <c r="ER109" s="267"/>
      <c r="ES109" s="267"/>
      <c r="ET109" s="267"/>
      <c r="EU109" s="267"/>
      <c r="EV109" s="267"/>
      <c r="EW109" s="267"/>
      <c r="EX109" s="267"/>
      <c r="EY109" s="267"/>
      <c r="EZ109" s="267"/>
      <c r="FA109" s="267"/>
      <c r="FB109" s="267"/>
      <c r="FC109" s="267"/>
      <c r="FD109" s="267"/>
      <c r="FE109" s="267"/>
      <c r="FF109" s="267"/>
      <c r="FG109" s="267"/>
      <c r="FH109" s="267"/>
      <c r="FI109" s="267"/>
      <c r="FJ109" s="267"/>
      <c r="FK109" s="267"/>
      <c r="FL109" s="267"/>
      <c r="FM109" s="267"/>
      <c r="FN109" s="267"/>
      <c r="FO109" s="267"/>
      <c r="FP109" s="267"/>
      <c r="FQ109" s="267"/>
      <c r="FR109" s="267"/>
      <c r="FS109" s="267"/>
      <c r="FT109" s="267"/>
      <c r="FU109" s="267"/>
      <c r="FV109" s="267"/>
      <c r="FW109" s="267"/>
      <c r="FX109" s="267"/>
      <c r="FY109" s="267"/>
      <c r="FZ109" s="267"/>
      <c r="GA109" s="267"/>
      <c r="GB109" s="267"/>
      <c r="GC109" s="267"/>
      <c r="GD109" s="267"/>
      <c r="GE109" s="267"/>
      <c r="GF109" s="267"/>
      <c r="GG109" s="267"/>
      <c r="GH109" s="267"/>
      <c r="GI109" s="267"/>
      <c r="GJ109" s="267"/>
      <c r="GK109" s="267"/>
      <c r="GL109" s="267"/>
      <c r="GM109" s="267"/>
      <c r="GN109" s="267"/>
      <c r="GO109" s="267"/>
      <c r="GP109" s="267"/>
      <c r="GQ109" s="267"/>
      <c r="GR109" s="267"/>
      <c r="GS109" s="267"/>
      <c r="GT109" s="267"/>
      <c r="GU109" s="267"/>
      <c r="GV109" s="267"/>
      <c r="GW109" s="267"/>
      <c r="GX109" s="267"/>
      <c r="GY109" s="267"/>
      <c r="GZ109" s="267"/>
      <c r="HA109" s="267"/>
      <c r="HB109" s="267"/>
      <c r="HC109" s="267"/>
      <c r="HD109" s="267"/>
      <c r="HE109" s="267"/>
      <c r="HF109" s="267"/>
      <c r="HG109" s="267"/>
      <c r="HH109" s="267"/>
      <c r="HI109" s="267"/>
      <c r="HJ109" s="267"/>
      <c r="HK109" s="267"/>
      <c r="HL109" s="267"/>
      <c r="HM109" s="267"/>
      <c r="HN109" s="267"/>
      <c r="HO109" s="267"/>
      <c r="HP109" s="267"/>
      <c r="HQ109" s="267"/>
      <c r="HR109" s="267"/>
      <c r="HS109" s="267"/>
      <c r="HT109" s="267"/>
      <c r="HU109" s="267"/>
      <c r="HV109" s="267"/>
      <c r="HW109" s="267"/>
      <c r="HX109" s="267"/>
      <c r="HY109" s="267"/>
      <c r="HZ109" s="267"/>
      <c r="IA109" s="267"/>
      <c r="IB109" s="267"/>
      <c r="IC109" s="267"/>
      <c r="ID109" s="267"/>
      <c r="IE109" s="267"/>
      <c r="IF109" s="267"/>
      <c r="IG109" s="267"/>
      <c r="IH109" s="267"/>
      <c r="II109" s="267"/>
      <c r="IJ109" s="267"/>
      <c r="IK109" s="267"/>
      <c r="IL109" s="267"/>
      <c r="IM109" s="267"/>
      <c r="IN109" s="267"/>
      <c r="IO109" s="267"/>
      <c r="IP109" s="267"/>
      <c r="IQ109" s="267"/>
      <c r="IR109" s="267"/>
      <c r="IS109" s="267"/>
      <c r="IT109" s="267"/>
      <c r="IU109" s="267"/>
      <c r="IV109" s="267"/>
      <c r="IW109" s="267"/>
      <c r="IX109" s="267"/>
      <c r="IY109" s="267"/>
      <c r="IZ109" s="267"/>
      <c r="JA109" s="267"/>
      <c r="JB109" s="267"/>
      <c r="JC109" s="267"/>
      <c r="JD109" s="267"/>
      <c r="JE109" s="267"/>
      <c r="JF109" s="267"/>
      <c r="JG109" s="267"/>
      <c r="JH109" s="267"/>
      <c r="JI109" s="267"/>
      <c r="JJ109" s="267"/>
      <c r="JK109" s="267"/>
      <c r="JL109" s="267"/>
      <c r="JM109" s="267"/>
      <c r="JN109" s="267"/>
      <c r="JO109" s="267"/>
      <c r="JP109" s="267"/>
      <c r="JQ109" s="267"/>
      <c r="JR109" s="267"/>
      <c r="JS109" s="267"/>
      <c r="JT109" s="267"/>
      <c r="JU109" s="267"/>
      <c r="JV109" s="267"/>
      <c r="JW109" s="267"/>
      <c r="JX109" s="267"/>
      <c r="JY109" s="267"/>
      <c r="JZ109" s="267"/>
      <c r="KA109" s="267"/>
      <c r="KB109" s="267"/>
      <c r="KC109" s="267"/>
      <c r="KD109" s="267"/>
      <c r="KE109" s="267"/>
      <c r="KF109" s="267"/>
      <c r="KG109" s="267"/>
      <c r="KH109" s="267"/>
      <c r="KI109" s="267"/>
      <c r="KJ109" s="267"/>
      <c r="KK109" s="267"/>
      <c r="KL109" s="267"/>
      <c r="KM109" s="267"/>
      <c r="KN109" s="267"/>
      <c r="KO109" s="267"/>
      <c r="KP109" s="267"/>
      <c r="KQ109" s="267"/>
      <c r="KR109" s="267"/>
      <c r="KS109" s="267"/>
      <c r="KT109" s="267"/>
      <c r="KU109" s="267"/>
      <c r="KV109" s="267"/>
      <c r="KW109" s="267"/>
      <c r="KX109" s="267"/>
      <c r="KY109" s="267"/>
      <c r="KZ109" s="267"/>
      <c r="LA109" s="267"/>
      <c r="LB109" s="267"/>
      <c r="LC109" s="267"/>
      <c r="LD109" s="267"/>
      <c r="LE109" s="267"/>
      <c r="LF109" s="267"/>
      <c r="LG109" s="267"/>
      <c r="LH109" s="267"/>
      <c r="LI109" s="267"/>
      <c r="LJ109" s="267"/>
      <c r="LK109" s="267"/>
      <c r="LL109" s="267"/>
      <c r="LM109" s="267"/>
      <c r="LN109" s="267"/>
      <c r="LO109" s="267"/>
      <c r="LP109" s="267"/>
      <c r="LQ109" s="267"/>
      <c r="LR109" s="267"/>
      <c r="LS109" s="267"/>
      <c r="LT109" s="267"/>
      <c r="LU109" s="267"/>
      <c r="LV109" s="267"/>
      <c r="LW109" s="267"/>
      <c r="LX109" s="267"/>
      <c r="LY109" s="267"/>
      <c r="LZ109" s="267"/>
      <c r="MA109" s="267"/>
      <c r="MB109" s="267"/>
      <c r="MC109" s="267"/>
      <c r="MD109" s="267"/>
      <c r="ME109" s="267"/>
      <c r="MF109" s="267"/>
      <c r="MG109" s="267"/>
      <c r="MH109" s="267"/>
      <c r="MI109" s="267"/>
      <c r="MJ109" s="267"/>
      <c r="MK109" s="267"/>
      <c r="ML109" s="267"/>
      <c r="MM109" s="267"/>
      <c r="MN109" s="267"/>
      <c r="MO109" s="267"/>
      <c r="MP109" s="267"/>
      <c r="MQ109" s="267"/>
      <c r="MR109" s="267"/>
      <c r="MS109" s="267"/>
      <c r="MT109" s="267"/>
      <c r="MU109" s="267"/>
      <c r="MV109" s="267"/>
      <c r="MW109" s="267"/>
      <c r="MX109" s="267"/>
      <c r="MY109" s="267"/>
      <c r="MZ109" s="267"/>
      <c r="NA109" s="267"/>
      <c r="NB109" s="267"/>
      <c r="NC109" s="267"/>
      <c r="ND109" s="267"/>
      <c r="NE109" s="267"/>
      <c r="NF109" s="267"/>
      <c r="NG109" s="267"/>
      <c r="NH109" s="267"/>
      <c r="NI109" s="267"/>
      <c r="NJ109" s="267"/>
      <c r="NK109" s="267"/>
      <c r="NL109" s="267"/>
      <c r="NM109" s="267"/>
      <c r="NN109" s="267"/>
      <c r="NO109" s="267"/>
      <c r="NP109" s="267"/>
      <c r="NQ109" s="267"/>
      <c r="NR109" s="267"/>
      <c r="NS109" s="267"/>
      <c r="NT109" s="267"/>
      <c r="NU109" s="267"/>
      <c r="NV109" s="267"/>
      <c r="NW109" s="267"/>
      <c r="NX109" s="267"/>
      <c r="NY109" s="267"/>
      <c r="NZ109" s="267"/>
      <c r="OA109" s="267"/>
      <c r="OB109" s="267"/>
      <c r="OC109" s="267"/>
      <c r="OD109" s="267"/>
      <c r="OE109" s="267"/>
      <c r="OF109" s="267"/>
      <c r="OG109" s="267"/>
      <c r="OH109" s="267"/>
      <c r="OI109" s="267"/>
      <c r="OJ109" s="267"/>
      <c r="OK109" s="267"/>
      <c r="OL109" s="267"/>
      <c r="OM109" s="267"/>
      <c r="ON109" s="267"/>
      <c r="OO109" s="267"/>
      <c r="OP109" s="267"/>
      <c r="OQ109" s="267"/>
      <c r="OR109" s="267"/>
      <c r="OS109" s="267"/>
      <c r="OT109" s="267"/>
      <c r="OU109" s="267"/>
      <c r="OV109" s="267"/>
      <c r="OW109" s="267"/>
      <c r="OX109" s="267"/>
      <c r="OY109" s="267"/>
      <c r="OZ109" s="267"/>
      <c r="PA109" s="267"/>
      <c r="PB109" s="267"/>
      <c r="PC109" s="267"/>
      <c r="PD109" s="267"/>
      <c r="PE109" s="267"/>
      <c r="PF109" s="267"/>
      <c r="PG109" s="267"/>
      <c r="PH109" s="267"/>
      <c r="PI109" s="267"/>
      <c r="PJ109" s="267"/>
      <c r="PK109" s="267"/>
      <c r="PL109" s="267"/>
      <c r="PM109" s="267"/>
      <c r="PN109" s="267"/>
      <c r="PO109" s="267"/>
      <c r="PP109" s="267"/>
      <c r="PQ109" s="267"/>
      <c r="PR109" s="267"/>
      <c r="PS109" s="267"/>
      <c r="PT109" s="267"/>
      <c r="PU109" s="267"/>
      <c r="PV109" s="267"/>
      <c r="PW109" s="267"/>
      <c r="PX109" s="267"/>
      <c r="PY109" s="267"/>
      <c r="PZ109" s="267"/>
      <c r="QA109" s="267"/>
      <c r="QB109" s="267"/>
      <c r="QC109" s="267"/>
      <c r="QD109" s="267"/>
      <c r="QE109" s="267"/>
      <c r="QF109" s="267"/>
      <c r="QG109" s="267"/>
      <c r="QH109" s="267"/>
      <c r="QI109" s="267"/>
      <c r="QJ109" s="267"/>
      <c r="QK109" s="267"/>
      <c r="QL109" s="267"/>
      <c r="QM109" s="267"/>
      <c r="QN109" s="267"/>
      <c r="QO109" s="267"/>
      <c r="QP109" s="267"/>
      <c r="QQ109" s="267"/>
      <c r="QR109" s="267"/>
      <c r="QS109" s="267"/>
      <c r="QT109" s="267"/>
      <c r="QU109" s="267"/>
      <c r="QV109" s="267"/>
      <c r="QW109" s="267"/>
      <c r="QX109" s="267"/>
      <c r="QY109" s="267"/>
      <c r="QZ109" s="267"/>
      <c r="RA109" s="267"/>
      <c r="RB109" s="267"/>
      <c r="RC109" s="267"/>
      <c r="RD109" s="267"/>
      <c r="RE109" s="267"/>
      <c r="RF109" s="267"/>
      <c r="RG109" s="267"/>
      <c r="RH109" s="267"/>
      <c r="RI109" s="267"/>
      <c r="RJ109" s="267"/>
      <c r="RK109" s="267"/>
      <c r="RL109" s="267"/>
      <c r="RM109" s="267"/>
      <c r="RN109" s="267"/>
      <c r="RO109" s="267"/>
      <c r="RP109" s="267"/>
      <c r="RQ109" s="267"/>
      <c r="RR109" s="267"/>
      <c r="RS109" s="267"/>
      <c r="RT109" s="267"/>
      <c r="RU109" s="267"/>
      <c r="RV109" s="267"/>
      <c r="RW109" s="267"/>
      <c r="RX109" s="267"/>
      <c r="RY109" s="267"/>
      <c r="RZ109" s="267"/>
      <c r="SA109" s="267"/>
      <c r="SB109" s="267"/>
      <c r="SC109" s="267"/>
      <c r="SD109" s="267"/>
      <c r="SE109" s="267"/>
      <c r="SF109" s="267"/>
      <c r="SG109" s="267"/>
      <c r="SH109" s="267"/>
      <c r="SI109" s="267"/>
      <c r="SJ109" s="267"/>
      <c r="SK109" s="267"/>
      <c r="SL109" s="267"/>
      <c r="SM109" s="267"/>
      <c r="SN109" s="267"/>
      <c r="SO109" s="267"/>
      <c r="SP109" s="267"/>
      <c r="SQ109" s="267"/>
      <c r="SR109" s="267"/>
      <c r="SS109" s="267"/>
      <c r="ST109" s="267"/>
      <c r="SU109" s="267"/>
      <c r="SV109" s="267"/>
      <c r="SW109" s="267"/>
      <c r="SX109" s="267"/>
      <c r="SY109" s="267"/>
      <c r="SZ109" s="267"/>
      <c r="TA109" s="267"/>
      <c r="TB109" s="267"/>
      <c r="TC109" s="267"/>
      <c r="TD109" s="267"/>
      <c r="TE109" s="267"/>
      <c r="TF109" s="267"/>
      <c r="TG109" s="267"/>
      <c r="TH109" s="267"/>
      <c r="TI109" s="267"/>
      <c r="TJ109" s="267"/>
      <c r="TK109" s="267"/>
      <c r="TL109" s="267"/>
      <c r="TM109" s="267"/>
      <c r="TN109" s="267"/>
      <c r="TO109" s="267"/>
      <c r="TP109" s="267"/>
      <c r="TQ109" s="267"/>
      <c r="TR109" s="267"/>
      <c r="TS109" s="267"/>
      <c r="TT109" s="267"/>
      <c r="TU109" s="267"/>
      <c r="TV109" s="267"/>
      <c r="TW109" s="267"/>
      <c r="TX109" s="267"/>
      <c r="TY109" s="267"/>
      <c r="TZ109" s="267"/>
      <c r="UA109" s="267"/>
      <c r="UB109" s="267"/>
      <c r="UC109" s="267"/>
      <c r="UD109" s="267"/>
      <c r="UE109" s="267"/>
      <c r="UF109" s="267"/>
      <c r="UG109" s="267"/>
      <c r="UH109" s="267"/>
      <c r="UI109" s="267"/>
      <c r="UJ109" s="267"/>
      <c r="UK109" s="267"/>
      <c r="UL109" s="267"/>
      <c r="UM109" s="267"/>
      <c r="UN109" s="267"/>
      <c r="UO109" s="267"/>
      <c r="UP109" s="267"/>
      <c r="UQ109" s="267"/>
      <c r="UR109" s="267"/>
      <c r="US109" s="267"/>
      <c r="UT109" s="267"/>
      <c r="UU109" s="267"/>
      <c r="UV109" s="267"/>
      <c r="UW109" s="267"/>
      <c r="UX109" s="267"/>
      <c r="UY109" s="267"/>
      <c r="UZ109" s="267"/>
      <c r="VA109" s="267"/>
      <c r="VB109" s="267"/>
      <c r="VC109" s="267"/>
      <c r="VD109" s="267"/>
      <c r="VE109" s="267"/>
      <c r="VF109" s="267"/>
      <c r="VG109" s="267"/>
      <c r="VH109" s="267"/>
      <c r="VI109" s="267"/>
      <c r="VJ109" s="267"/>
      <c r="VK109" s="267"/>
      <c r="VL109" s="267"/>
      <c r="VM109" s="267"/>
      <c r="VN109" s="267"/>
      <c r="VO109" s="267"/>
      <c r="VP109" s="267"/>
      <c r="VQ109" s="267"/>
      <c r="VR109" s="267"/>
      <c r="VS109" s="267"/>
      <c r="VT109" s="267"/>
      <c r="VU109" s="267"/>
      <c r="VV109" s="267"/>
      <c r="VW109" s="267"/>
      <c r="VX109" s="267"/>
      <c r="VY109" s="267"/>
      <c r="VZ109" s="267"/>
      <c r="WA109" s="267"/>
      <c r="WB109" s="267"/>
      <c r="WC109" s="267"/>
      <c r="WD109" s="267"/>
      <c r="WE109" s="267"/>
      <c r="WF109" s="267"/>
      <c r="WG109" s="267"/>
      <c r="WH109" s="267"/>
      <c r="WI109" s="267"/>
      <c r="WJ109" s="267"/>
      <c r="WK109" s="267"/>
      <c r="WL109" s="267"/>
      <c r="WM109" s="267"/>
      <c r="WN109" s="267"/>
      <c r="WO109" s="267"/>
      <c r="WP109" s="267"/>
      <c r="WQ109" s="267"/>
      <c r="WR109" s="267"/>
      <c r="WS109" s="267"/>
      <c r="WT109" s="267"/>
      <c r="WU109" s="267"/>
      <c r="WV109" s="267"/>
      <c r="WW109" s="267"/>
      <c r="WX109" s="267"/>
      <c r="WY109" s="267"/>
      <c r="WZ109" s="267"/>
      <c r="XA109" s="267"/>
      <c r="XB109" s="267"/>
      <c r="XC109" s="267"/>
      <c r="XD109" s="267"/>
      <c r="XE109" s="267"/>
      <c r="XF109" s="267"/>
      <c r="XG109" s="267"/>
      <c r="XH109" s="267"/>
      <c r="XI109" s="267"/>
      <c r="XJ109" s="267"/>
      <c r="XK109" s="267"/>
      <c r="XL109" s="267"/>
      <c r="XM109" s="267"/>
      <c r="XN109" s="267"/>
      <c r="XO109" s="267"/>
      <c r="XP109" s="267"/>
      <c r="XQ109" s="267"/>
      <c r="XR109" s="267"/>
      <c r="XS109" s="267"/>
      <c r="XT109" s="267"/>
      <c r="XU109" s="267"/>
      <c r="XV109" s="267"/>
      <c r="XW109" s="267"/>
      <c r="XX109" s="267"/>
      <c r="XY109" s="267"/>
      <c r="XZ109" s="267"/>
      <c r="YA109" s="267"/>
      <c r="YB109" s="267"/>
      <c r="YC109" s="267"/>
      <c r="YD109" s="267"/>
      <c r="YE109" s="267"/>
      <c r="YF109" s="267"/>
      <c r="YG109" s="267"/>
      <c r="YH109" s="267"/>
      <c r="YI109" s="267"/>
      <c r="YJ109" s="267"/>
      <c r="YK109" s="267"/>
      <c r="YL109" s="267"/>
      <c r="YM109" s="267"/>
      <c r="YN109" s="267"/>
      <c r="YO109" s="267"/>
      <c r="YP109" s="267"/>
      <c r="YQ109" s="267"/>
      <c r="YR109" s="267"/>
      <c r="YS109" s="267"/>
      <c r="YT109" s="267"/>
      <c r="YU109" s="267"/>
      <c r="YV109" s="267"/>
      <c r="YW109" s="267"/>
      <c r="YX109" s="267"/>
      <c r="YY109" s="267"/>
      <c r="YZ109" s="267"/>
      <c r="ZA109" s="267"/>
      <c r="ZB109" s="267"/>
      <c r="ZC109" s="267"/>
      <c r="ZD109" s="267"/>
      <c r="ZE109" s="267"/>
      <c r="ZF109" s="267"/>
      <c r="ZG109" s="267"/>
      <c r="ZH109" s="267"/>
      <c r="ZI109" s="267"/>
      <c r="ZJ109" s="267"/>
      <c r="ZK109" s="267"/>
      <c r="ZL109" s="267"/>
      <c r="ZM109" s="267"/>
      <c r="ZN109" s="267"/>
      <c r="ZO109" s="267"/>
      <c r="ZP109" s="267"/>
      <c r="ZQ109" s="267"/>
      <c r="ZR109" s="267"/>
      <c r="ZS109" s="267"/>
      <c r="ZT109" s="267"/>
      <c r="ZU109" s="267"/>
      <c r="ZV109" s="267"/>
      <c r="ZW109" s="267"/>
      <c r="ZX109" s="267"/>
      <c r="ZY109" s="267"/>
      <c r="ZZ109" s="267"/>
      <c r="AAA109" s="267"/>
      <c r="AAB109" s="267"/>
      <c r="AAC109" s="267"/>
      <c r="AAD109" s="267"/>
      <c r="AAE109" s="267"/>
      <c r="AAF109" s="267"/>
      <c r="AAG109" s="267"/>
      <c r="AAH109" s="267"/>
      <c r="AAI109" s="267"/>
      <c r="AAJ109" s="267"/>
      <c r="AAK109" s="267"/>
      <c r="AAL109" s="267"/>
      <c r="AAM109" s="267"/>
      <c r="AAN109" s="267"/>
      <c r="AAO109" s="267"/>
      <c r="AAP109" s="267"/>
      <c r="AAQ109" s="267"/>
      <c r="AAR109" s="267"/>
      <c r="AAS109" s="267"/>
      <c r="AAT109" s="267"/>
      <c r="AAU109" s="267"/>
      <c r="AAV109" s="267"/>
      <c r="AAW109" s="267"/>
      <c r="AAX109" s="267"/>
      <c r="AAY109" s="267"/>
      <c r="AAZ109" s="267"/>
      <c r="ABA109" s="267"/>
      <c r="ABB109" s="267"/>
      <c r="ABC109" s="267"/>
      <c r="ABD109" s="267"/>
      <c r="ABE109" s="267"/>
      <c r="ABF109" s="267"/>
      <c r="ABG109" s="267"/>
      <c r="ABH109" s="267"/>
      <c r="ABI109" s="267"/>
      <c r="ABJ109" s="267"/>
      <c r="ABK109" s="267"/>
      <c r="ABL109" s="267"/>
      <c r="ABM109" s="267"/>
      <c r="ABN109" s="267"/>
      <c r="ABO109" s="267"/>
      <c r="ABP109" s="267"/>
      <c r="ABQ109" s="267"/>
      <c r="ABR109" s="267"/>
      <c r="ABS109" s="267"/>
      <c r="ABT109" s="267"/>
      <c r="ABU109" s="267"/>
      <c r="ABV109" s="267"/>
      <c r="ABW109" s="267"/>
      <c r="ABX109" s="267"/>
      <c r="ABY109" s="267"/>
      <c r="ABZ109" s="267"/>
      <c r="ACA109" s="267"/>
      <c r="ACB109" s="267"/>
      <c r="ACC109" s="267"/>
      <c r="ACD109" s="267"/>
      <c r="ACE109" s="267"/>
      <c r="ACF109" s="267"/>
      <c r="ACG109" s="267"/>
      <c r="ACH109" s="267"/>
      <c r="ACI109" s="267"/>
      <c r="ACJ109" s="267"/>
      <c r="ACK109" s="267"/>
      <c r="ACL109" s="267"/>
      <c r="ACM109" s="267"/>
      <c r="ACN109" s="267"/>
      <c r="ACO109" s="267"/>
      <c r="ACP109" s="267"/>
      <c r="ACQ109" s="267"/>
      <c r="ACR109" s="267"/>
      <c r="ACS109" s="267"/>
      <c r="ACT109" s="267"/>
      <c r="ACU109" s="267"/>
      <c r="ACV109" s="267"/>
      <c r="ACW109" s="267"/>
      <c r="ACX109" s="267"/>
      <c r="ACY109" s="267"/>
      <c r="ACZ109" s="267"/>
      <c r="ADA109" s="267"/>
      <c r="ADB109" s="267"/>
      <c r="ADC109" s="267"/>
      <c r="ADD109" s="267"/>
      <c r="ADE109" s="267"/>
      <c r="ADF109" s="267"/>
      <c r="ADG109" s="267"/>
      <c r="ADH109" s="267"/>
      <c r="ADI109" s="267"/>
      <c r="ADJ109" s="267"/>
      <c r="ADK109" s="267"/>
      <c r="ADL109" s="267"/>
      <c r="ADM109" s="267"/>
      <c r="ADN109" s="267"/>
      <c r="ADO109" s="267"/>
      <c r="ADP109" s="267"/>
      <c r="ADQ109" s="267"/>
      <c r="ADR109" s="267"/>
      <c r="ADS109" s="267"/>
      <c r="ADT109" s="267"/>
      <c r="ADU109" s="267"/>
      <c r="ADV109" s="267"/>
      <c r="ADW109" s="267"/>
      <c r="ADX109" s="267"/>
      <c r="ADY109" s="267"/>
      <c r="ADZ109" s="267"/>
      <c r="AEA109" s="267"/>
      <c r="AEB109" s="267"/>
      <c r="AEC109" s="267"/>
      <c r="AED109" s="267"/>
      <c r="AEE109" s="267"/>
      <c r="AEF109" s="267"/>
      <c r="AEG109" s="267"/>
      <c r="AEH109" s="267"/>
      <c r="AEI109" s="267"/>
      <c r="AEJ109" s="267"/>
      <c r="AEK109" s="267"/>
      <c r="AEL109" s="267"/>
      <c r="AEM109" s="267"/>
      <c r="AEN109" s="267"/>
      <c r="AEO109" s="267"/>
      <c r="AEP109" s="267"/>
      <c r="AEQ109" s="267"/>
      <c r="AER109" s="267"/>
      <c r="AES109" s="267"/>
      <c r="AET109" s="267"/>
      <c r="AEU109" s="267"/>
      <c r="AEV109" s="267"/>
      <c r="AEW109" s="267"/>
      <c r="AEX109" s="267"/>
      <c r="AEY109" s="267"/>
      <c r="AEZ109" s="267"/>
      <c r="AFA109" s="267"/>
      <c r="AFB109" s="267"/>
      <c r="AFC109" s="267"/>
      <c r="AFD109" s="267"/>
      <c r="AFE109" s="267"/>
      <c r="AFF109" s="267"/>
      <c r="AFG109" s="267"/>
      <c r="AFH109" s="267"/>
      <c r="AFI109" s="267"/>
      <c r="AFJ109" s="267"/>
      <c r="AFK109" s="267"/>
      <c r="AFL109" s="267"/>
      <c r="AFM109" s="267"/>
      <c r="AFN109" s="267"/>
      <c r="AFO109" s="267"/>
      <c r="AFP109" s="267"/>
      <c r="AFQ109" s="267"/>
      <c r="AFR109" s="267"/>
      <c r="AFS109" s="267"/>
      <c r="AFT109" s="267"/>
      <c r="AFU109" s="267"/>
      <c r="AFV109" s="267"/>
      <c r="AFW109" s="267"/>
      <c r="AFX109" s="267"/>
      <c r="AFY109" s="267"/>
      <c r="AFZ109" s="267"/>
      <c r="AGA109" s="267"/>
      <c r="AGB109" s="267"/>
      <c r="AGC109" s="267"/>
      <c r="AGD109" s="267"/>
      <c r="AGE109" s="267"/>
      <c r="AGF109" s="267"/>
      <c r="AGG109" s="267"/>
      <c r="AGH109" s="267"/>
      <c r="AGI109" s="267"/>
      <c r="AGJ109" s="267"/>
      <c r="AGK109" s="267"/>
      <c r="AGL109" s="267"/>
      <c r="AGM109" s="267"/>
      <c r="AGN109" s="267"/>
      <c r="AGO109" s="267"/>
      <c r="AGP109" s="267"/>
      <c r="AGQ109" s="267"/>
      <c r="AGR109" s="267"/>
      <c r="AGS109" s="267"/>
      <c r="AGT109" s="267"/>
      <c r="AGU109" s="267"/>
      <c r="AGV109" s="267"/>
      <c r="AGW109" s="267"/>
      <c r="AGX109" s="267"/>
      <c r="AGY109" s="267"/>
      <c r="AGZ109" s="267"/>
      <c r="AHA109" s="267"/>
      <c r="AHB109" s="267"/>
      <c r="AHC109" s="267"/>
      <c r="AHD109" s="267"/>
      <c r="AHE109" s="267"/>
      <c r="AHF109" s="267"/>
      <c r="AHG109" s="267"/>
      <c r="AHH109" s="267"/>
      <c r="AHI109" s="267"/>
      <c r="AHJ109" s="267"/>
      <c r="AHK109" s="267"/>
      <c r="AHL109" s="267"/>
      <c r="AHM109" s="267"/>
      <c r="AHN109" s="267"/>
      <c r="AHO109" s="267"/>
      <c r="AHP109" s="267"/>
      <c r="AHQ109" s="267"/>
      <c r="AHR109" s="267"/>
      <c r="AHS109" s="267"/>
      <c r="AHT109" s="267"/>
      <c r="AHU109" s="267"/>
      <c r="AHV109" s="267"/>
      <c r="AHW109" s="267"/>
      <c r="AHX109" s="267"/>
      <c r="AHY109" s="267"/>
      <c r="AHZ109" s="267"/>
      <c r="AIA109" s="267"/>
      <c r="AIB109" s="267"/>
      <c r="AIC109" s="267"/>
      <c r="AID109" s="267"/>
      <c r="AIE109" s="267"/>
      <c r="AIF109" s="267"/>
      <c r="AIG109" s="267"/>
      <c r="AIH109" s="267"/>
      <c r="AII109" s="267"/>
      <c r="AIJ109" s="267"/>
      <c r="AIK109" s="267"/>
      <c r="AIL109" s="267"/>
      <c r="AIM109" s="267"/>
      <c r="AIN109" s="267"/>
      <c r="AIO109" s="267"/>
      <c r="AIP109" s="267"/>
      <c r="AIQ109" s="267"/>
      <c r="AIR109" s="267"/>
      <c r="AIS109" s="267"/>
      <c r="AIT109" s="267"/>
      <c r="AIU109" s="267"/>
      <c r="AIV109" s="267"/>
      <c r="AIW109" s="267"/>
      <c r="AIX109" s="267"/>
      <c r="AIY109" s="267"/>
      <c r="AIZ109" s="267"/>
      <c r="AJA109" s="267"/>
      <c r="AJB109" s="267"/>
      <c r="AJC109" s="267"/>
      <c r="AJD109" s="267"/>
      <c r="AJE109" s="267"/>
      <c r="AJF109" s="267"/>
      <c r="AJG109" s="267"/>
      <c r="AJH109" s="267"/>
      <c r="AJI109" s="267"/>
      <c r="AJJ109" s="267"/>
      <c r="AJK109" s="267"/>
      <c r="AJL109" s="267"/>
      <c r="AJM109" s="267"/>
      <c r="AJN109" s="267"/>
      <c r="AJO109" s="267"/>
      <c r="AJP109" s="267"/>
      <c r="AJQ109" s="267"/>
      <c r="AJR109" s="267"/>
      <c r="AJS109" s="267"/>
      <c r="AJT109" s="267"/>
      <c r="AJU109" s="267"/>
      <c r="AJV109" s="267"/>
      <c r="AJW109" s="267"/>
      <c r="AJX109" s="267"/>
      <c r="AJY109" s="267"/>
      <c r="AJZ109" s="267"/>
      <c r="AKA109" s="267"/>
      <c r="AKB109" s="267"/>
      <c r="AKC109" s="267"/>
      <c r="AKD109" s="267"/>
      <c r="AKE109" s="267"/>
      <c r="AKF109" s="267"/>
      <c r="AKG109" s="267"/>
      <c r="AKH109" s="267"/>
      <c r="AKI109" s="267"/>
      <c r="AKJ109" s="267"/>
      <c r="AKK109" s="267"/>
      <c r="AKL109" s="267"/>
      <c r="AKM109" s="267"/>
      <c r="AKN109" s="267"/>
      <c r="AKO109" s="267"/>
      <c r="AKP109" s="267"/>
      <c r="AKQ109" s="267"/>
      <c r="AKR109" s="267"/>
      <c r="AKS109" s="267"/>
      <c r="AKT109" s="267"/>
      <c r="AKU109" s="267"/>
      <c r="AKV109" s="267"/>
      <c r="AKW109" s="267"/>
      <c r="AKX109" s="267"/>
      <c r="AKY109" s="267"/>
      <c r="AKZ109" s="267"/>
      <c r="ALA109" s="267"/>
      <c r="ALB109" s="267"/>
      <c r="ALC109" s="267"/>
      <c r="ALD109" s="267"/>
      <c r="ALE109" s="267"/>
      <c r="ALF109" s="267"/>
      <c r="ALG109" s="267"/>
      <c r="ALH109" s="267"/>
      <c r="ALI109" s="267"/>
      <c r="ALJ109" s="267"/>
      <c r="ALK109" s="267"/>
      <c r="ALL109" s="267"/>
      <c r="ALM109" s="267"/>
      <c r="ALN109" s="267"/>
      <c r="ALO109" s="267"/>
      <c r="ALP109" s="267"/>
      <c r="ALQ109" s="267"/>
      <c r="ALR109" s="267"/>
      <c r="ALS109" s="267"/>
      <c r="ALT109" s="267"/>
      <c r="ALU109" s="267"/>
      <c r="ALV109" s="267"/>
      <c r="ALW109" s="267"/>
      <c r="ALX109" s="267"/>
      <c r="ALY109" s="267"/>
      <c r="ALZ109" s="267"/>
      <c r="AMA109" s="267"/>
      <c r="AMB109" s="267"/>
      <c r="AMC109" s="267"/>
      <c r="AMD109" s="267"/>
      <c r="AME109" s="267"/>
      <c r="AMF109" s="267"/>
      <c r="AMG109" s="267"/>
      <c r="AMH109" s="267"/>
      <c r="AMI109" s="267"/>
      <c r="AMJ109" s="267"/>
      <c r="AMK109" s="267"/>
      <c r="AML109" s="267"/>
      <c r="AMM109" s="267"/>
      <c r="AMN109" s="267"/>
      <c r="AMO109" s="267"/>
      <c r="AMP109" s="267"/>
      <c r="AMQ109" s="267"/>
      <c r="AMR109" s="267"/>
      <c r="AMS109" s="267"/>
      <c r="AMT109" s="267"/>
      <c r="AMU109" s="267"/>
      <c r="AMV109" s="267"/>
      <c r="AMW109" s="267"/>
      <c r="AMX109" s="267"/>
      <c r="AMY109" s="267"/>
      <c r="AMZ109" s="267"/>
      <c r="ANA109" s="267"/>
      <c r="ANB109" s="267"/>
      <c r="ANC109" s="267"/>
      <c r="AND109" s="267"/>
      <c r="ANE109" s="267"/>
      <c r="ANF109" s="267"/>
      <c r="ANG109" s="267"/>
      <c r="ANH109" s="267"/>
      <c r="ANI109" s="267"/>
      <c r="ANJ109" s="267"/>
      <c r="ANK109" s="267"/>
      <c r="ANL109" s="267"/>
      <c r="ANM109" s="267"/>
      <c r="ANN109" s="267"/>
      <c r="ANO109" s="267"/>
      <c r="ANP109" s="267"/>
      <c r="ANQ109" s="267"/>
      <c r="ANR109" s="267"/>
      <c r="ANS109" s="267"/>
      <c r="ANT109" s="267"/>
      <c r="ANU109" s="267"/>
      <c r="ANV109" s="267"/>
      <c r="ANW109" s="267"/>
      <c r="ANX109" s="267"/>
      <c r="ANY109" s="267"/>
      <c r="ANZ109" s="267"/>
      <c r="AOA109" s="267"/>
      <c r="AOB109" s="267"/>
      <c r="AOC109" s="267"/>
      <c r="AOD109" s="267"/>
      <c r="AOE109" s="267"/>
      <c r="AOF109" s="267"/>
      <c r="AOG109" s="267"/>
      <c r="AOH109" s="267"/>
      <c r="AOI109" s="267"/>
      <c r="AOJ109" s="267"/>
      <c r="AOK109" s="267"/>
      <c r="AOL109" s="267"/>
      <c r="AOM109" s="267"/>
      <c r="AON109" s="267"/>
      <c r="AOO109" s="267"/>
      <c r="AOP109" s="267"/>
      <c r="AOQ109" s="267"/>
      <c r="AOR109" s="267"/>
      <c r="AOS109" s="267"/>
      <c r="AOT109" s="267"/>
      <c r="AOU109" s="267"/>
      <c r="AOV109" s="267"/>
      <c r="AOW109" s="267"/>
      <c r="AOX109" s="267"/>
      <c r="AOY109" s="267"/>
      <c r="AOZ109" s="267"/>
      <c r="APA109" s="267"/>
      <c r="APB109" s="267"/>
      <c r="APC109" s="267"/>
      <c r="APD109" s="267"/>
      <c r="APE109" s="267"/>
      <c r="APF109" s="267"/>
      <c r="APG109" s="267"/>
      <c r="APH109" s="267"/>
      <c r="API109" s="267"/>
      <c r="APJ109" s="267"/>
      <c r="APK109" s="267"/>
      <c r="APL109" s="267"/>
      <c r="APM109" s="267"/>
      <c r="APN109" s="267"/>
      <c r="APO109" s="267"/>
      <c r="APP109" s="267"/>
      <c r="APQ109" s="267"/>
      <c r="APR109" s="267"/>
      <c r="APS109" s="267"/>
      <c r="APT109" s="267"/>
      <c r="APU109" s="267"/>
      <c r="APV109" s="267"/>
      <c r="APW109" s="267"/>
      <c r="APX109" s="267"/>
      <c r="APY109" s="267"/>
      <c r="APZ109" s="267"/>
      <c r="AQA109" s="267"/>
      <c r="AQB109" s="267"/>
      <c r="AQC109" s="267"/>
      <c r="AQD109" s="267"/>
      <c r="AQE109" s="267"/>
      <c r="AQF109" s="267"/>
      <c r="AQG109" s="267"/>
      <c r="AQH109" s="267"/>
      <c r="AQI109" s="267"/>
      <c r="AQJ109" s="267"/>
      <c r="AQK109" s="267"/>
      <c r="AQL109" s="267"/>
      <c r="AQM109" s="267"/>
      <c r="AQN109" s="267"/>
      <c r="AQO109" s="267"/>
      <c r="AQP109" s="267"/>
      <c r="AQQ109" s="267"/>
      <c r="AQR109" s="267"/>
      <c r="AQS109" s="267"/>
      <c r="AQT109" s="267"/>
      <c r="AQU109" s="267"/>
      <c r="AQV109" s="267"/>
      <c r="AQW109" s="267"/>
      <c r="AQX109" s="267"/>
      <c r="AQY109" s="267"/>
      <c r="AQZ109" s="267"/>
      <c r="ARA109" s="267"/>
      <c r="ARB109" s="267"/>
      <c r="ARC109" s="267"/>
      <c r="ARD109" s="267"/>
      <c r="ARE109" s="267"/>
      <c r="ARF109" s="267"/>
      <c r="ARG109" s="267"/>
      <c r="ARH109" s="267"/>
      <c r="ARI109" s="267"/>
      <c r="ARJ109" s="267"/>
      <c r="ARK109" s="267"/>
      <c r="ARL109" s="267"/>
      <c r="ARM109" s="267"/>
      <c r="ARN109" s="267"/>
      <c r="ARO109" s="267"/>
      <c r="ARP109" s="267"/>
      <c r="ARQ109" s="267"/>
      <c r="ARR109" s="267"/>
      <c r="ARS109" s="267"/>
      <c r="ART109" s="267"/>
      <c r="ARU109" s="267"/>
      <c r="ARV109" s="267"/>
      <c r="ARW109" s="267"/>
      <c r="ARX109" s="267"/>
      <c r="ARY109" s="267"/>
      <c r="ARZ109" s="267"/>
      <c r="ASA109" s="267"/>
      <c r="ASB109" s="267"/>
      <c r="ASC109" s="267"/>
      <c r="ASD109" s="267"/>
      <c r="ASE109" s="267"/>
      <c r="ASF109" s="267"/>
      <c r="ASG109" s="267"/>
      <c r="ASH109" s="267"/>
      <c r="ASI109" s="267"/>
      <c r="ASJ109" s="267"/>
      <c r="ASK109" s="267"/>
      <c r="ASL109" s="267"/>
      <c r="ASM109" s="267"/>
      <c r="ASN109" s="267"/>
      <c r="ASO109" s="267"/>
      <c r="ASP109" s="267"/>
      <c r="ASQ109" s="267"/>
      <c r="ASR109" s="267"/>
      <c r="ASS109" s="267"/>
      <c r="AST109" s="267"/>
      <c r="ASU109" s="267"/>
      <c r="ASV109" s="267"/>
      <c r="ASW109" s="267"/>
      <c r="ASX109" s="267"/>
      <c r="ASY109" s="267"/>
      <c r="ASZ109" s="267"/>
      <c r="ATA109" s="267"/>
      <c r="ATB109" s="267"/>
      <c r="ATC109" s="267"/>
      <c r="ATD109" s="267"/>
      <c r="ATE109" s="267"/>
      <c r="ATF109" s="267"/>
      <c r="ATG109" s="267"/>
      <c r="ATH109" s="267"/>
      <c r="ATI109" s="267"/>
      <c r="ATJ109" s="267"/>
      <c r="ATK109" s="267"/>
      <c r="ATL109" s="267"/>
      <c r="ATM109" s="267"/>
      <c r="ATN109" s="267"/>
      <c r="ATO109" s="267"/>
      <c r="ATP109" s="267"/>
      <c r="ATQ109" s="267"/>
      <c r="ATR109" s="267"/>
      <c r="ATS109" s="267"/>
      <c r="ATT109" s="267"/>
      <c r="ATU109" s="267"/>
      <c r="ATV109" s="267"/>
      <c r="ATW109" s="267"/>
      <c r="ATX109" s="267"/>
      <c r="ATY109" s="267"/>
      <c r="ATZ109" s="267"/>
      <c r="AUA109" s="267"/>
      <c r="AUB109" s="267"/>
      <c r="AUC109" s="267"/>
      <c r="AUD109" s="267"/>
      <c r="AUE109" s="267"/>
      <c r="AUF109" s="267"/>
      <c r="AUG109" s="267"/>
      <c r="AUH109" s="267"/>
      <c r="AUI109" s="267"/>
      <c r="AUJ109" s="267"/>
      <c r="AUK109" s="267"/>
      <c r="AUL109" s="267"/>
      <c r="AUM109" s="267"/>
      <c r="AUN109" s="267"/>
      <c r="AUO109" s="267"/>
      <c r="AUP109" s="267"/>
      <c r="AUQ109" s="267"/>
      <c r="AUR109" s="267"/>
      <c r="AUS109" s="267"/>
      <c r="AUT109" s="267"/>
      <c r="AUU109" s="267"/>
      <c r="AUV109" s="267"/>
      <c r="AUW109" s="267"/>
      <c r="AUX109" s="267"/>
      <c r="AUY109" s="267"/>
      <c r="AUZ109" s="267"/>
      <c r="AVA109" s="267"/>
      <c r="AVB109" s="267"/>
      <c r="AVC109" s="267"/>
      <c r="AVD109" s="267"/>
      <c r="AVE109" s="267"/>
      <c r="AVF109" s="267"/>
      <c r="AVG109" s="267"/>
      <c r="AVH109" s="267"/>
      <c r="AVI109" s="267"/>
      <c r="AVJ109" s="267"/>
      <c r="AVK109" s="267"/>
      <c r="AVL109" s="267"/>
      <c r="AVM109" s="267"/>
      <c r="AVN109" s="267"/>
      <c r="AVO109" s="267"/>
      <c r="AVP109" s="267"/>
      <c r="AVQ109" s="267"/>
      <c r="AVR109" s="267"/>
      <c r="AVS109" s="267"/>
      <c r="AVT109" s="267"/>
      <c r="AVU109" s="267"/>
      <c r="AVV109" s="267"/>
      <c r="AVW109" s="267"/>
      <c r="AVX109" s="267"/>
      <c r="AVY109" s="267"/>
      <c r="AVZ109" s="267"/>
      <c r="AWA109" s="267"/>
      <c r="AWB109" s="267"/>
      <c r="AWC109" s="267"/>
      <c r="AWD109" s="267"/>
      <c r="AWE109" s="267"/>
      <c r="AWF109" s="267"/>
      <c r="AWG109" s="267"/>
      <c r="AWH109" s="267"/>
      <c r="AWI109" s="267"/>
      <c r="AWJ109" s="267"/>
      <c r="AWK109" s="267"/>
      <c r="AWL109" s="267"/>
      <c r="AWM109" s="267"/>
      <c r="AWN109" s="267"/>
      <c r="AWO109" s="267"/>
      <c r="AWP109" s="267"/>
      <c r="AWQ109" s="267"/>
      <c r="AWR109" s="267"/>
      <c r="AWS109" s="267"/>
      <c r="AWT109" s="267"/>
      <c r="AWU109" s="267"/>
      <c r="AWV109" s="267"/>
      <c r="AWW109" s="267"/>
      <c r="AWX109" s="267"/>
      <c r="AWY109" s="267"/>
      <c r="AWZ109" s="267"/>
      <c r="AXA109" s="267"/>
      <c r="AXB109" s="267"/>
      <c r="AXC109" s="267"/>
      <c r="AXD109" s="267"/>
      <c r="AXE109" s="267"/>
      <c r="AXF109" s="267"/>
      <c r="AXG109" s="267"/>
      <c r="AXH109" s="267"/>
      <c r="AXI109" s="267"/>
      <c r="AXJ109" s="267"/>
      <c r="AXK109" s="267"/>
      <c r="AXL109" s="267"/>
      <c r="AXM109" s="267"/>
      <c r="AXN109" s="267"/>
      <c r="AXO109" s="267"/>
      <c r="AXP109" s="267"/>
      <c r="AXQ109" s="267"/>
      <c r="AXR109" s="267"/>
      <c r="AXS109" s="267"/>
      <c r="AXT109" s="267"/>
      <c r="AXU109" s="267"/>
      <c r="AXV109" s="267"/>
      <c r="AXW109" s="267"/>
      <c r="AXX109" s="267"/>
      <c r="AXY109" s="267"/>
      <c r="AXZ109" s="267"/>
      <c r="AYA109" s="267"/>
      <c r="AYB109" s="267"/>
      <c r="AYC109" s="267"/>
      <c r="AYD109" s="267"/>
      <c r="AYE109" s="267"/>
      <c r="AYF109" s="267"/>
      <c r="AYG109" s="267"/>
      <c r="AYH109" s="267"/>
      <c r="AYI109" s="267"/>
      <c r="AYJ109" s="267"/>
      <c r="AYK109" s="267"/>
      <c r="AYL109" s="267"/>
      <c r="AYM109" s="267"/>
      <c r="AYN109" s="267"/>
      <c r="AYO109" s="267"/>
      <c r="AYP109" s="267"/>
      <c r="AYQ109" s="267"/>
      <c r="AYR109" s="267"/>
      <c r="AYS109" s="267"/>
      <c r="AYT109" s="267"/>
      <c r="AYU109" s="267"/>
      <c r="AYV109" s="267"/>
      <c r="AYW109" s="267"/>
      <c r="AYX109" s="267"/>
      <c r="AYY109" s="267"/>
      <c r="AYZ109" s="267"/>
      <c r="AZA109" s="267"/>
      <c r="AZB109" s="267"/>
      <c r="AZC109" s="267"/>
      <c r="AZD109" s="267"/>
      <c r="AZE109" s="267"/>
      <c r="AZF109" s="267"/>
      <c r="AZG109" s="267"/>
      <c r="AZH109" s="267"/>
      <c r="AZI109" s="267"/>
      <c r="AZJ109" s="267"/>
      <c r="AZK109" s="267"/>
      <c r="AZL109" s="267"/>
      <c r="AZM109" s="267"/>
      <c r="AZN109" s="267"/>
      <c r="AZO109" s="267"/>
      <c r="AZP109" s="267"/>
      <c r="AZQ109" s="267"/>
      <c r="AZR109" s="267"/>
      <c r="AZS109" s="267"/>
      <c r="AZT109" s="267"/>
      <c r="AZU109" s="267"/>
      <c r="AZV109" s="267"/>
      <c r="AZW109" s="267"/>
      <c r="AZX109" s="267"/>
      <c r="AZY109" s="267"/>
      <c r="AZZ109" s="267"/>
      <c r="BAA109" s="267"/>
      <c r="BAB109" s="267"/>
      <c r="BAC109" s="267"/>
      <c r="BAD109" s="267"/>
      <c r="BAE109" s="267"/>
      <c r="BAF109" s="267"/>
      <c r="BAG109" s="267"/>
      <c r="BAH109" s="267"/>
      <c r="BAI109" s="267"/>
      <c r="BAJ109" s="267"/>
      <c r="BAK109" s="267"/>
      <c r="BAL109" s="267"/>
      <c r="BAM109" s="267"/>
      <c r="BAN109" s="267"/>
      <c r="BAO109" s="267"/>
      <c r="BAP109" s="267"/>
      <c r="BAQ109" s="267"/>
      <c r="BAR109" s="267"/>
      <c r="BAS109" s="267"/>
      <c r="BAT109" s="267"/>
      <c r="BAU109" s="267"/>
      <c r="BAV109" s="267"/>
      <c r="BAW109" s="267"/>
      <c r="BAX109" s="267"/>
      <c r="BAY109" s="267"/>
      <c r="BAZ109" s="267"/>
      <c r="BBA109" s="267"/>
      <c r="BBB109" s="267"/>
      <c r="BBC109" s="267"/>
      <c r="BBD109" s="267"/>
      <c r="BBE109" s="267"/>
      <c r="BBF109" s="267"/>
      <c r="BBG109" s="267"/>
      <c r="BBH109" s="267"/>
      <c r="BBI109" s="267"/>
      <c r="BBJ109" s="267"/>
      <c r="BBK109" s="267"/>
      <c r="BBL109" s="267"/>
      <c r="BBM109" s="267"/>
      <c r="BBN109" s="267"/>
      <c r="BBO109" s="267"/>
      <c r="BBP109" s="267"/>
      <c r="BBQ109" s="267"/>
      <c r="BBR109" s="267"/>
      <c r="BBS109" s="267"/>
      <c r="BBT109" s="267"/>
      <c r="BBU109" s="267"/>
      <c r="BBV109" s="267"/>
      <c r="BBW109" s="267"/>
      <c r="BBX109" s="267"/>
      <c r="BBY109" s="267"/>
      <c r="BBZ109" s="267"/>
      <c r="BCA109" s="267"/>
      <c r="BCB109" s="267"/>
      <c r="BCC109" s="267"/>
      <c r="BCD109" s="267"/>
      <c r="BCE109" s="267"/>
      <c r="BCF109" s="267"/>
      <c r="BCG109" s="267"/>
      <c r="BCH109" s="267"/>
      <c r="BCI109" s="267"/>
      <c r="BCJ109" s="267"/>
      <c r="BCK109" s="267"/>
      <c r="BCL109" s="267"/>
      <c r="BCM109" s="267"/>
      <c r="BCN109" s="267"/>
      <c r="BCO109" s="267"/>
      <c r="BCP109" s="267"/>
      <c r="BCQ109" s="267"/>
      <c r="BCR109" s="267"/>
      <c r="BCS109" s="267"/>
      <c r="BCT109" s="267"/>
      <c r="BCU109" s="267"/>
      <c r="BCV109" s="267"/>
      <c r="BCW109" s="267"/>
      <c r="BCX109" s="267"/>
      <c r="BCY109" s="267"/>
      <c r="BCZ109" s="267"/>
      <c r="BDA109" s="267"/>
      <c r="BDB109" s="267"/>
      <c r="BDC109" s="267"/>
      <c r="BDD109" s="267"/>
      <c r="BDE109" s="267"/>
      <c r="BDF109" s="267"/>
      <c r="BDG109" s="267"/>
      <c r="BDH109" s="267"/>
      <c r="BDI109" s="267"/>
      <c r="BDJ109" s="267"/>
      <c r="BDK109" s="267"/>
      <c r="BDL109" s="267"/>
      <c r="BDM109" s="267"/>
      <c r="BDN109" s="267"/>
      <c r="BDO109" s="267"/>
      <c r="BDP109" s="267"/>
      <c r="BDQ109" s="267"/>
      <c r="BDR109" s="267"/>
      <c r="BDS109" s="267"/>
      <c r="BDT109" s="267"/>
      <c r="BDU109" s="267"/>
      <c r="BDV109" s="267"/>
      <c r="BDW109" s="267"/>
      <c r="BDX109" s="267"/>
      <c r="BDY109" s="267"/>
      <c r="BDZ109" s="267"/>
      <c r="BEA109" s="267"/>
      <c r="BEB109" s="267"/>
      <c r="BEC109" s="267"/>
      <c r="BED109" s="267"/>
      <c r="BEE109" s="267"/>
      <c r="BEF109" s="267"/>
      <c r="BEG109" s="267"/>
      <c r="BEH109" s="267"/>
      <c r="BEI109" s="267"/>
      <c r="BEJ109" s="267"/>
      <c r="BEK109" s="267"/>
      <c r="BEL109" s="267"/>
      <c r="BEM109" s="267"/>
      <c r="BEN109" s="267"/>
      <c r="BEO109" s="267"/>
      <c r="BEP109" s="267"/>
      <c r="BEQ109" s="267"/>
      <c r="BER109" s="267"/>
      <c r="BES109" s="267"/>
      <c r="BET109" s="267"/>
      <c r="BEU109" s="267"/>
      <c r="BEV109" s="267"/>
      <c r="BEW109" s="267"/>
      <c r="BEX109" s="267"/>
      <c r="BEY109" s="267"/>
      <c r="BEZ109" s="267"/>
      <c r="BFA109" s="267"/>
      <c r="BFB109" s="267"/>
      <c r="BFC109" s="267"/>
      <c r="BFD109" s="267"/>
      <c r="BFE109" s="267"/>
      <c r="BFF109" s="267"/>
      <c r="BFG109" s="267"/>
      <c r="BFH109" s="267"/>
      <c r="BFI109" s="267"/>
      <c r="BFJ109" s="267"/>
      <c r="BFK109" s="267"/>
      <c r="BFL109" s="267"/>
      <c r="BFM109" s="267"/>
      <c r="BFN109" s="267"/>
      <c r="BFO109" s="267"/>
      <c r="BFP109" s="267"/>
      <c r="BFQ109" s="267"/>
      <c r="BFR109" s="267"/>
      <c r="BFS109" s="267"/>
      <c r="BFT109" s="267"/>
      <c r="BFU109" s="267"/>
      <c r="BFV109" s="267"/>
      <c r="BFW109" s="267"/>
      <c r="BFX109" s="267"/>
      <c r="BFY109" s="267"/>
      <c r="BFZ109" s="267"/>
      <c r="BGA109" s="267"/>
      <c r="BGB109" s="267"/>
      <c r="BGC109" s="267"/>
      <c r="BGD109" s="267"/>
      <c r="BGE109" s="267"/>
      <c r="BGF109" s="267"/>
      <c r="BGG109" s="267"/>
      <c r="BGH109" s="267"/>
      <c r="BGI109" s="267"/>
      <c r="BGJ109" s="267"/>
      <c r="BGK109" s="267"/>
      <c r="BGL109" s="267"/>
      <c r="BGM109" s="267"/>
      <c r="BGN109" s="267"/>
      <c r="BGO109" s="267"/>
      <c r="BGP109" s="267"/>
      <c r="BGQ109" s="267"/>
      <c r="BGR109" s="267"/>
      <c r="BGS109" s="267"/>
      <c r="BGT109" s="267"/>
      <c r="BGU109" s="267"/>
      <c r="BGV109" s="267"/>
      <c r="BGW109" s="267"/>
      <c r="BGX109" s="267"/>
      <c r="BGY109" s="267"/>
      <c r="BGZ109" s="267"/>
      <c r="BHA109" s="267"/>
      <c r="BHB109" s="267"/>
      <c r="BHC109" s="267"/>
      <c r="BHD109" s="267"/>
      <c r="BHE109" s="267"/>
      <c r="BHF109" s="267"/>
      <c r="BHG109" s="267"/>
      <c r="BHH109" s="267"/>
      <c r="BHI109" s="267"/>
      <c r="BHJ109" s="267"/>
      <c r="BHK109" s="267"/>
      <c r="BHL109" s="267"/>
      <c r="BHM109" s="267"/>
      <c r="BHN109" s="267"/>
      <c r="BHO109" s="267"/>
      <c r="BHP109" s="267"/>
      <c r="BHQ109" s="267"/>
      <c r="BHR109" s="267"/>
      <c r="BHS109" s="267"/>
      <c r="BHT109" s="267"/>
      <c r="BHU109" s="267"/>
      <c r="BHV109" s="267"/>
      <c r="BHW109" s="267"/>
      <c r="BHX109" s="267"/>
      <c r="BHY109" s="267"/>
      <c r="BHZ109" s="267"/>
      <c r="BIA109" s="267"/>
      <c r="BIB109" s="267"/>
      <c r="BIC109" s="267"/>
      <c r="BID109" s="267"/>
      <c r="BIE109" s="267"/>
      <c r="BIF109" s="267"/>
      <c r="BIG109" s="267"/>
      <c r="BIH109" s="267"/>
      <c r="BII109" s="267"/>
      <c r="BIJ109" s="267"/>
      <c r="BIK109" s="267"/>
      <c r="BIL109" s="267"/>
      <c r="BIM109" s="267"/>
      <c r="BIN109" s="267"/>
      <c r="BIO109" s="267"/>
      <c r="BIP109" s="267"/>
      <c r="BIQ109" s="267"/>
      <c r="BIR109" s="267"/>
      <c r="BIS109" s="267"/>
      <c r="BIT109" s="267"/>
      <c r="BIU109" s="267"/>
      <c r="BIV109" s="267"/>
      <c r="BIW109" s="267"/>
      <c r="BIX109" s="267"/>
      <c r="BIY109" s="267"/>
      <c r="BIZ109" s="267"/>
      <c r="BJA109" s="267"/>
      <c r="BJB109" s="267"/>
      <c r="BJC109" s="267"/>
      <c r="BJD109" s="267"/>
      <c r="BJE109" s="267"/>
      <c r="BJF109" s="267"/>
      <c r="BJG109" s="267"/>
      <c r="BJH109" s="267"/>
      <c r="BJI109" s="267"/>
      <c r="BJJ109" s="267"/>
      <c r="BJK109" s="267"/>
      <c r="BJL109" s="267"/>
      <c r="BJM109" s="267"/>
      <c r="BJN109" s="267"/>
      <c r="BJO109" s="267"/>
      <c r="BJP109" s="267"/>
      <c r="BJQ109" s="267"/>
      <c r="BJR109" s="267"/>
      <c r="BJS109" s="267"/>
      <c r="BJT109" s="267"/>
      <c r="BJU109" s="267"/>
      <c r="BJV109" s="267"/>
      <c r="BJW109" s="267"/>
      <c r="BJX109" s="267"/>
      <c r="BJY109" s="267"/>
      <c r="BJZ109" s="267"/>
      <c r="BKA109" s="267"/>
      <c r="BKB109" s="267"/>
      <c r="BKC109" s="267"/>
      <c r="BKD109" s="267"/>
      <c r="BKE109" s="267"/>
      <c r="BKF109" s="267"/>
      <c r="BKG109" s="267"/>
      <c r="BKH109" s="267"/>
      <c r="BKI109" s="267"/>
      <c r="BKJ109" s="267"/>
      <c r="BKK109" s="267"/>
      <c r="BKL109" s="267"/>
      <c r="BKM109" s="267"/>
      <c r="BKN109" s="267"/>
      <c r="BKO109" s="267"/>
      <c r="BKP109" s="267"/>
      <c r="BKQ109" s="267"/>
      <c r="BKR109" s="267"/>
      <c r="BKS109" s="267"/>
      <c r="BKT109" s="267"/>
      <c r="BKU109" s="267"/>
      <c r="BKV109" s="267"/>
      <c r="BKW109" s="267"/>
      <c r="BKX109" s="267"/>
      <c r="BKY109" s="267"/>
      <c r="BKZ109" s="267"/>
      <c r="BLA109" s="267"/>
      <c r="BLB109" s="267"/>
      <c r="BLC109" s="267"/>
      <c r="BLD109" s="267"/>
      <c r="BLE109" s="267"/>
      <c r="BLF109" s="267"/>
      <c r="BLG109" s="267"/>
      <c r="BLH109" s="267"/>
      <c r="BLI109" s="267"/>
      <c r="BLJ109" s="267"/>
      <c r="BLK109" s="267"/>
      <c r="BLL109" s="267"/>
      <c r="BLM109" s="267"/>
      <c r="BLN109" s="267"/>
      <c r="BLO109" s="267"/>
      <c r="BLP109" s="267"/>
      <c r="BLQ109" s="267"/>
      <c r="BLR109" s="267"/>
      <c r="BLS109" s="267"/>
      <c r="BLT109" s="267"/>
      <c r="BLU109" s="267"/>
      <c r="BLV109" s="267"/>
      <c r="BLW109" s="267"/>
      <c r="BLX109" s="267"/>
      <c r="BLY109" s="267"/>
      <c r="BLZ109" s="267"/>
      <c r="BMA109" s="267"/>
      <c r="BMB109" s="267"/>
      <c r="BMC109" s="267"/>
      <c r="BMD109" s="267"/>
      <c r="BME109" s="267"/>
      <c r="BMF109" s="267"/>
      <c r="BMG109" s="267"/>
      <c r="BMH109" s="267"/>
      <c r="BMI109" s="267"/>
      <c r="BMJ109" s="267"/>
      <c r="BMK109" s="267"/>
      <c r="BML109" s="267"/>
      <c r="BMM109" s="267"/>
      <c r="BMN109" s="267"/>
      <c r="BMO109" s="267"/>
      <c r="BMP109" s="267"/>
      <c r="BMQ109" s="267"/>
      <c r="BMR109" s="267"/>
      <c r="BMS109" s="267"/>
      <c r="BMT109" s="267"/>
      <c r="BMU109" s="267"/>
      <c r="BMV109" s="267"/>
      <c r="BMW109" s="267"/>
      <c r="BMX109" s="267"/>
      <c r="BMY109" s="267"/>
      <c r="BMZ109" s="267"/>
      <c r="BNA109" s="267"/>
      <c r="BNB109" s="267"/>
      <c r="BNC109" s="267"/>
      <c r="BND109" s="267"/>
      <c r="BNE109" s="267"/>
      <c r="BNF109" s="267"/>
      <c r="BNG109" s="267"/>
      <c r="BNH109" s="267"/>
      <c r="BNI109" s="267"/>
      <c r="BNJ109" s="267"/>
      <c r="BNK109" s="267"/>
      <c r="BNL109" s="267"/>
      <c r="BNM109" s="267"/>
      <c r="BNN109" s="267"/>
      <c r="BNO109" s="267"/>
      <c r="BNP109" s="267"/>
      <c r="BNQ109" s="267"/>
      <c r="BNR109" s="267"/>
      <c r="BNS109" s="267"/>
      <c r="BNT109" s="267"/>
      <c r="BNU109" s="267"/>
      <c r="BNV109" s="267"/>
      <c r="BNW109" s="267"/>
      <c r="BNX109" s="267"/>
      <c r="BNY109" s="267"/>
      <c r="BNZ109" s="267"/>
      <c r="BOA109" s="267"/>
      <c r="BOB109" s="267"/>
      <c r="BOC109" s="267"/>
      <c r="BOD109" s="267"/>
      <c r="BOE109" s="267"/>
      <c r="BOF109" s="267"/>
      <c r="BOG109" s="267"/>
      <c r="BOH109" s="267"/>
      <c r="BOI109" s="267"/>
      <c r="BOJ109" s="267"/>
      <c r="BOK109" s="267"/>
      <c r="BOL109" s="267"/>
      <c r="BOM109" s="267"/>
      <c r="BON109" s="267"/>
      <c r="BOO109" s="267"/>
      <c r="BOP109" s="267"/>
      <c r="BOQ109" s="267"/>
      <c r="BOR109" s="267"/>
      <c r="BOS109" s="267"/>
      <c r="BOT109" s="267"/>
      <c r="BOU109" s="267"/>
      <c r="BOV109" s="267"/>
      <c r="BOW109" s="267"/>
      <c r="BOX109" s="267"/>
      <c r="BOY109" s="267"/>
      <c r="BOZ109" s="267"/>
      <c r="BPA109" s="267"/>
      <c r="BPB109" s="267"/>
      <c r="BPC109" s="267"/>
      <c r="BPD109" s="267"/>
      <c r="BPE109" s="267"/>
      <c r="BPF109" s="267"/>
      <c r="BPG109" s="267"/>
      <c r="BPH109" s="267"/>
      <c r="BPI109" s="267"/>
      <c r="BPJ109" s="267"/>
      <c r="BPK109" s="267"/>
      <c r="BPL109" s="267"/>
      <c r="BPM109" s="267"/>
      <c r="BPN109" s="267"/>
      <c r="BPO109" s="267"/>
      <c r="BPP109" s="267"/>
      <c r="BPQ109" s="267"/>
      <c r="BPR109" s="267"/>
      <c r="BPS109" s="267"/>
      <c r="BPT109" s="267"/>
      <c r="BPU109" s="267"/>
      <c r="BPV109" s="267"/>
      <c r="BPW109" s="267"/>
      <c r="BPX109" s="267"/>
      <c r="BPY109" s="267"/>
      <c r="BPZ109" s="267"/>
      <c r="BQA109" s="267"/>
      <c r="BQB109" s="267"/>
      <c r="BQC109" s="267"/>
      <c r="BQD109" s="267"/>
      <c r="BQE109" s="267"/>
      <c r="BQF109" s="267"/>
      <c r="BQG109" s="267"/>
      <c r="BQH109" s="267"/>
      <c r="BQI109" s="267"/>
      <c r="BQJ109" s="267"/>
      <c r="BQK109" s="267"/>
      <c r="BQL109" s="267"/>
      <c r="BQM109" s="267"/>
      <c r="BQN109" s="267"/>
      <c r="BQO109" s="267"/>
      <c r="BQP109" s="267"/>
      <c r="BQQ109" s="267"/>
      <c r="BQR109" s="267"/>
      <c r="BQS109" s="267"/>
      <c r="BQT109" s="267"/>
      <c r="BQU109" s="267"/>
      <c r="BQV109" s="267"/>
      <c r="BQW109" s="267"/>
      <c r="BQX109" s="267"/>
      <c r="BQY109" s="267"/>
      <c r="BQZ109" s="267"/>
      <c r="BRA109" s="267"/>
      <c r="BRB109" s="267"/>
      <c r="BRC109" s="267"/>
      <c r="BRD109" s="267"/>
      <c r="BRE109" s="267"/>
      <c r="BRF109" s="267"/>
      <c r="BRG109" s="267"/>
      <c r="BRH109" s="267"/>
      <c r="BRI109" s="267"/>
      <c r="BRJ109" s="267"/>
      <c r="BRK109" s="267"/>
      <c r="BRL109" s="267"/>
      <c r="BRM109" s="267"/>
      <c r="BRN109" s="267"/>
      <c r="BRO109" s="267"/>
      <c r="BRP109" s="267"/>
      <c r="BRQ109" s="267"/>
      <c r="BRR109" s="267"/>
      <c r="BRS109" s="267"/>
      <c r="BRT109" s="267"/>
      <c r="BRU109" s="267"/>
      <c r="BRV109" s="267"/>
      <c r="BRW109" s="267"/>
      <c r="BRX109" s="267"/>
      <c r="BRY109" s="267"/>
      <c r="BRZ109" s="267"/>
      <c r="BSA109" s="267"/>
      <c r="BSB109" s="267"/>
      <c r="BSC109" s="267"/>
      <c r="BSD109" s="267"/>
      <c r="BSE109" s="267"/>
      <c r="BSF109" s="267"/>
      <c r="BSG109" s="267"/>
      <c r="BSH109" s="267"/>
      <c r="BSI109" s="267"/>
      <c r="BSJ109" s="267"/>
      <c r="BSK109" s="267"/>
      <c r="BSL109" s="267"/>
      <c r="BSM109" s="267"/>
      <c r="BSN109" s="267"/>
      <c r="BSO109" s="267"/>
      <c r="BSP109" s="267"/>
      <c r="BSQ109" s="267"/>
      <c r="BSR109" s="267"/>
      <c r="BSS109" s="267"/>
      <c r="BST109" s="267"/>
      <c r="BSU109" s="267"/>
      <c r="BSV109" s="267"/>
      <c r="BSW109" s="267"/>
      <c r="BSX109" s="267"/>
      <c r="BSY109" s="267"/>
      <c r="BSZ109" s="267"/>
      <c r="BTA109" s="267"/>
      <c r="BTB109" s="267"/>
      <c r="BTC109" s="267"/>
      <c r="BTD109" s="267"/>
      <c r="BTE109" s="267"/>
      <c r="BTF109" s="267"/>
      <c r="BTG109" s="267"/>
      <c r="BTH109" s="267"/>
      <c r="BTI109" s="267"/>
      <c r="BTJ109" s="267"/>
      <c r="BTK109" s="267"/>
      <c r="BTL109" s="267"/>
      <c r="BTM109" s="267"/>
      <c r="BTN109" s="267"/>
      <c r="BTO109" s="267"/>
      <c r="BTP109" s="267"/>
      <c r="BTQ109" s="267"/>
      <c r="BTR109" s="267"/>
      <c r="BTS109" s="267"/>
      <c r="BTT109" s="267"/>
      <c r="BTU109" s="267"/>
      <c r="BTV109" s="267"/>
      <c r="BTW109" s="267"/>
      <c r="BTX109" s="267"/>
      <c r="BTY109" s="267"/>
      <c r="BTZ109" s="267"/>
      <c r="BUA109" s="267"/>
      <c r="BUB109" s="267"/>
      <c r="BUC109" s="267"/>
      <c r="BUD109" s="267"/>
      <c r="BUE109" s="267"/>
      <c r="BUF109" s="267"/>
      <c r="BUG109" s="267"/>
      <c r="BUH109" s="267"/>
      <c r="BUI109" s="267"/>
      <c r="BUJ109" s="267"/>
      <c r="BUK109" s="267"/>
      <c r="BUL109" s="267"/>
      <c r="BUM109" s="267"/>
      <c r="BUN109" s="267"/>
      <c r="BUO109" s="267"/>
      <c r="BUP109" s="267"/>
      <c r="BUQ109" s="267"/>
      <c r="BUR109" s="267"/>
      <c r="BUS109" s="267"/>
      <c r="BUT109" s="267"/>
      <c r="BUU109" s="267"/>
      <c r="BUV109" s="267"/>
      <c r="BUW109" s="267"/>
      <c r="BUX109" s="267"/>
      <c r="BUY109" s="267"/>
      <c r="BUZ109" s="267"/>
      <c r="BVA109" s="267"/>
      <c r="BVB109" s="267"/>
      <c r="BVC109" s="267"/>
      <c r="BVD109" s="267"/>
      <c r="BVE109" s="267"/>
      <c r="BVF109" s="267"/>
      <c r="BVG109" s="267"/>
      <c r="BVH109" s="267"/>
      <c r="BVI109" s="267"/>
      <c r="BVJ109" s="267"/>
      <c r="BVK109" s="267"/>
      <c r="BVL109" s="267"/>
      <c r="BVM109" s="267"/>
      <c r="BVN109" s="267"/>
      <c r="BVO109" s="267"/>
      <c r="BVP109" s="267"/>
      <c r="BVQ109" s="267"/>
      <c r="BVR109" s="267"/>
      <c r="BVS109" s="267"/>
      <c r="BVT109" s="267"/>
      <c r="BVU109" s="267"/>
      <c r="BVV109" s="267"/>
      <c r="BVW109" s="267"/>
      <c r="BVX109" s="267"/>
      <c r="BVY109" s="267"/>
      <c r="BVZ109" s="267"/>
      <c r="BWA109" s="267"/>
      <c r="BWB109" s="267"/>
      <c r="BWC109" s="267"/>
      <c r="BWD109" s="267"/>
      <c r="BWE109" s="267"/>
      <c r="BWF109" s="267"/>
      <c r="BWG109" s="267"/>
      <c r="BWH109" s="267"/>
      <c r="BWI109" s="267"/>
      <c r="BWJ109" s="267"/>
      <c r="BWK109" s="267"/>
      <c r="BWL109" s="267"/>
      <c r="BWM109" s="267"/>
      <c r="BWN109" s="267"/>
      <c r="BWO109" s="267"/>
      <c r="BWP109" s="267"/>
      <c r="BWQ109" s="267"/>
      <c r="BWR109" s="267"/>
      <c r="BWS109" s="267"/>
      <c r="BWT109" s="267"/>
      <c r="BWU109" s="267"/>
      <c r="BWV109" s="267"/>
      <c r="BWW109" s="267"/>
      <c r="BWX109" s="267"/>
      <c r="BWY109" s="267"/>
      <c r="BWZ109" s="267"/>
      <c r="BXA109" s="267"/>
      <c r="BXB109" s="267"/>
      <c r="BXC109" s="267"/>
      <c r="BXD109" s="267"/>
      <c r="BXE109" s="267"/>
      <c r="BXF109" s="267"/>
      <c r="BXG109" s="267"/>
      <c r="BXH109" s="267"/>
      <c r="BXI109" s="267"/>
      <c r="BXJ109" s="267"/>
      <c r="BXK109" s="267"/>
      <c r="BXL109" s="267"/>
      <c r="BXM109" s="267"/>
      <c r="BXN109" s="267"/>
      <c r="BXO109" s="267"/>
      <c r="BXP109" s="267"/>
      <c r="BXQ109" s="267"/>
      <c r="BXR109" s="267"/>
      <c r="BXS109" s="267"/>
      <c r="BXT109" s="267"/>
      <c r="BXU109" s="267"/>
      <c r="BXV109" s="267"/>
      <c r="BXW109" s="267"/>
      <c r="BXX109" s="267"/>
      <c r="BXY109" s="267"/>
      <c r="BXZ109" s="267"/>
      <c r="BYA109" s="267"/>
      <c r="BYB109" s="267"/>
      <c r="BYC109" s="267"/>
      <c r="BYD109" s="267"/>
      <c r="BYE109" s="267"/>
      <c r="BYF109" s="267"/>
      <c r="BYG109" s="267"/>
      <c r="BYH109" s="267"/>
      <c r="BYI109" s="267"/>
      <c r="BYJ109" s="267"/>
      <c r="BYK109" s="267"/>
      <c r="BYL109" s="267"/>
      <c r="BYM109" s="267"/>
      <c r="BYN109" s="267"/>
      <c r="BYO109" s="267"/>
      <c r="BYP109" s="267"/>
      <c r="BYQ109" s="267"/>
      <c r="BYR109" s="267"/>
      <c r="BYS109" s="267"/>
      <c r="BYT109" s="267"/>
      <c r="BYU109" s="267"/>
      <c r="BYV109" s="267"/>
      <c r="BYW109" s="267"/>
      <c r="BYX109" s="267"/>
      <c r="BYY109" s="267"/>
      <c r="BYZ109" s="267"/>
      <c r="BZA109" s="267"/>
      <c r="BZB109" s="267"/>
      <c r="BZC109" s="267"/>
      <c r="BZD109" s="267"/>
      <c r="BZE109" s="267"/>
      <c r="BZF109" s="267"/>
      <c r="BZG109" s="267"/>
      <c r="BZH109" s="267"/>
      <c r="BZI109" s="267"/>
      <c r="BZJ109" s="267"/>
      <c r="BZK109" s="267"/>
      <c r="BZL109" s="267"/>
      <c r="BZM109" s="267"/>
      <c r="BZN109" s="267"/>
      <c r="BZO109" s="267"/>
      <c r="BZP109" s="267"/>
      <c r="BZQ109" s="267"/>
      <c r="BZR109" s="267"/>
      <c r="BZS109" s="267"/>
      <c r="BZT109" s="267"/>
      <c r="BZU109" s="267"/>
      <c r="BZV109" s="267"/>
      <c r="BZW109" s="267"/>
      <c r="BZX109" s="267"/>
      <c r="BZY109" s="267"/>
      <c r="BZZ109" s="267"/>
      <c r="CAA109" s="267"/>
      <c r="CAB109" s="267"/>
      <c r="CAC109" s="267"/>
      <c r="CAD109" s="267"/>
      <c r="CAE109" s="267"/>
      <c r="CAF109" s="267"/>
      <c r="CAG109" s="267"/>
      <c r="CAH109" s="267"/>
      <c r="CAI109" s="267"/>
      <c r="CAJ109" s="267"/>
      <c r="CAK109" s="267"/>
      <c r="CAL109" s="267"/>
      <c r="CAM109" s="267"/>
      <c r="CAN109" s="267"/>
      <c r="CAO109" s="267"/>
      <c r="CAP109" s="267"/>
      <c r="CAQ109" s="267"/>
      <c r="CAR109" s="267"/>
      <c r="CAS109" s="267"/>
      <c r="CAT109" s="267"/>
      <c r="CAU109" s="267"/>
      <c r="CAV109" s="267"/>
      <c r="CAW109" s="267"/>
      <c r="CAX109" s="267"/>
      <c r="CAY109" s="267"/>
      <c r="CAZ109" s="267"/>
      <c r="CBA109" s="267"/>
      <c r="CBB109" s="267"/>
      <c r="CBC109" s="267"/>
      <c r="CBD109" s="267"/>
      <c r="CBE109" s="267"/>
      <c r="CBF109" s="267"/>
      <c r="CBG109" s="267"/>
      <c r="CBH109" s="267"/>
      <c r="CBI109" s="267"/>
      <c r="CBJ109" s="267"/>
      <c r="CBK109" s="267"/>
      <c r="CBL109" s="267"/>
      <c r="CBM109" s="267"/>
      <c r="CBN109" s="267"/>
      <c r="CBO109" s="267"/>
      <c r="CBP109" s="267"/>
      <c r="CBQ109" s="267"/>
      <c r="CBR109" s="267"/>
      <c r="CBS109" s="267"/>
      <c r="CBT109" s="267"/>
      <c r="CBU109" s="267"/>
      <c r="CBV109" s="267"/>
      <c r="CBW109" s="267"/>
      <c r="CBX109" s="267"/>
      <c r="CBY109" s="267"/>
      <c r="CBZ109" s="267"/>
      <c r="CCA109" s="267"/>
      <c r="CCB109" s="267"/>
      <c r="CCC109" s="267"/>
      <c r="CCD109" s="267"/>
      <c r="CCE109" s="267"/>
      <c r="CCF109" s="267"/>
      <c r="CCG109" s="267"/>
      <c r="CCH109" s="267"/>
      <c r="CCI109" s="267"/>
      <c r="CCJ109" s="267"/>
      <c r="CCK109" s="267"/>
      <c r="CCL109" s="267"/>
      <c r="CCM109" s="267"/>
      <c r="CCN109" s="267"/>
      <c r="CCO109" s="267"/>
      <c r="CCP109" s="267"/>
      <c r="CCQ109" s="267"/>
      <c r="CCR109" s="267"/>
      <c r="CCS109" s="267"/>
      <c r="CCT109" s="267"/>
      <c r="CCU109" s="267"/>
      <c r="CCV109" s="267"/>
      <c r="CCW109" s="267"/>
      <c r="CCX109" s="267"/>
      <c r="CCY109" s="267"/>
      <c r="CCZ109" s="267"/>
      <c r="CDA109" s="267"/>
      <c r="CDB109" s="267"/>
      <c r="CDC109" s="267"/>
      <c r="CDD109" s="267"/>
      <c r="CDE109" s="267"/>
      <c r="CDF109" s="267"/>
      <c r="CDG109" s="267"/>
      <c r="CDH109" s="267"/>
      <c r="CDI109" s="267"/>
      <c r="CDJ109" s="267"/>
      <c r="CDK109" s="267"/>
      <c r="CDL109" s="267"/>
      <c r="CDM109" s="267"/>
      <c r="CDN109" s="267"/>
      <c r="CDO109" s="267"/>
      <c r="CDP109" s="267"/>
      <c r="CDQ109" s="267"/>
      <c r="CDR109" s="267"/>
      <c r="CDS109" s="267"/>
      <c r="CDT109" s="267"/>
      <c r="CDU109" s="267"/>
      <c r="CDV109" s="267"/>
      <c r="CDW109" s="267"/>
      <c r="CDX109" s="267"/>
      <c r="CDY109" s="267"/>
      <c r="CDZ109" s="267"/>
      <c r="CEA109" s="267"/>
      <c r="CEB109" s="267"/>
      <c r="CEC109" s="267"/>
      <c r="CED109" s="267"/>
      <c r="CEE109" s="267"/>
      <c r="CEF109" s="267"/>
      <c r="CEG109" s="267"/>
      <c r="CEH109" s="267"/>
      <c r="CEI109" s="267"/>
      <c r="CEJ109" s="267"/>
      <c r="CEK109" s="267"/>
      <c r="CEL109" s="267"/>
      <c r="CEM109" s="267"/>
      <c r="CEN109" s="267"/>
      <c r="CEO109" s="267"/>
      <c r="CEP109" s="267"/>
      <c r="CEQ109" s="267"/>
      <c r="CER109" s="267"/>
      <c r="CES109" s="267"/>
      <c r="CET109" s="267"/>
      <c r="CEU109" s="267"/>
      <c r="CEV109" s="267"/>
      <c r="CEW109" s="267"/>
      <c r="CEX109" s="267"/>
      <c r="CEY109" s="267"/>
      <c r="CEZ109" s="267"/>
      <c r="CFA109" s="267"/>
      <c r="CFB109" s="267"/>
      <c r="CFC109" s="267"/>
      <c r="CFD109" s="267"/>
      <c r="CFE109" s="267"/>
      <c r="CFF109" s="267"/>
      <c r="CFG109" s="267"/>
      <c r="CFH109" s="267"/>
      <c r="CFI109" s="267"/>
      <c r="CFJ109" s="267"/>
      <c r="CFK109" s="267"/>
      <c r="CFL109" s="267"/>
      <c r="CFM109" s="267"/>
      <c r="CFN109" s="267"/>
      <c r="CFO109" s="267"/>
      <c r="CFP109" s="267"/>
      <c r="CFQ109" s="267"/>
      <c r="CFR109" s="267"/>
      <c r="CFS109" s="267"/>
      <c r="CFT109" s="267"/>
      <c r="CFU109" s="267"/>
      <c r="CFV109" s="267"/>
      <c r="CFW109" s="267"/>
      <c r="CFX109" s="267"/>
      <c r="CFY109" s="267"/>
      <c r="CFZ109" s="267"/>
      <c r="CGA109" s="267"/>
      <c r="CGB109" s="267"/>
      <c r="CGC109" s="267"/>
      <c r="CGD109" s="267"/>
      <c r="CGE109" s="267"/>
      <c r="CGF109" s="267"/>
      <c r="CGG109" s="267"/>
      <c r="CGH109" s="267"/>
      <c r="CGI109" s="267"/>
      <c r="CGJ109" s="267"/>
      <c r="CGK109" s="267"/>
      <c r="CGL109" s="267"/>
      <c r="CGM109" s="267"/>
      <c r="CGN109" s="267"/>
      <c r="CGO109" s="267"/>
      <c r="CGP109" s="267"/>
      <c r="CGQ109" s="267"/>
      <c r="CGR109" s="267"/>
      <c r="CGS109" s="267"/>
      <c r="CGT109" s="267"/>
      <c r="CGU109" s="267"/>
      <c r="CGV109" s="267"/>
      <c r="CGW109" s="267"/>
      <c r="CGX109" s="267"/>
      <c r="CGY109" s="267"/>
      <c r="CGZ109" s="267"/>
      <c r="CHA109" s="267"/>
      <c r="CHB109" s="267"/>
      <c r="CHC109" s="267"/>
      <c r="CHD109" s="267"/>
      <c r="CHE109" s="267"/>
      <c r="CHF109" s="267"/>
      <c r="CHG109" s="267"/>
      <c r="CHH109" s="267"/>
      <c r="CHI109" s="267"/>
      <c r="CHJ109" s="267"/>
      <c r="CHK109" s="267"/>
      <c r="CHL109" s="267"/>
      <c r="CHM109" s="267"/>
      <c r="CHN109" s="267"/>
      <c r="CHO109" s="267"/>
      <c r="CHP109" s="267"/>
      <c r="CHQ109" s="267"/>
      <c r="CHR109" s="267"/>
      <c r="CHS109" s="267"/>
      <c r="CHT109" s="267"/>
      <c r="CHU109" s="267"/>
      <c r="CHV109" s="267"/>
      <c r="CHW109" s="267"/>
      <c r="CHX109" s="267"/>
      <c r="CHY109" s="267"/>
      <c r="CHZ109" s="267"/>
      <c r="CIA109" s="267"/>
      <c r="CIB109" s="267"/>
      <c r="CIC109" s="267"/>
      <c r="CID109" s="267"/>
      <c r="CIE109" s="267"/>
      <c r="CIF109" s="267"/>
      <c r="CIG109" s="267"/>
      <c r="CIH109" s="267"/>
      <c r="CII109" s="267"/>
      <c r="CIJ109" s="267"/>
      <c r="CIK109" s="267"/>
      <c r="CIL109" s="267"/>
      <c r="CIM109" s="267"/>
      <c r="CIN109" s="267"/>
      <c r="CIO109" s="267"/>
      <c r="CIP109" s="267"/>
      <c r="CIQ109" s="267"/>
      <c r="CIR109" s="267"/>
      <c r="CIS109" s="267"/>
      <c r="CIT109" s="267"/>
      <c r="CIU109" s="267"/>
      <c r="CIV109" s="267"/>
      <c r="CIW109" s="267"/>
      <c r="CIX109" s="267"/>
      <c r="CIY109" s="267"/>
      <c r="CIZ109" s="267"/>
      <c r="CJA109" s="267"/>
      <c r="CJB109" s="267"/>
      <c r="CJC109" s="267"/>
      <c r="CJD109" s="267"/>
      <c r="CJE109" s="267"/>
      <c r="CJF109" s="267"/>
      <c r="CJG109" s="267"/>
      <c r="CJH109" s="267"/>
      <c r="CJI109" s="267"/>
      <c r="CJJ109" s="267"/>
      <c r="CJK109" s="267"/>
      <c r="CJL109" s="267"/>
      <c r="CJM109" s="267"/>
      <c r="CJN109" s="267"/>
      <c r="CJO109" s="267"/>
      <c r="CJP109" s="267"/>
      <c r="CJQ109" s="267"/>
      <c r="CJR109" s="267"/>
      <c r="CJS109" s="267"/>
      <c r="CJT109" s="267"/>
      <c r="CJU109" s="267"/>
      <c r="CJV109" s="267"/>
      <c r="CJW109" s="267"/>
      <c r="CJX109" s="267"/>
      <c r="CJY109" s="267"/>
      <c r="CJZ109" s="267"/>
      <c r="CKA109" s="267"/>
      <c r="CKB109" s="267"/>
      <c r="CKC109" s="267"/>
      <c r="CKD109" s="267"/>
      <c r="CKE109" s="267"/>
      <c r="CKF109" s="267"/>
      <c r="CKG109" s="267"/>
      <c r="CKH109" s="267"/>
      <c r="CKI109" s="267"/>
      <c r="CKJ109" s="267"/>
      <c r="CKK109" s="267"/>
      <c r="CKL109" s="267"/>
      <c r="CKM109" s="267"/>
      <c r="CKN109" s="267"/>
      <c r="CKO109" s="267"/>
      <c r="CKP109" s="267"/>
      <c r="CKQ109" s="267"/>
      <c r="CKR109" s="267"/>
      <c r="CKS109" s="267"/>
      <c r="CKT109" s="267"/>
      <c r="CKU109" s="267"/>
      <c r="CKV109" s="267"/>
      <c r="CKW109" s="267"/>
      <c r="CKX109" s="267"/>
      <c r="CKY109" s="267"/>
      <c r="CKZ109" s="267"/>
      <c r="CLA109" s="267"/>
      <c r="CLB109" s="267"/>
      <c r="CLC109" s="267"/>
      <c r="CLD109" s="267"/>
      <c r="CLE109" s="267"/>
      <c r="CLF109" s="267"/>
      <c r="CLG109" s="267"/>
      <c r="CLH109" s="267"/>
      <c r="CLI109" s="267"/>
      <c r="CLJ109" s="267"/>
      <c r="CLK109" s="267"/>
      <c r="CLL109" s="267"/>
      <c r="CLM109" s="267"/>
      <c r="CLN109" s="267"/>
      <c r="CLO109" s="267"/>
      <c r="CLP109" s="267"/>
      <c r="CLQ109" s="267"/>
      <c r="CLR109" s="267"/>
      <c r="CLS109" s="267"/>
      <c r="CLT109" s="267"/>
      <c r="CLU109" s="267"/>
      <c r="CLV109" s="267"/>
      <c r="CLW109" s="267"/>
      <c r="CLX109" s="267"/>
      <c r="CLY109" s="267"/>
      <c r="CLZ109" s="267"/>
      <c r="CMA109" s="267"/>
      <c r="CMB109" s="267"/>
      <c r="CMC109" s="267"/>
      <c r="CMD109" s="267"/>
      <c r="CME109" s="267"/>
      <c r="CMF109" s="267"/>
      <c r="CMG109" s="267"/>
      <c r="CMH109" s="267"/>
      <c r="CMI109" s="267"/>
      <c r="CMJ109" s="267"/>
      <c r="CMK109" s="267"/>
      <c r="CML109" s="267"/>
      <c r="CMM109" s="267"/>
      <c r="CMN109" s="267"/>
      <c r="CMO109" s="267"/>
      <c r="CMP109" s="267"/>
      <c r="CMQ109" s="267"/>
      <c r="CMR109" s="267"/>
      <c r="CMS109" s="267"/>
      <c r="CMT109" s="267"/>
      <c r="CMU109" s="267"/>
      <c r="CMV109" s="267"/>
      <c r="CMW109" s="267"/>
      <c r="CMX109" s="267"/>
      <c r="CMY109" s="267"/>
      <c r="CMZ109" s="267"/>
      <c r="CNA109" s="267"/>
      <c r="CNB109" s="267"/>
      <c r="CNC109" s="267"/>
      <c r="CND109" s="267"/>
      <c r="CNE109" s="267"/>
      <c r="CNF109" s="267"/>
      <c r="CNG109" s="267"/>
      <c r="CNH109" s="267"/>
      <c r="CNI109" s="267"/>
      <c r="CNJ109" s="267"/>
      <c r="CNK109" s="267"/>
      <c r="CNL109" s="267"/>
      <c r="CNM109" s="267"/>
      <c r="CNN109" s="267"/>
      <c r="CNO109" s="267"/>
      <c r="CNP109" s="267"/>
      <c r="CNQ109" s="267"/>
      <c r="CNR109" s="267"/>
      <c r="CNS109" s="267"/>
      <c r="CNT109" s="267"/>
      <c r="CNU109" s="267"/>
      <c r="CNV109" s="267"/>
      <c r="CNW109" s="267"/>
      <c r="CNX109" s="267"/>
      <c r="CNY109" s="267"/>
      <c r="CNZ109" s="267"/>
      <c r="COA109" s="267"/>
      <c r="COB109" s="267"/>
      <c r="COC109" s="267"/>
      <c r="COD109" s="267"/>
      <c r="COE109" s="267"/>
      <c r="COF109" s="267"/>
      <c r="COG109" s="267"/>
      <c r="COH109" s="267"/>
      <c r="COI109" s="267"/>
      <c r="COJ109" s="267"/>
      <c r="COK109" s="267"/>
      <c r="COL109" s="267"/>
      <c r="COM109" s="267"/>
      <c r="CON109" s="267"/>
      <c r="COO109" s="267"/>
      <c r="COP109" s="267"/>
      <c r="COQ109" s="267"/>
      <c r="COR109" s="267"/>
      <c r="COS109" s="267"/>
      <c r="COT109" s="267"/>
      <c r="COU109" s="267"/>
      <c r="COV109" s="267"/>
      <c r="COW109" s="267"/>
      <c r="COX109" s="267"/>
      <c r="COY109" s="267"/>
      <c r="COZ109" s="267"/>
      <c r="CPA109" s="267"/>
      <c r="CPB109" s="267"/>
      <c r="CPC109" s="267"/>
      <c r="CPD109" s="267"/>
      <c r="CPE109" s="267"/>
      <c r="CPF109" s="267"/>
      <c r="CPG109" s="267"/>
      <c r="CPH109" s="267"/>
      <c r="CPI109" s="267"/>
      <c r="CPJ109" s="267"/>
      <c r="CPK109" s="267"/>
      <c r="CPL109" s="267"/>
      <c r="CPM109" s="267"/>
      <c r="CPN109" s="267"/>
      <c r="CPO109" s="267"/>
      <c r="CPP109" s="267"/>
      <c r="CPQ109" s="267"/>
      <c r="CPR109" s="267"/>
      <c r="CPS109" s="267"/>
      <c r="CPT109" s="267"/>
      <c r="CPU109" s="267"/>
      <c r="CPV109" s="267"/>
      <c r="CPW109" s="267"/>
      <c r="CPX109" s="267"/>
      <c r="CPY109" s="267"/>
      <c r="CPZ109" s="267"/>
      <c r="CQA109" s="267"/>
      <c r="CQB109" s="267"/>
      <c r="CQC109" s="267"/>
      <c r="CQD109" s="267"/>
      <c r="CQE109" s="267"/>
      <c r="CQF109" s="267"/>
      <c r="CQG109" s="267"/>
      <c r="CQH109" s="267"/>
      <c r="CQI109" s="267"/>
      <c r="CQJ109" s="267"/>
      <c r="CQK109" s="267"/>
      <c r="CQL109" s="267"/>
      <c r="CQM109" s="267"/>
      <c r="CQN109" s="267"/>
      <c r="CQO109" s="267"/>
      <c r="CQP109" s="267"/>
      <c r="CQQ109" s="267"/>
      <c r="CQR109" s="267"/>
      <c r="CQS109" s="267"/>
      <c r="CQT109" s="267"/>
      <c r="CQU109" s="267"/>
      <c r="CQV109" s="267"/>
      <c r="CQW109" s="267"/>
      <c r="CQX109" s="267"/>
      <c r="CQY109" s="267"/>
      <c r="CQZ109" s="267"/>
      <c r="CRA109" s="267"/>
      <c r="CRB109" s="267"/>
      <c r="CRC109" s="267"/>
      <c r="CRD109" s="267"/>
      <c r="CRE109" s="267"/>
      <c r="CRF109" s="267"/>
      <c r="CRG109" s="267"/>
      <c r="CRH109" s="267"/>
      <c r="CRI109" s="267"/>
      <c r="CRJ109" s="267"/>
      <c r="CRK109" s="267"/>
      <c r="CRL109" s="267"/>
      <c r="CRM109" s="267"/>
      <c r="CRN109" s="267"/>
      <c r="CRO109" s="267"/>
      <c r="CRP109" s="267"/>
      <c r="CRQ109" s="267"/>
      <c r="CRR109" s="267"/>
      <c r="CRS109" s="267"/>
      <c r="CRT109" s="267"/>
      <c r="CRU109" s="267"/>
      <c r="CRV109" s="267"/>
      <c r="CRW109" s="267"/>
      <c r="CRX109" s="267"/>
      <c r="CRY109" s="267"/>
      <c r="CRZ109" s="267"/>
      <c r="CSA109" s="267"/>
      <c r="CSB109" s="267"/>
      <c r="CSC109" s="267"/>
      <c r="CSD109" s="267"/>
      <c r="CSE109" s="267"/>
      <c r="CSF109" s="267"/>
      <c r="CSG109" s="267"/>
      <c r="CSH109" s="267"/>
      <c r="CSI109" s="267"/>
      <c r="CSJ109" s="267"/>
      <c r="CSK109" s="267"/>
      <c r="CSL109" s="267"/>
      <c r="CSM109" s="267"/>
      <c r="CSN109" s="267"/>
      <c r="CSO109" s="267"/>
      <c r="CSP109" s="267"/>
      <c r="CSQ109" s="267"/>
      <c r="CSR109" s="267"/>
      <c r="CSS109" s="267"/>
      <c r="CST109" s="267"/>
      <c r="CSU109" s="267"/>
      <c r="CSV109" s="267"/>
      <c r="CSW109" s="267"/>
      <c r="CSX109" s="267"/>
      <c r="CSY109" s="267"/>
      <c r="CSZ109" s="267"/>
      <c r="CTA109" s="267"/>
      <c r="CTB109" s="267"/>
      <c r="CTC109" s="267"/>
      <c r="CTD109" s="267"/>
      <c r="CTE109" s="267"/>
      <c r="CTF109" s="267"/>
      <c r="CTG109" s="267"/>
      <c r="CTH109" s="267"/>
      <c r="CTI109" s="267"/>
      <c r="CTJ109" s="267"/>
      <c r="CTK109" s="267"/>
      <c r="CTL109" s="267"/>
      <c r="CTM109" s="267"/>
      <c r="CTN109" s="267"/>
      <c r="CTO109" s="267"/>
      <c r="CTP109" s="267"/>
      <c r="CTQ109" s="267"/>
      <c r="CTR109" s="267"/>
      <c r="CTS109" s="267"/>
      <c r="CTT109" s="267"/>
      <c r="CTU109" s="267"/>
      <c r="CTV109" s="267"/>
      <c r="CTW109" s="267"/>
      <c r="CTX109" s="267"/>
      <c r="CTY109" s="267"/>
      <c r="CTZ109" s="267"/>
      <c r="CUA109" s="267"/>
    </row>
    <row r="110" s="30" customFormat="1" spans="1:2575">
      <c r="A110" s="268">
        <v>116</v>
      </c>
      <c r="B110" s="268" t="s">
        <v>14</v>
      </c>
      <c r="C110" s="268" t="s">
        <v>37</v>
      </c>
      <c r="D110" s="82" t="s">
        <v>262</v>
      </c>
      <c r="E110" s="29" t="s">
        <v>669</v>
      </c>
      <c r="F110" s="31" t="s">
        <v>42</v>
      </c>
      <c r="G110" s="31" t="s">
        <v>670</v>
      </c>
      <c r="H110" s="119" t="s">
        <v>927</v>
      </c>
      <c r="I110" s="119">
        <v>2020.8</v>
      </c>
      <c r="J110" s="31" t="s">
        <v>672</v>
      </c>
      <c r="K110" s="31">
        <v>0.001</v>
      </c>
      <c r="L110" s="29" t="s">
        <v>673</v>
      </c>
      <c r="M110" s="29" t="s">
        <v>674</v>
      </c>
      <c r="N110" s="94">
        <v>45799</v>
      </c>
      <c r="O110" s="94">
        <v>46163</v>
      </c>
      <c r="P110" s="82">
        <v>336</v>
      </c>
      <c r="Q110" s="85" t="s">
        <v>928</v>
      </c>
      <c r="R110" s="322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  <c r="AR110" s="267"/>
      <c r="AS110" s="267"/>
      <c r="AT110" s="267"/>
      <c r="AU110" s="267"/>
      <c r="AV110" s="267"/>
      <c r="AW110" s="267"/>
      <c r="AX110" s="267"/>
      <c r="AY110" s="267"/>
      <c r="AZ110" s="267"/>
      <c r="BA110" s="267"/>
      <c r="BB110" s="267"/>
      <c r="BC110" s="267"/>
      <c r="BD110" s="267"/>
      <c r="BE110" s="267"/>
      <c r="BF110" s="267"/>
      <c r="BG110" s="267"/>
      <c r="BH110" s="267"/>
      <c r="BI110" s="267"/>
      <c r="BJ110" s="267"/>
      <c r="BK110" s="267"/>
      <c r="BL110" s="267"/>
      <c r="BM110" s="267"/>
      <c r="BN110" s="267"/>
      <c r="BO110" s="267"/>
      <c r="BP110" s="267"/>
      <c r="BQ110" s="267"/>
      <c r="BR110" s="267"/>
      <c r="BS110" s="267"/>
      <c r="BT110" s="267"/>
      <c r="BU110" s="267"/>
      <c r="BV110" s="267"/>
      <c r="BW110" s="267"/>
      <c r="BX110" s="267"/>
      <c r="BY110" s="267"/>
      <c r="BZ110" s="267"/>
      <c r="CA110" s="267"/>
      <c r="CB110" s="267"/>
      <c r="CC110" s="267"/>
      <c r="CD110" s="267"/>
      <c r="CE110" s="267"/>
      <c r="CF110" s="267"/>
      <c r="CG110" s="267"/>
      <c r="CH110" s="267"/>
      <c r="CI110" s="267"/>
      <c r="CJ110" s="267"/>
      <c r="CK110" s="267"/>
      <c r="CL110" s="267"/>
      <c r="CM110" s="267"/>
      <c r="CN110" s="267"/>
      <c r="CO110" s="267"/>
      <c r="CP110" s="267"/>
      <c r="CQ110" s="267"/>
      <c r="CR110" s="267"/>
      <c r="CS110" s="267"/>
      <c r="CT110" s="267"/>
      <c r="CU110" s="267"/>
      <c r="CV110" s="267"/>
      <c r="CW110" s="267"/>
      <c r="CX110" s="267"/>
      <c r="CY110" s="267"/>
      <c r="CZ110" s="267"/>
      <c r="DA110" s="267"/>
      <c r="DB110" s="267"/>
      <c r="DC110" s="267"/>
      <c r="DD110" s="267"/>
      <c r="DE110" s="267"/>
      <c r="DF110" s="267"/>
      <c r="DG110" s="267"/>
      <c r="DH110" s="267"/>
      <c r="DI110" s="267"/>
      <c r="DJ110" s="267"/>
      <c r="DK110" s="267"/>
      <c r="DL110" s="267"/>
      <c r="DM110" s="267"/>
      <c r="DN110" s="267"/>
      <c r="DO110" s="267"/>
      <c r="DP110" s="267"/>
      <c r="DQ110" s="267"/>
      <c r="DR110" s="267"/>
      <c r="DS110" s="267"/>
      <c r="DT110" s="267"/>
      <c r="DU110" s="267"/>
      <c r="DV110" s="267"/>
      <c r="DW110" s="267"/>
      <c r="DX110" s="267"/>
      <c r="DY110" s="267"/>
      <c r="DZ110" s="267"/>
      <c r="EA110" s="267"/>
      <c r="EB110" s="267"/>
      <c r="EC110" s="267"/>
      <c r="ED110" s="267"/>
      <c r="EE110" s="267"/>
      <c r="EF110" s="267"/>
      <c r="EG110" s="267"/>
      <c r="EH110" s="267"/>
      <c r="EI110" s="267"/>
      <c r="EJ110" s="267"/>
      <c r="EK110" s="267"/>
      <c r="EL110" s="267"/>
      <c r="EM110" s="267"/>
      <c r="EN110" s="267"/>
      <c r="EO110" s="267"/>
      <c r="EP110" s="267"/>
      <c r="EQ110" s="267"/>
      <c r="ER110" s="267"/>
      <c r="ES110" s="267"/>
      <c r="ET110" s="267"/>
      <c r="EU110" s="267"/>
      <c r="EV110" s="267"/>
      <c r="EW110" s="267"/>
      <c r="EX110" s="267"/>
      <c r="EY110" s="267"/>
      <c r="EZ110" s="267"/>
      <c r="FA110" s="267"/>
      <c r="FB110" s="267"/>
      <c r="FC110" s="267"/>
      <c r="FD110" s="267"/>
      <c r="FE110" s="267"/>
      <c r="FF110" s="267"/>
      <c r="FG110" s="267"/>
      <c r="FH110" s="267"/>
      <c r="FI110" s="267"/>
      <c r="FJ110" s="267"/>
      <c r="FK110" s="267"/>
      <c r="FL110" s="267"/>
      <c r="FM110" s="267"/>
      <c r="FN110" s="267"/>
      <c r="FO110" s="267"/>
      <c r="FP110" s="267"/>
      <c r="FQ110" s="267"/>
      <c r="FR110" s="267"/>
      <c r="FS110" s="267"/>
      <c r="FT110" s="267"/>
      <c r="FU110" s="267"/>
      <c r="FV110" s="267"/>
      <c r="FW110" s="267"/>
      <c r="FX110" s="267"/>
      <c r="FY110" s="267"/>
      <c r="FZ110" s="267"/>
      <c r="GA110" s="267"/>
      <c r="GB110" s="267"/>
      <c r="GC110" s="267"/>
      <c r="GD110" s="267"/>
      <c r="GE110" s="267"/>
      <c r="GF110" s="267"/>
      <c r="GG110" s="267"/>
      <c r="GH110" s="267"/>
      <c r="GI110" s="267"/>
      <c r="GJ110" s="267"/>
      <c r="GK110" s="267"/>
      <c r="GL110" s="267"/>
      <c r="GM110" s="267"/>
      <c r="GN110" s="267"/>
      <c r="GO110" s="267"/>
      <c r="GP110" s="267"/>
      <c r="GQ110" s="267"/>
      <c r="GR110" s="267"/>
      <c r="GS110" s="267"/>
      <c r="GT110" s="267"/>
      <c r="GU110" s="267"/>
      <c r="GV110" s="267"/>
      <c r="GW110" s="267"/>
      <c r="GX110" s="267"/>
      <c r="GY110" s="267"/>
      <c r="GZ110" s="267"/>
      <c r="HA110" s="267"/>
      <c r="HB110" s="267"/>
      <c r="HC110" s="267"/>
      <c r="HD110" s="267"/>
      <c r="HE110" s="267"/>
      <c r="HF110" s="267"/>
      <c r="HG110" s="267"/>
      <c r="HH110" s="267"/>
      <c r="HI110" s="267"/>
      <c r="HJ110" s="267"/>
      <c r="HK110" s="267"/>
      <c r="HL110" s="267"/>
      <c r="HM110" s="267"/>
      <c r="HN110" s="267"/>
      <c r="HO110" s="267"/>
      <c r="HP110" s="267"/>
      <c r="HQ110" s="267"/>
      <c r="HR110" s="267"/>
      <c r="HS110" s="267"/>
      <c r="HT110" s="267"/>
      <c r="HU110" s="267"/>
      <c r="HV110" s="267"/>
      <c r="HW110" s="267"/>
      <c r="HX110" s="267"/>
      <c r="HY110" s="267"/>
      <c r="HZ110" s="267"/>
      <c r="IA110" s="267"/>
      <c r="IB110" s="267"/>
      <c r="IC110" s="267"/>
      <c r="ID110" s="267"/>
      <c r="IE110" s="267"/>
      <c r="IF110" s="267"/>
      <c r="IG110" s="267"/>
      <c r="IH110" s="267"/>
      <c r="II110" s="267"/>
      <c r="IJ110" s="267"/>
      <c r="IK110" s="267"/>
      <c r="IL110" s="267"/>
      <c r="IM110" s="267"/>
      <c r="IN110" s="267"/>
      <c r="IO110" s="267"/>
      <c r="IP110" s="267"/>
      <c r="IQ110" s="267"/>
      <c r="IR110" s="267"/>
      <c r="IS110" s="267"/>
      <c r="IT110" s="267"/>
      <c r="IU110" s="267"/>
      <c r="IV110" s="267"/>
      <c r="IW110" s="267"/>
      <c r="IX110" s="267"/>
      <c r="IY110" s="267"/>
      <c r="IZ110" s="267"/>
      <c r="JA110" s="267"/>
      <c r="JB110" s="267"/>
      <c r="JC110" s="267"/>
      <c r="JD110" s="267"/>
      <c r="JE110" s="267"/>
      <c r="JF110" s="267"/>
      <c r="JG110" s="267"/>
      <c r="JH110" s="267"/>
      <c r="JI110" s="267"/>
      <c r="JJ110" s="267"/>
      <c r="JK110" s="267"/>
      <c r="JL110" s="267"/>
      <c r="JM110" s="267"/>
      <c r="JN110" s="267"/>
      <c r="JO110" s="267"/>
      <c r="JP110" s="267"/>
      <c r="JQ110" s="267"/>
      <c r="JR110" s="267"/>
      <c r="JS110" s="267"/>
      <c r="JT110" s="267"/>
      <c r="JU110" s="267"/>
      <c r="JV110" s="267"/>
      <c r="JW110" s="267"/>
      <c r="JX110" s="267"/>
      <c r="JY110" s="267"/>
      <c r="JZ110" s="267"/>
      <c r="KA110" s="267"/>
      <c r="KB110" s="267"/>
      <c r="KC110" s="267"/>
      <c r="KD110" s="267"/>
      <c r="KE110" s="267"/>
      <c r="KF110" s="267"/>
      <c r="KG110" s="267"/>
      <c r="KH110" s="267"/>
      <c r="KI110" s="267"/>
      <c r="KJ110" s="267"/>
      <c r="KK110" s="267"/>
      <c r="KL110" s="267"/>
      <c r="KM110" s="267"/>
      <c r="KN110" s="267"/>
      <c r="KO110" s="267"/>
      <c r="KP110" s="267"/>
      <c r="KQ110" s="267"/>
      <c r="KR110" s="267"/>
      <c r="KS110" s="267"/>
      <c r="KT110" s="267"/>
      <c r="KU110" s="267"/>
      <c r="KV110" s="267"/>
      <c r="KW110" s="267"/>
      <c r="KX110" s="267"/>
      <c r="KY110" s="267"/>
      <c r="KZ110" s="267"/>
      <c r="LA110" s="267"/>
      <c r="LB110" s="267"/>
      <c r="LC110" s="267"/>
      <c r="LD110" s="267"/>
      <c r="LE110" s="267"/>
      <c r="LF110" s="267"/>
      <c r="LG110" s="267"/>
      <c r="LH110" s="267"/>
      <c r="LI110" s="267"/>
      <c r="LJ110" s="267"/>
      <c r="LK110" s="267"/>
      <c r="LL110" s="267"/>
      <c r="LM110" s="267"/>
      <c r="LN110" s="267"/>
      <c r="LO110" s="267"/>
      <c r="LP110" s="267"/>
      <c r="LQ110" s="267"/>
      <c r="LR110" s="267"/>
      <c r="LS110" s="267"/>
      <c r="LT110" s="267"/>
      <c r="LU110" s="267"/>
      <c r="LV110" s="267"/>
      <c r="LW110" s="267"/>
      <c r="LX110" s="267"/>
      <c r="LY110" s="267"/>
      <c r="LZ110" s="267"/>
      <c r="MA110" s="267"/>
      <c r="MB110" s="267"/>
      <c r="MC110" s="267"/>
      <c r="MD110" s="267"/>
      <c r="ME110" s="267"/>
      <c r="MF110" s="267"/>
      <c r="MG110" s="267"/>
      <c r="MH110" s="267"/>
      <c r="MI110" s="267"/>
      <c r="MJ110" s="267"/>
      <c r="MK110" s="267"/>
      <c r="ML110" s="267"/>
      <c r="MM110" s="267"/>
      <c r="MN110" s="267"/>
      <c r="MO110" s="267"/>
      <c r="MP110" s="267"/>
      <c r="MQ110" s="267"/>
      <c r="MR110" s="267"/>
      <c r="MS110" s="267"/>
      <c r="MT110" s="267"/>
      <c r="MU110" s="267"/>
      <c r="MV110" s="267"/>
      <c r="MW110" s="267"/>
      <c r="MX110" s="267"/>
      <c r="MY110" s="267"/>
      <c r="MZ110" s="267"/>
      <c r="NA110" s="267"/>
      <c r="NB110" s="267"/>
      <c r="NC110" s="267"/>
      <c r="ND110" s="267"/>
      <c r="NE110" s="267"/>
      <c r="NF110" s="267"/>
      <c r="NG110" s="267"/>
      <c r="NH110" s="267"/>
      <c r="NI110" s="267"/>
      <c r="NJ110" s="267"/>
      <c r="NK110" s="267"/>
      <c r="NL110" s="267"/>
      <c r="NM110" s="267"/>
      <c r="NN110" s="267"/>
      <c r="NO110" s="267"/>
      <c r="NP110" s="267"/>
      <c r="NQ110" s="267"/>
      <c r="NR110" s="267"/>
      <c r="NS110" s="267"/>
      <c r="NT110" s="267"/>
      <c r="NU110" s="267"/>
      <c r="NV110" s="267"/>
      <c r="NW110" s="267"/>
      <c r="NX110" s="267"/>
      <c r="NY110" s="267"/>
      <c r="NZ110" s="267"/>
      <c r="OA110" s="267"/>
      <c r="OB110" s="267"/>
      <c r="OC110" s="267"/>
      <c r="OD110" s="267"/>
      <c r="OE110" s="267"/>
      <c r="OF110" s="267"/>
      <c r="OG110" s="267"/>
      <c r="OH110" s="267"/>
      <c r="OI110" s="267"/>
      <c r="OJ110" s="267"/>
      <c r="OK110" s="267"/>
      <c r="OL110" s="267"/>
      <c r="OM110" s="267"/>
      <c r="ON110" s="267"/>
      <c r="OO110" s="267"/>
      <c r="OP110" s="267"/>
      <c r="OQ110" s="267"/>
      <c r="OR110" s="267"/>
      <c r="OS110" s="267"/>
      <c r="OT110" s="267"/>
      <c r="OU110" s="267"/>
      <c r="OV110" s="267"/>
      <c r="OW110" s="267"/>
      <c r="OX110" s="267"/>
      <c r="OY110" s="267"/>
      <c r="OZ110" s="267"/>
      <c r="PA110" s="267"/>
      <c r="PB110" s="267"/>
      <c r="PC110" s="267"/>
      <c r="PD110" s="267"/>
      <c r="PE110" s="267"/>
      <c r="PF110" s="267"/>
      <c r="PG110" s="267"/>
      <c r="PH110" s="267"/>
      <c r="PI110" s="267"/>
      <c r="PJ110" s="267"/>
      <c r="PK110" s="267"/>
      <c r="PL110" s="267"/>
      <c r="PM110" s="267"/>
      <c r="PN110" s="267"/>
      <c r="PO110" s="267"/>
      <c r="PP110" s="267"/>
      <c r="PQ110" s="267"/>
      <c r="PR110" s="267"/>
      <c r="PS110" s="267"/>
      <c r="PT110" s="267"/>
      <c r="PU110" s="267"/>
      <c r="PV110" s="267"/>
      <c r="PW110" s="267"/>
      <c r="PX110" s="267"/>
      <c r="PY110" s="267"/>
      <c r="PZ110" s="267"/>
      <c r="QA110" s="267"/>
      <c r="QB110" s="267"/>
      <c r="QC110" s="267"/>
      <c r="QD110" s="267"/>
      <c r="QE110" s="267"/>
      <c r="QF110" s="267"/>
      <c r="QG110" s="267"/>
      <c r="QH110" s="267"/>
      <c r="QI110" s="267"/>
      <c r="QJ110" s="267"/>
      <c r="QK110" s="267"/>
      <c r="QL110" s="267"/>
      <c r="QM110" s="267"/>
      <c r="QN110" s="267"/>
      <c r="QO110" s="267"/>
      <c r="QP110" s="267"/>
      <c r="QQ110" s="267"/>
      <c r="QR110" s="267"/>
      <c r="QS110" s="267"/>
      <c r="QT110" s="267"/>
      <c r="QU110" s="267"/>
      <c r="QV110" s="267"/>
      <c r="QW110" s="267"/>
      <c r="QX110" s="267"/>
      <c r="QY110" s="267"/>
      <c r="QZ110" s="267"/>
      <c r="RA110" s="267"/>
      <c r="RB110" s="267"/>
      <c r="RC110" s="267"/>
      <c r="RD110" s="267"/>
      <c r="RE110" s="267"/>
      <c r="RF110" s="267"/>
      <c r="RG110" s="267"/>
      <c r="RH110" s="267"/>
      <c r="RI110" s="267"/>
      <c r="RJ110" s="267"/>
      <c r="RK110" s="267"/>
      <c r="RL110" s="267"/>
      <c r="RM110" s="267"/>
      <c r="RN110" s="267"/>
      <c r="RO110" s="267"/>
      <c r="RP110" s="267"/>
      <c r="RQ110" s="267"/>
      <c r="RR110" s="267"/>
      <c r="RS110" s="267"/>
      <c r="RT110" s="267"/>
      <c r="RU110" s="267"/>
      <c r="RV110" s="267"/>
      <c r="RW110" s="267"/>
      <c r="RX110" s="267"/>
      <c r="RY110" s="267"/>
      <c r="RZ110" s="267"/>
      <c r="SA110" s="267"/>
      <c r="SB110" s="267"/>
      <c r="SC110" s="267"/>
      <c r="SD110" s="267"/>
      <c r="SE110" s="267"/>
      <c r="SF110" s="267"/>
      <c r="SG110" s="267"/>
      <c r="SH110" s="267"/>
      <c r="SI110" s="267"/>
      <c r="SJ110" s="267"/>
      <c r="SK110" s="267"/>
      <c r="SL110" s="267"/>
      <c r="SM110" s="267"/>
      <c r="SN110" s="267"/>
      <c r="SO110" s="267"/>
      <c r="SP110" s="267"/>
      <c r="SQ110" s="267"/>
      <c r="SR110" s="267"/>
      <c r="SS110" s="267"/>
      <c r="ST110" s="267"/>
      <c r="SU110" s="267"/>
      <c r="SV110" s="267"/>
      <c r="SW110" s="267"/>
      <c r="SX110" s="267"/>
      <c r="SY110" s="267"/>
      <c r="SZ110" s="267"/>
      <c r="TA110" s="267"/>
      <c r="TB110" s="267"/>
      <c r="TC110" s="267"/>
      <c r="TD110" s="267"/>
      <c r="TE110" s="267"/>
      <c r="TF110" s="267"/>
      <c r="TG110" s="267"/>
      <c r="TH110" s="267"/>
      <c r="TI110" s="267"/>
      <c r="TJ110" s="267"/>
      <c r="TK110" s="267"/>
      <c r="TL110" s="267"/>
      <c r="TM110" s="267"/>
      <c r="TN110" s="267"/>
      <c r="TO110" s="267"/>
      <c r="TP110" s="267"/>
      <c r="TQ110" s="267"/>
      <c r="TR110" s="267"/>
      <c r="TS110" s="267"/>
      <c r="TT110" s="267"/>
      <c r="TU110" s="267"/>
      <c r="TV110" s="267"/>
      <c r="TW110" s="267"/>
      <c r="TX110" s="267"/>
      <c r="TY110" s="267"/>
      <c r="TZ110" s="267"/>
      <c r="UA110" s="267"/>
      <c r="UB110" s="267"/>
      <c r="UC110" s="267"/>
      <c r="UD110" s="267"/>
      <c r="UE110" s="267"/>
      <c r="UF110" s="267"/>
      <c r="UG110" s="267"/>
      <c r="UH110" s="267"/>
      <c r="UI110" s="267"/>
      <c r="UJ110" s="267"/>
      <c r="UK110" s="267"/>
      <c r="UL110" s="267"/>
      <c r="UM110" s="267"/>
      <c r="UN110" s="267"/>
      <c r="UO110" s="267"/>
      <c r="UP110" s="267"/>
      <c r="UQ110" s="267"/>
      <c r="UR110" s="267"/>
      <c r="US110" s="267"/>
      <c r="UT110" s="267"/>
      <c r="UU110" s="267"/>
      <c r="UV110" s="267"/>
      <c r="UW110" s="267"/>
      <c r="UX110" s="267"/>
      <c r="UY110" s="267"/>
      <c r="UZ110" s="267"/>
      <c r="VA110" s="267"/>
      <c r="VB110" s="267"/>
      <c r="VC110" s="267"/>
      <c r="VD110" s="267"/>
      <c r="VE110" s="267"/>
      <c r="VF110" s="267"/>
      <c r="VG110" s="267"/>
      <c r="VH110" s="267"/>
      <c r="VI110" s="267"/>
      <c r="VJ110" s="267"/>
      <c r="VK110" s="267"/>
      <c r="VL110" s="267"/>
      <c r="VM110" s="267"/>
      <c r="VN110" s="267"/>
      <c r="VO110" s="267"/>
      <c r="VP110" s="267"/>
      <c r="VQ110" s="267"/>
      <c r="VR110" s="267"/>
      <c r="VS110" s="267"/>
      <c r="VT110" s="267"/>
      <c r="VU110" s="267"/>
      <c r="VV110" s="267"/>
      <c r="VW110" s="267"/>
      <c r="VX110" s="267"/>
      <c r="VY110" s="267"/>
      <c r="VZ110" s="267"/>
      <c r="WA110" s="267"/>
      <c r="WB110" s="267"/>
      <c r="WC110" s="267"/>
      <c r="WD110" s="267"/>
      <c r="WE110" s="267"/>
      <c r="WF110" s="267"/>
      <c r="WG110" s="267"/>
      <c r="WH110" s="267"/>
      <c r="WI110" s="267"/>
      <c r="WJ110" s="267"/>
      <c r="WK110" s="267"/>
      <c r="WL110" s="267"/>
      <c r="WM110" s="267"/>
      <c r="WN110" s="267"/>
      <c r="WO110" s="267"/>
      <c r="WP110" s="267"/>
      <c r="WQ110" s="267"/>
      <c r="WR110" s="267"/>
      <c r="WS110" s="267"/>
      <c r="WT110" s="267"/>
      <c r="WU110" s="267"/>
      <c r="WV110" s="267"/>
      <c r="WW110" s="267"/>
      <c r="WX110" s="267"/>
      <c r="WY110" s="267"/>
      <c r="WZ110" s="267"/>
      <c r="XA110" s="267"/>
      <c r="XB110" s="267"/>
      <c r="XC110" s="267"/>
      <c r="XD110" s="267"/>
      <c r="XE110" s="267"/>
      <c r="XF110" s="267"/>
      <c r="XG110" s="267"/>
      <c r="XH110" s="267"/>
      <c r="XI110" s="267"/>
      <c r="XJ110" s="267"/>
      <c r="XK110" s="267"/>
      <c r="XL110" s="267"/>
      <c r="XM110" s="267"/>
      <c r="XN110" s="267"/>
      <c r="XO110" s="267"/>
      <c r="XP110" s="267"/>
      <c r="XQ110" s="267"/>
      <c r="XR110" s="267"/>
      <c r="XS110" s="267"/>
      <c r="XT110" s="267"/>
      <c r="XU110" s="267"/>
      <c r="XV110" s="267"/>
      <c r="XW110" s="267"/>
      <c r="XX110" s="267"/>
      <c r="XY110" s="267"/>
      <c r="XZ110" s="267"/>
      <c r="YA110" s="267"/>
      <c r="YB110" s="267"/>
      <c r="YC110" s="267"/>
      <c r="YD110" s="267"/>
      <c r="YE110" s="267"/>
      <c r="YF110" s="267"/>
      <c r="YG110" s="267"/>
      <c r="YH110" s="267"/>
      <c r="YI110" s="267"/>
      <c r="YJ110" s="267"/>
      <c r="YK110" s="267"/>
      <c r="YL110" s="267"/>
      <c r="YM110" s="267"/>
      <c r="YN110" s="267"/>
      <c r="YO110" s="267"/>
      <c r="YP110" s="267"/>
      <c r="YQ110" s="267"/>
      <c r="YR110" s="267"/>
      <c r="YS110" s="267"/>
      <c r="YT110" s="267"/>
      <c r="YU110" s="267"/>
      <c r="YV110" s="267"/>
      <c r="YW110" s="267"/>
      <c r="YX110" s="267"/>
      <c r="YY110" s="267"/>
      <c r="YZ110" s="267"/>
      <c r="ZA110" s="267"/>
      <c r="ZB110" s="267"/>
      <c r="ZC110" s="267"/>
      <c r="ZD110" s="267"/>
      <c r="ZE110" s="267"/>
      <c r="ZF110" s="267"/>
      <c r="ZG110" s="267"/>
      <c r="ZH110" s="267"/>
      <c r="ZI110" s="267"/>
      <c r="ZJ110" s="267"/>
      <c r="ZK110" s="267"/>
      <c r="ZL110" s="267"/>
      <c r="ZM110" s="267"/>
      <c r="ZN110" s="267"/>
      <c r="ZO110" s="267"/>
      <c r="ZP110" s="267"/>
      <c r="ZQ110" s="267"/>
      <c r="ZR110" s="267"/>
      <c r="ZS110" s="267"/>
      <c r="ZT110" s="267"/>
      <c r="ZU110" s="267"/>
      <c r="ZV110" s="267"/>
      <c r="ZW110" s="267"/>
      <c r="ZX110" s="267"/>
      <c r="ZY110" s="267"/>
      <c r="ZZ110" s="267"/>
      <c r="AAA110" s="267"/>
      <c r="AAB110" s="267"/>
      <c r="AAC110" s="267"/>
      <c r="AAD110" s="267"/>
      <c r="AAE110" s="267"/>
      <c r="AAF110" s="267"/>
      <c r="AAG110" s="267"/>
      <c r="AAH110" s="267"/>
      <c r="AAI110" s="267"/>
      <c r="AAJ110" s="267"/>
      <c r="AAK110" s="267"/>
      <c r="AAL110" s="267"/>
      <c r="AAM110" s="267"/>
      <c r="AAN110" s="267"/>
      <c r="AAO110" s="267"/>
      <c r="AAP110" s="267"/>
      <c r="AAQ110" s="267"/>
      <c r="AAR110" s="267"/>
      <c r="AAS110" s="267"/>
      <c r="AAT110" s="267"/>
      <c r="AAU110" s="267"/>
      <c r="AAV110" s="267"/>
      <c r="AAW110" s="267"/>
      <c r="AAX110" s="267"/>
      <c r="AAY110" s="267"/>
      <c r="AAZ110" s="267"/>
      <c r="ABA110" s="267"/>
      <c r="ABB110" s="267"/>
      <c r="ABC110" s="267"/>
      <c r="ABD110" s="267"/>
      <c r="ABE110" s="267"/>
      <c r="ABF110" s="267"/>
      <c r="ABG110" s="267"/>
      <c r="ABH110" s="267"/>
      <c r="ABI110" s="267"/>
      <c r="ABJ110" s="267"/>
      <c r="ABK110" s="267"/>
      <c r="ABL110" s="267"/>
      <c r="ABM110" s="267"/>
      <c r="ABN110" s="267"/>
      <c r="ABO110" s="267"/>
      <c r="ABP110" s="267"/>
      <c r="ABQ110" s="267"/>
      <c r="ABR110" s="267"/>
      <c r="ABS110" s="267"/>
      <c r="ABT110" s="267"/>
      <c r="ABU110" s="267"/>
      <c r="ABV110" s="267"/>
      <c r="ABW110" s="267"/>
      <c r="ABX110" s="267"/>
      <c r="ABY110" s="267"/>
      <c r="ABZ110" s="267"/>
      <c r="ACA110" s="267"/>
      <c r="ACB110" s="267"/>
      <c r="ACC110" s="267"/>
      <c r="ACD110" s="267"/>
      <c r="ACE110" s="267"/>
      <c r="ACF110" s="267"/>
      <c r="ACG110" s="267"/>
      <c r="ACH110" s="267"/>
      <c r="ACI110" s="267"/>
      <c r="ACJ110" s="267"/>
      <c r="ACK110" s="267"/>
      <c r="ACL110" s="267"/>
      <c r="ACM110" s="267"/>
      <c r="ACN110" s="267"/>
      <c r="ACO110" s="267"/>
      <c r="ACP110" s="267"/>
      <c r="ACQ110" s="267"/>
      <c r="ACR110" s="267"/>
      <c r="ACS110" s="267"/>
      <c r="ACT110" s="267"/>
      <c r="ACU110" s="267"/>
      <c r="ACV110" s="267"/>
      <c r="ACW110" s="267"/>
      <c r="ACX110" s="267"/>
      <c r="ACY110" s="267"/>
      <c r="ACZ110" s="267"/>
      <c r="ADA110" s="267"/>
      <c r="ADB110" s="267"/>
      <c r="ADC110" s="267"/>
      <c r="ADD110" s="267"/>
      <c r="ADE110" s="267"/>
      <c r="ADF110" s="267"/>
      <c r="ADG110" s="267"/>
      <c r="ADH110" s="267"/>
      <c r="ADI110" s="267"/>
      <c r="ADJ110" s="267"/>
      <c r="ADK110" s="267"/>
      <c r="ADL110" s="267"/>
      <c r="ADM110" s="267"/>
      <c r="ADN110" s="267"/>
      <c r="ADO110" s="267"/>
      <c r="ADP110" s="267"/>
      <c r="ADQ110" s="267"/>
      <c r="ADR110" s="267"/>
      <c r="ADS110" s="267"/>
      <c r="ADT110" s="267"/>
      <c r="ADU110" s="267"/>
      <c r="ADV110" s="267"/>
      <c r="ADW110" s="267"/>
      <c r="ADX110" s="267"/>
      <c r="ADY110" s="267"/>
      <c r="ADZ110" s="267"/>
      <c r="AEA110" s="267"/>
      <c r="AEB110" s="267"/>
      <c r="AEC110" s="267"/>
      <c r="AED110" s="267"/>
      <c r="AEE110" s="267"/>
      <c r="AEF110" s="267"/>
      <c r="AEG110" s="267"/>
      <c r="AEH110" s="267"/>
      <c r="AEI110" s="267"/>
      <c r="AEJ110" s="267"/>
      <c r="AEK110" s="267"/>
      <c r="AEL110" s="267"/>
      <c r="AEM110" s="267"/>
      <c r="AEN110" s="267"/>
      <c r="AEO110" s="267"/>
      <c r="AEP110" s="267"/>
      <c r="AEQ110" s="267"/>
      <c r="AER110" s="267"/>
      <c r="AES110" s="267"/>
      <c r="AET110" s="267"/>
      <c r="AEU110" s="267"/>
      <c r="AEV110" s="267"/>
      <c r="AEW110" s="267"/>
      <c r="AEX110" s="267"/>
      <c r="AEY110" s="267"/>
      <c r="AEZ110" s="267"/>
      <c r="AFA110" s="267"/>
      <c r="AFB110" s="267"/>
      <c r="AFC110" s="267"/>
      <c r="AFD110" s="267"/>
      <c r="AFE110" s="267"/>
      <c r="AFF110" s="267"/>
      <c r="AFG110" s="267"/>
      <c r="AFH110" s="267"/>
      <c r="AFI110" s="267"/>
      <c r="AFJ110" s="267"/>
      <c r="AFK110" s="267"/>
      <c r="AFL110" s="267"/>
      <c r="AFM110" s="267"/>
      <c r="AFN110" s="267"/>
      <c r="AFO110" s="267"/>
      <c r="AFP110" s="267"/>
      <c r="AFQ110" s="267"/>
      <c r="AFR110" s="267"/>
      <c r="AFS110" s="267"/>
      <c r="AFT110" s="267"/>
      <c r="AFU110" s="267"/>
      <c r="AFV110" s="267"/>
      <c r="AFW110" s="267"/>
      <c r="AFX110" s="267"/>
      <c r="AFY110" s="267"/>
      <c r="AFZ110" s="267"/>
      <c r="AGA110" s="267"/>
      <c r="AGB110" s="267"/>
      <c r="AGC110" s="267"/>
      <c r="AGD110" s="267"/>
      <c r="AGE110" s="267"/>
      <c r="AGF110" s="267"/>
      <c r="AGG110" s="267"/>
      <c r="AGH110" s="267"/>
      <c r="AGI110" s="267"/>
      <c r="AGJ110" s="267"/>
      <c r="AGK110" s="267"/>
      <c r="AGL110" s="267"/>
      <c r="AGM110" s="267"/>
      <c r="AGN110" s="267"/>
      <c r="AGO110" s="267"/>
      <c r="AGP110" s="267"/>
      <c r="AGQ110" s="267"/>
      <c r="AGR110" s="267"/>
      <c r="AGS110" s="267"/>
      <c r="AGT110" s="267"/>
      <c r="AGU110" s="267"/>
      <c r="AGV110" s="267"/>
      <c r="AGW110" s="267"/>
      <c r="AGX110" s="267"/>
      <c r="AGY110" s="267"/>
      <c r="AGZ110" s="267"/>
      <c r="AHA110" s="267"/>
      <c r="AHB110" s="267"/>
      <c r="AHC110" s="267"/>
      <c r="AHD110" s="267"/>
      <c r="AHE110" s="267"/>
      <c r="AHF110" s="267"/>
      <c r="AHG110" s="267"/>
      <c r="AHH110" s="267"/>
      <c r="AHI110" s="267"/>
      <c r="AHJ110" s="267"/>
      <c r="AHK110" s="267"/>
      <c r="AHL110" s="267"/>
      <c r="AHM110" s="267"/>
      <c r="AHN110" s="267"/>
      <c r="AHO110" s="267"/>
      <c r="AHP110" s="267"/>
      <c r="AHQ110" s="267"/>
      <c r="AHR110" s="267"/>
      <c r="AHS110" s="267"/>
      <c r="AHT110" s="267"/>
      <c r="AHU110" s="267"/>
      <c r="AHV110" s="267"/>
      <c r="AHW110" s="267"/>
      <c r="AHX110" s="267"/>
      <c r="AHY110" s="267"/>
      <c r="AHZ110" s="267"/>
      <c r="AIA110" s="267"/>
      <c r="AIB110" s="267"/>
      <c r="AIC110" s="267"/>
      <c r="AID110" s="267"/>
      <c r="AIE110" s="267"/>
      <c r="AIF110" s="267"/>
      <c r="AIG110" s="267"/>
      <c r="AIH110" s="267"/>
      <c r="AII110" s="267"/>
      <c r="AIJ110" s="267"/>
      <c r="AIK110" s="267"/>
      <c r="AIL110" s="267"/>
      <c r="AIM110" s="267"/>
      <c r="AIN110" s="267"/>
      <c r="AIO110" s="267"/>
      <c r="AIP110" s="267"/>
      <c r="AIQ110" s="267"/>
      <c r="AIR110" s="267"/>
      <c r="AIS110" s="267"/>
      <c r="AIT110" s="267"/>
      <c r="AIU110" s="267"/>
      <c r="AIV110" s="267"/>
      <c r="AIW110" s="267"/>
      <c r="AIX110" s="267"/>
      <c r="AIY110" s="267"/>
      <c r="AIZ110" s="267"/>
      <c r="AJA110" s="267"/>
      <c r="AJB110" s="267"/>
      <c r="AJC110" s="267"/>
      <c r="AJD110" s="267"/>
      <c r="AJE110" s="267"/>
      <c r="AJF110" s="267"/>
      <c r="AJG110" s="267"/>
      <c r="AJH110" s="267"/>
      <c r="AJI110" s="267"/>
      <c r="AJJ110" s="267"/>
      <c r="AJK110" s="267"/>
      <c r="AJL110" s="267"/>
      <c r="AJM110" s="267"/>
      <c r="AJN110" s="267"/>
      <c r="AJO110" s="267"/>
      <c r="AJP110" s="267"/>
      <c r="AJQ110" s="267"/>
      <c r="AJR110" s="267"/>
      <c r="AJS110" s="267"/>
      <c r="AJT110" s="267"/>
      <c r="AJU110" s="267"/>
      <c r="AJV110" s="267"/>
      <c r="AJW110" s="267"/>
      <c r="AJX110" s="267"/>
      <c r="AJY110" s="267"/>
      <c r="AJZ110" s="267"/>
      <c r="AKA110" s="267"/>
      <c r="AKB110" s="267"/>
      <c r="AKC110" s="267"/>
      <c r="AKD110" s="267"/>
      <c r="AKE110" s="267"/>
      <c r="AKF110" s="267"/>
      <c r="AKG110" s="267"/>
      <c r="AKH110" s="267"/>
      <c r="AKI110" s="267"/>
      <c r="AKJ110" s="267"/>
      <c r="AKK110" s="267"/>
      <c r="AKL110" s="267"/>
      <c r="AKM110" s="267"/>
      <c r="AKN110" s="267"/>
      <c r="AKO110" s="267"/>
      <c r="AKP110" s="267"/>
      <c r="AKQ110" s="267"/>
      <c r="AKR110" s="267"/>
      <c r="AKS110" s="267"/>
      <c r="AKT110" s="267"/>
      <c r="AKU110" s="267"/>
      <c r="AKV110" s="267"/>
      <c r="AKW110" s="267"/>
      <c r="AKX110" s="267"/>
      <c r="AKY110" s="267"/>
      <c r="AKZ110" s="267"/>
      <c r="ALA110" s="267"/>
      <c r="ALB110" s="267"/>
      <c r="ALC110" s="267"/>
      <c r="ALD110" s="267"/>
      <c r="ALE110" s="267"/>
      <c r="ALF110" s="267"/>
      <c r="ALG110" s="267"/>
      <c r="ALH110" s="267"/>
      <c r="ALI110" s="267"/>
      <c r="ALJ110" s="267"/>
      <c r="ALK110" s="267"/>
      <c r="ALL110" s="267"/>
      <c r="ALM110" s="267"/>
      <c r="ALN110" s="267"/>
      <c r="ALO110" s="267"/>
      <c r="ALP110" s="267"/>
      <c r="ALQ110" s="267"/>
      <c r="ALR110" s="267"/>
      <c r="ALS110" s="267"/>
      <c r="ALT110" s="267"/>
      <c r="ALU110" s="267"/>
      <c r="ALV110" s="267"/>
      <c r="ALW110" s="267"/>
      <c r="ALX110" s="267"/>
      <c r="ALY110" s="267"/>
      <c r="ALZ110" s="267"/>
      <c r="AMA110" s="267"/>
      <c r="AMB110" s="267"/>
      <c r="AMC110" s="267"/>
      <c r="AMD110" s="267"/>
      <c r="AME110" s="267"/>
      <c r="AMF110" s="267"/>
      <c r="AMG110" s="267"/>
      <c r="AMH110" s="267"/>
      <c r="AMI110" s="267"/>
      <c r="AMJ110" s="267"/>
      <c r="AMK110" s="267"/>
      <c r="AML110" s="267"/>
      <c r="AMM110" s="267"/>
      <c r="AMN110" s="267"/>
      <c r="AMO110" s="267"/>
      <c r="AMP110" s="267"/>
      <c r="AMQ110" s="267"/>
      <c r="AMR110" s="267"/>
      <c r="AMS110" s="267"/>
      <c r="AMT110" s="267"/>
      <c r="AMU110" s="267"/>
      <c r="AMV110" s="267"/>
      <c r="AMW110" s="267"/>
      <c r="AMX110" s="267"/>
      <c r="AMY110" s="267"/>
      <c r="AMZ110" s="267"/>
      <c r="ANA110" s="267"/>
      <c r="ANB110" s="267"/>
      <c r="ANC110" s="267"/>
      <c r="AND110" s="267"/>
      <c r="ANE110" s="267"/>
      <c r="ANF110" s="267"/>
      <c r="ANG110" s="267"/>
      <c r="ANH110" s="267"/>
      <c r="ANI110" s="267"/>
      <c r="ANJ110" s="267"/>
      <c r="ANK110" s="267"/>
      <c r="ANL110" s="267"/>
      <c r="ANM110" s="267"/>
      <c r="ANN110" s="267"/>
      <c r="ANO110" s="267"/>
      <c r="ANP110" s="267"/>
      <c r="ANQ110" s="267"/>
      <c r="ANR110" s="267"/>
      <c r="ANS110" s="267"/>
      <c r="ANT110" s="267"/>
      <c r="ANU110" s="267"/>
      <c r="ANV110" s="267"/>
      <c r="ANW110" s="267"/>
      <c r="ANX110" s="267"/>
      <c r="ANY110" s="267"/>
      <c r="ANZ110" s="267"/>
      <c r="AOA110" s="267"/>
      <c r="AOB110" s="267"/>
      <c r="AOC110" s="267"/>
      <c r="AOD110" s="267"/>
      <c r="AOE110" s="267"/>
      <c r="AOF110" s="267"/>
      <c r="AOG110" s="267"/>
      <c r="AOH110" s="267"/>
      <c r="AOI110" s="267"/>
      <c r="AOJ110" s="267"/>
      <c r="AOK110" s="267"/>
      <c r="AOL110" s="267"/>
      <c r="AOM110" s="267"/>
      <c r="AON110" s="267"/>
      <c r="AOO110" s="267"/>
      <c r="AOP110" s="267"/>
      <c r="AOQ110" s="267"/>
      <c r="AOR110" s="267"/>
      <c r="AOS110" s="267"/>
      <c r="AOT110" s="267"/>
      <c r="AOU110" s="267"/>
      <c r="AOV110" s="267"/>
      <c r="AOW110" s="267"/>
      <c r="AOX110" s="267"/>
      <c r="AOY110" s="267"/>
      <c r="AOZ110" s="267"/>
      <c r="APA110" s="267"/>
      <c r="APB110" s="267"/>
      <c r="APC110" s="267"/>
      <c r="APD110" s="267"/>
      <c r="APE110" s="267"/>
      <c r="APF110" s="267"/>
      <c r="APG110" s="267"/>
      <c r="APH110" s="267"/>
      <c r="API110" s="267"/>
      <c r="APJ110" s="267"/>
      <c r="APK110" s="267"/>
      <c r="APL110" s="267"/>
      <c r="APM110" s="267"/>
      <c r="APN110" s="267"/>
      <c r="APO110" s="267"/>
      <c r="APP110" s="267"/>
      <c r="APQ110" s="267"/>
      <c r="APR110" s="267"/>
      <c r="APS110" s="267"/>
      <c r="APT110" s="267"/>
      <c r="APU110" s="267"/>
      <c r="APV110" s="267"/>
      <c r="APW110" s="267"/>
      <c r="APX110" s="267"/>
      <c r="APY110" s="267"/>
      <c r="APZ110" s="267"/>
      <c r="AQA110" s="267"/>
      <c r="AQB110" s="267"/>
      <c r="AQC110" s="267"/>
      <c r="AQD110" s="267"/>
      <c r="AQE110" s="267"/>
      <c r="AQF110" s="267"/>
      <c r="AQG110" s="267"/>
      <c r="AQH110" s="267"/>
      <c r="AQI110" s="267"/>
      <c r="AQJ110" s="267"/>
      <c r="AQK110" s="267"/>
      <c r="AQL110" s="267"/>
      <c r="AQM110" s="267"/>
      <c r="AQN110" s="267"/>
      <c r="AQO110" s="267"/>
      <c r="AQP110" s="267"/>
      <c r="AQQ110" s="267"/>
      <c r="AQR110" s="267"/>
      <c r="AQS110" s="267"/>
      <c r="AQT110" s="267"/>
      <c r="AQU110" s="267"/>
      <c r="AQV110" s="267"/>
      <c r="AQW110" s="267"/>
      <c r="AQX110" s="267"/>
      <c r="AQY110" s="267"/>
      <c r="AQZ110" s="267"/>
      <c r="ARA110" s="267"/>
      <c r="ARB110" s="267"/>
      <c r="ARC110" s="267"/>
      <c r="ARD110" s="267"/>
      <c r="ARE110" s="267"/>
      <c r="ARF110" s="267"/>
      <c r="ARG110" s="267"/>
      <c r="ARH110" s="267"/>
      <c r="ARI110" s="267"/>
      <c r="ARJ110" s="267"/>
      <c r="ARK110" s="267"/>
      <c r="ARL110" s="267"/>
      <c r="ARM110" s="267"/>
      <c r="ARN110" s="267"/>
      <c r="ARO110" s="267"/>
      <c r="ARP110" s="267"/>
      <c r="ARQ110" s="267"/>
      <c r="ARR110" s="267"/>
      <c r="ARS110" s="267"/>
      <c r="ART110" s="267"/>
      <c r="ARU110" s="267"/>
      <c r="ARV110" s="267"/>
      <c r="ARW110" s="267"/>
      <c r="ARX110" s="267"/>
      <c r="ARY110" s="267"/>
      <c r="ARZ110" s="267"/>
      <c r="ASA110" s="267"/>
      <c r="ASB110" s="267"/>
      <c r="ASC110" s="267"/>
      <c r="ASD110" s="267"/>
      <c r="ASE110" s="267"/>
      <c r="ASF110" s="267"/>
      <c r="ASG110" s="267"/>
      <c r="ASH110" s="267"/>
      <c r="ASI110" s="267"/>
      <c r="ASJ110" s="267"/>
      <c r="ASK110" s="267"/>
      <c r="ASL110" s="267"/>
      <c r="ASM110" s="267"/>
      <c r="ASN110" s="267"/>
      <c r="ASO110" s="267"/>
      <c r="ASP110" s="267"/>
      <c r="ASQ110" s="267"/>
      <c r="ASR110" s="267"/>
      <c r="ASS110" s="267"/>
      <c r="AST110" s="267"/>
      <c r="ASU110" s="267"/>
      <c r="ASV110" s="267"/>
      <c r="ASW110" s="267"/>
      <c r="ASX110" s="267"/>
      <c r="ASY110" s="267"/>
      <c r="ASZ110" s="267"/>
      <c r="ATA110" s="267"/>
      <c r="ATB110" s="267"/>
      <c r="ATC110" s="267"/>
      <c r="ATD110" s="267"/>
      <c r="ATE110" s="267"/>
      <c r="ATF110" s="267"/>
      <c r="ATG110" s="267"/>
      <c r="ATH110" s="267"/>
      <c r="ATI110" s="267"/>
      <c r="ATJ110" s="267"/>
      <c r="ATK110" s="267"/>
      <c r="ATL110" s="267"/>
      <c r="ATM110" s="267"/>
      <c r="ATN110" s="267"/>
      <c r="ATO110" s="267"/>
      <c r="ATP110" s="267"/>
      <c r="ATQ110" s="267"/>
      <c r="ATR110" s="267"/>
      <c r="ATS110" s="267"/>
      <c r="ATT110" s="267"/>
      <c r="ATU110" s="267"/>
      <c r="ATV110" s="267"/>
      <c r="ATW110" s="267"/>
      <c r="ATX110" s="267"/>
      <c r="ATY110" s="267"/>
      <c r="ATZ110" s="267"/>
      <c r="AUA110" s="267"/>
      <c r="AUB110" s="267"/>
      <c r="AUC110" s="267"/>
      <c r="AUD110" s="267"/>
      <c r="AUE110" s="267"/>
      <c r="AUF110" s="267"/>
      <c r="AUG110" s="267"/>
      <c r="AUH110" s="267"/>
      <c r="AUI110" s="267"/>
      <c r="AUJ110" s="267"/>
      <c r="AUK110" s="267"/>
      <c r="AUL110" s="267"/>
      <c r="AUM110" s="267"/>
      <c r="AUN110" s="267"/>
      <c r="AUO110" s="267"/>
      <c r="AUP110" s="267"/>
      <c r="AUQ110" s="267"/>
      <c r="AUR110" s="267"/>
      <c r="AUS110" s="267"/>
      <c r="AUT110" s="267"/>
      <c r="AUU110" s="267"/>
      <c r="AUV110" s="267"/>
      <c r="AUW110" s="267"/>
      <c r="AUX110" s="267"/>
      <c r="AUY110" s="267"/>
      <c r="AUZ110" s="267"/>
      <c r="AVA110" s="267"/>
      <c r="AVB110" s="267"/>
      <c r="AVC110" s="267"/>
      <c r="AVD110" s="267"/>
      <c r="AVE110" s="267"/>
      <c r="AVF110" s="267"/>
      <c r="AVG110" s="267"/>
      <c r="AVH110" s="267"/>
      <c r="AVI110" s="267"/>
      <c r="AVJ110" s="267"/>
      <c r="AVK110" s="267"/>
      <c r="AVL110" s="267"/>
      <c r="AVM110" s="267"/>
      <c r="AVN110" s="267"/>
      <c r="AVO110" s="267"/>
      <c r="AVP110" s="267"/>
      <c r="AVQ110" s="267"/>
      <c r="AVR110" s="267"/>
      <c r="AVS110" s="267"/>
      <c r="AVT110" s="267"/>
      <c r="AVU110" s="267"/>
      <c r="AVV110" s="267"/>
      <c r="AVW110" s="267"/>
      <c r="AVX110" s="267"/>
      <c r="AVY110" s="267"/>
      <c r="AVZ110" s="267"/>
      <c r="AWA110" s="267"/>
      <c r="AWB110" s="267"/>
      <c r="AWC110" s="267"/>
      <c r="AWD110" s="267"/>
      <c r="AWE110" s="267"/>
      <c r="AWF110" s="267"/>
      <c r="AWG110" s="267"/>
      <c r="AWH110" s="267"/>
      <c r="AWI110" s="267"/>
      <c r="AWJ110" s="267"/>
      <c r="AWK110" s="267"/>
      <c r="AWL110" s="267"/>
      <c r="AWM110" s="267"/>
      <c r="AWN110" s="267"/>
      <c r="AWO110" s="267"/>
      <c r="AWP110" s="267"/>
      <c r="AWQ110" s="267"/>
      <c r="AWR110" s="267"/>
      <c r="AWS110" s="267"/>
      <c r="AWT110" s="267"/>
      <c r="AWU110" s="267"/>
      <c r="AWV110" s="267"/>
      <c r="AWW110" s="267"/>
      <c r="AWX110" s="267"/>
      <c r="AWY110" s="267"/>
      <c r="AWZ110" s="267"/>
      <c r="AXA110" s="267"/>
      <c r="AXB110" s="267"/>
      <c r="AXC110" s="267"/>
      <c r="AXD110" s="267"/>
      <c r="AXE110" s="267"/>
      <c r="AXF110" s="267"/>
      <c r="AXG110" s="267"/>
      <c r="AXH110" s="267"/>
      <c r="AXI110" s="267"/>
      <c r="AXJ110" s="267"/>
      <c r="AXK110" s="267"/>
      <c r="AXL110" s="267"/>
      <c r="AXM110" s="267"/>
      <c r="AXN110" s="267"/>
      <c r="AXO110" s="267"/>
      <c r="AXP110" s="267"/>
      <c r="AXQ110" s="267"/>
      <c r="AXR110" s="267"/>
      <c r="AXS110" s="267"/>
      <c r="AXT110" s="267"/>
      <c r="AXU110" s="267"/>
      <c r="AXV110" s="267"/>
      <c r="AXW110" s="267"/>
      <c r="AXX110" s="267"/>
      <c r="AXY110" s="267"/>
      <c r="AXZ110" s="267"/>
      <c r="AYA110" s="267"/>
      <c r="AYB110" s="267"/>
      <c r="AYC110" s="267"/>
      <c r="AYD110" s="267"/>
      <c r="AYE110" s="267"/>
      <c r="AYF110" s="267"/>
      <c r="AYG110" s="267"/>
      <c r="AYH110" s="267"/>
      <c r="AYI110" s="267"/>
      <c r="AYJ110" s="267"/>
      <c r="AYK110" s="267"/>
      <c r="AYL110" s="267"/>
      <c r="AYM110" s="267"/>
      <c r="AYN110" s="267"/>
      <c r="AYO110" s="267"/>
      <c r="AYP110" s="267"/>
      <c r="AYQ110" s="267"/>
      <c r="AYR110" s="267"/>
      <c r="AYS110" s="267"/>
      <c r="AYT110" s="267"/>
      <c r="AYU110" s="267"/>
      <c r="AYV110" s="267"/>
      <c r="AYW110" s="267"/>
      <c r="AYX110" s="267"/>
      <c r="AYY110" s="267"/>
      <c r="AYZ110" s="267"/>
      <c r="AZA110" s="267"/>
      <c r="AZB110" s="267"/>
      <c r="AZC110" s="267"/>
      <c r="AZD110" s="267"/>
      <c r="AZE110" s="267"/>
      <c r="AZF110" s="267"/>
      <c r="AZG110" s="267"/>
      <c r="AZH110" s="267"/>
      <c r="AZI110" s="267"/>
      <c r="AZJ110" s="267"/>
      <c r="AZK110" s="267"/>
      <c r="AZL110" s="267"/>
      <c r="AZM110" s="267"/>
      <c r="AZN110" s="267"/>
      <c r="AZO110" s="267"/>
      <c r="AZP110" s="267"/>
      <c r="AZQ110" s="267"/>
      <c r="AZR110" s="267"/>
      <c r="AZS110" s="267"/>
      <c r="AZT110" s="267"/>
      <c r="AZU110" s="267"/>
      <c r="AZV110" s="267"/>
      <c r="AZW110" s="267"/>
      <c r="AZX110" s="267"/>
      <c r="AZY110" s="267"/>
      <c r="AZZ110" s="267"/>
      <c r="BAA110" s="267"/>
      <c r="BAB110" s="267"/>
      <c r="BAC110" s="267"/>
      <c r="BAD110" s="267"/>
      <c r="BAE110" s="267"/>
      <c r="BAF110" s="267"/>
      <c r="BAG110" s="267"/>
      <c r="BAH110" s="267"/>
      <c r="BAI110" s="267"/>
      <c r="BAJ110" s="267"/>
      <c r="BAK110" s="267"/>
      <c r="BAL110" s="267"/>
      <c r="BAM110" s="267"/>
      <c r="BAN110" s="267"/>
      <c r="BAO110" s="267"/>
      <c r="BAP110" s="267"/>
      <c r="BAQ110" s="267"/>
      <c r="BAR110" s="267"/>
      <c r="BAS110" s="267"/>
      <c r="BAT110" s="267"/>
      <c r="BAU110" s="267"/>
      <c r="BAV110" s="267"/>
      <c r="BAW110" s="267"/>
      <c r="BAX110" s="267"/>
      <c r="BAY110" s="267"/>
      <c r="BAZ110" s="267"/>
      <c r="BBA110" s="267"/>
      <c r="BBB110" s="267"/>
      <c r="BBC110" s="267"/>
      <c r="BBD110" s="267"/>
      <c r="BBE110" s="267"/>
      <c r="BBF110" s="267"/>
      <c r="BBG110" s="267"/>
      <c r="BBH110" s="267"/>
      <c r="BBI110" s="267"/>
      <c r="BBJ110" s="267"/>
      <c r="BBK110" s="267"/>
      <c r="BBL110" s="267"/>
      <c r="BBM110" s="267"/>
      <c r="BBN110" s="267"/>
      <c r="BBO110" s="267"/>
      <c r="BBP110" s="267"/>
      <c r="BBQ110" s="267"/>
      <c r="BBR110" s="267"/>
      <c r="BBS110" s="267"/>
      <c r="BBT110" s="267"/>
      <c r="BBU110" s="267"/>
      <c r="BBV110" s="267"/>
      <c r="BBW110" s="267"/>
      <c r="BBX110" s="267"/>
      <c r="BBY110" s="267"/>
      <c r="BBZ110" s="267"/>
      <c r="BCA110" s="267"/>
      <c r="BCB110" s="267"/>
      <c r="BCC110" s="267"/>
      <c r="BCD110" s="267"/>
      <c r="BCE110" s="267"/>
      <c r="BCF110" s="267"/>
      <c r="BCG110" s="267"/>
      <c r="BCH110" s="267"/>
      <c r="BCI110" s="267"/>
      <c r="BCJ110" s="267"/>
      <c r="BCK110" s="267"/>
      <c r="BCL110" s="267"/>
      <c r="BCM110" s="267"/>
      <c r="BCN110" s="267"/>
      <c r="BCO110" s="267"/>
      <c r="BCP110" s="267"/>
      <c r="BCQ110" s="267"/>
      <c r="BCR110" s="267"/>
      <c r="BCS110" s="267"/>
      <c r="BCT110" s="267"/>
      <c r="BCU110" s="267"/>
      <c r="BCV110" s="267"/>
      <c r="BCW110" s="267"/>
      <c r="BCX110" s="267"/>
      <c r="BCY110" s="267"/>
      <c r="BCZ110" s="267"/>
      <c r="BDA110" s="267"/>
      <c r="BDB110" s="267"/>
      <c r="BDC110" s="267"/>
      <c r="BDD110" s="267"/>
      <c r="BDE110" s="267"/>
      <c r="BDF110" s="267"/>
      <c r="BDG110" s="267"/>
      <c r="BDH110" s="267"/>
      <c r="BDI110" s="267"/>
      <c r="BDJ110" s="267"/>
      <c r="BDK110" s="267"/>
      <c r="BDL110" s="267"/>
      <c r="BDM110" s="267"/>
      <c r="BDN110" s="267"/>
      <c r="BDO110" s="267"/>
      <c r="BDP110" s="267"/>
      <c r="BDQ110" s="267"/>
      <c r="BDR110" s="267"/>
      <c r="BDS110" s="267"/>
      <c r="BDT110" s="267"/>
      <c r="BDU110" s="267"/>
      <c r="BDV110" s="267"/>
      <c r="BDW110" s="267"/>
      <c r="BDX110" s="267"/>
      <c r="BDY110" s="267"/>
      <c r="BDZ110" s="267"/>
      <c r="BEA110" s="267"/>
      <c r="BEB110" s="267"/>
      <c r="BEC110" s="267"/>
      <c r="BED110" s="267"/>
      <c r="BEE110" s="267"/>
      <c r="BEF110" s="267"/>
      <c r="BEG110" s="267"/>
      <c r="BEH110" s="267"/>
      <c r="BEI110" s="267"/>
      <c r="BEJ110" s="267"/>
      <c r="BEK110" s="267"/>
      <c r="BEL110" s="267"/>
      <c r="BEM110" s="267"/>
      <c r="BEN110" s="267"/>
      <c r="BEO110" s="267"/>
      <c r="BEP110" s="267"/>
      <c r="BEQ110" s="267"/>
      <c r="BER110" s="267"/>
      <c r="BES110" s="267"/>
      <c r="BET110" s="267"/>
      <c r="BEU110" s="267"/>
      <c r="BEV110" s="267"/>
      <c r="BEW110" s="267"/>
      <c r="BEX110" s="267"/>
      <c r="BEY110" s="267"/>
      <c r="BEZ110" s="267"/>
      <c r="BFA110" s="267"/>
      <c r="BFB110" s="267"/>
      <c r="BFC110" s="267"/>
      <c r="BFD110" s="267"/>
      <c r="BFE110" s="267"/>
      <c r="BFF110" s="267"/>
      <c r="BFG110" s="267"/>
      <c r="BFH110" s="267"/>
      <c r="BFI110" s="267"/>
      <c r="BFJ110" s="267"/>
      <c r="BFK110" s="267"/>
      <c r="BFL110" s="267"/>
      <c r="BFM110" s="267"/>
      <c r="BFN110" s="267"/>
      <c r="BFO110" s="267"/>
      <c r="BFP110" s="267"/>
      <c r="BFQ110" s="267"/>
      <c r="BFR110" s="267"/>
      <c r="BFS110" s="267"/>
      <c r="BFT110" s="267"/>
      <c r="BFU110" s="267"/>
      <c r="BFV110" s="267"/>
      <c r="BFW110" s="267"/>
      <c r="BFX110" s="267"/>
      <c r="BFY110" s="267"/>
      <c r="BFZ110" s="267"/>
      <c r="BGA110" s="267"/>
      <c r="BGB110" s="267"/>
      <c r="BGC110" s="267"/>
      <c r="BGD110" s="267"/>
      <c r="BGE110" s="267"/>
      <c r="BGF110" s="267"/>
      <c r="BGG110" s="267"/>
      <c r="BGH110" s="267"/>
      <c r="BGI110" s="267"/>
      <c r="BGJ110" s="267"/>
      <c r="BGK110" s="267"/>
      <c r="BGL110" s="267"/>
      <c r="BGM110" s="267"/>
      <c r="BGN110" s="267"/>
      <c r="BGO110" s="267"/>
      <c r="BGP110" s="267"/>
      <c r="BGQ110" s="267"/>
      <c r="BGR110" s="267"/>
      <c r="BGS110" s="267"/>
      <c r="BGT110" s="267"/>
      <c r="BGU110" s="267"/>
      <c r="BGV110" s="267"/>
      <c r="BGW110" s="267"/>
      <c r="BGX110" s="267"/>
      <c r="BGY110" s="267"/>
      <c r="BGZ110" s="267"/>
      <c r="BHA110" s="267"/>
      <c r="BHB110" s="267"/>
      <c r="BHC110" s="267"/>
      <c r="BHD110" s="267"/>
      <c r="BHE110" s="267"/>
      <c r="BHF110" s="267"/>
      <c r="BHG110" s="267"/>
      <c r="BHH110" s="267"/>
      <c r="BHI110" s="267"/>
      <c r="BHJ110" s="267"/>
      <c r="BHK110" s="267"/>
      <c r="BHL110" s="267"/>
      <c r="BHM110" s="267"/>
      <c r="BHN110" s="267"/>
      <c r="BHO110" s="267"/>
      <c r="BHP110" s="267"/>
      <c r="BHQ110" s="267"/>
      <c r="BHR110" s="267"/>
      <c r="BHS110" s="267"/>
      <c r="BHT110" s="267"/>
      <c r="BHU110" s="267"/>
      <c r="BHV110" s="267"/>
      <c r="BHW110" s="267"/>
      <c r="BHX110" s="267"/>
      <c r="BHY110" s="267"/>
      <c r="BHZ110" s="267"/>
      <c r="BIA110" s="267"/>
      <c r="BIB110" s="267"/>
      <c r="BIC110" s="267"/>
      <c r="BID110" s="267"/>
      <c r="BIE110" s="267"/>
      <c r="BIF110" s="267"/>
      <c r="BIG110" s="267"/>
      <c r="BIH110" s="267"/>
      <c r="BII110" s="267"/>
      <c r="BIJ110" s="267"/>
      <c r="BIK110" s="267"/>
      <c r="BIL110" s="267"/>
      <c r="BIM110" s="267"/>
      <c r="BIN110" s="267"/>
      <c r="BIO110" s="267"/>
      <c r="BIP110" s="267"/>
      <c r="BIQ110" s="267"/>
      <c r="BIR110" s="267"/>
      <c r="BIS110" s="267"/>
      <c r="BIT110" s="267"/>
      <c r="BIU110" s="267"/>
      <c r="BIV110" s="267"/>
      <c r="BIW110" s="267"/>
      <c r="BIX110" s="267"/>
      <c r="BIY110" s="267"/>
      <c r="BIZ110" s="267"/>
      <c r="BJA110" s="267"/>
      <c r="BJB110" s="267"/>
      <c r="BJC110" s="267"/>
      <c r="BJD110" s="267"/>
      <c r="BJE110" s="267"/>
      <c r="BJF110" s="267"/>
      <c r="BJG110" s="267"/>
      <c r="BJH110" s="267"/>
      <c r="BJI110" s="267"/>
      <c r="BJJ110" s="267"/>
      <c r="BJK110" s="267"/>
      <c r="BJL110" s="267"/>
      <c r="BJM110" s="267"/>
      <c r="BJN110" s="267"/>
      <c r="BJO110" s="267"/>
      <c r="BJP110" s="267"/>
      <c r="BJQ110" s="267"/>
      <c r="BJR110" s="267"/>
      <c r="BJS110" s="267"/>
      <c r="BJT110" s="267"/>
      <c r="BJU110" s="267"/>
      <c r="BJV110" s="267"/>
      <c r="BJW110" s="267"/>
      <c r="BJX110" s="267"/>
      <c r="BJY110" s="267"/>
      <c r="BJZ110" s="267"/>
      <c r="BKA110" s="267"/>
      <c r="BKB110" s="267"/>
      <c r="BKC110" s="267"/>
      <c r="BKD110" s="267"/>
      <c r="BKE110" s="267"/>
      <c r="BKF110" s="267"/>
      <c r="BKG110" s="267"/>
      <c r="BKH110" s="267"/>
      <c r="BKI110" s="267"/>
      <c r="BKJ110" s="267"/>
      <c r="BKK110" s="267"/>
      <c r="BKL110" s="267"/>
      <c r="BKM110" s="267"/>
      <c r="BKN110" s="267"/>
      <c r="BKO110" s="267"/>
      <c r="BKP110" s="267"/>
      <c r="BKQ110" s="267"/>
      <c r="BKR110" s="267"/>
      <c r="BKS110" s="267"/>
      <c r="BKT110" s="267"/>
      <c r="BKU110" s="267"/>
      <c r="BKV110" s="267"/>
      <c r="BKW110" s="267"/>
      <c r="BKX110" s="267"/>
      <c r="BKY110" s="267"/>
      <c r="BKZ110" s="267"/>
      <c r="BLA110" s="267"/>
      <c r="BLB110" s="267"/>
      <c r="BLC110" s="267"/>
      <c r="BLD110" s="267"/>
      <c r="BLE110" s="267"/>
      <c r="BLF110" s="267"/>
      <c r="BLG110" s="267"/>
      <c r="BLH110" s="267"/>
      <c r="BLI110" s="267"/>
      <c r="BLJ110" s="267"/>
      <c r="BLK110" s="267"/>
      <c r="BLL110" s="267"/>
      <c r="BLM110" s="267"/>
      <c r="BLN110" s="267"/>
      <c r="BLO110" s="267"/>
      <c r="BLP110" s="267"/>
      <c r="BLQ110" s="267"/>
      <c r="BLR110" s="267"/>
      <c r="BLS110" s="267"/>
      <c r="BLT110" s="267"/>
      <c r="BLU110" s="267"/>
      <c r="BLV110" s="267"/>
      <c r="BLW110" s="267"/>
      <c r="BLX110" s="267"/>
      <c r="BLY110" s="267"/>
      <c r="BLZ110" s="267"/>
      <c r="BMA110" s="267"/>
      <c r="BMB110" s="267"/>
      <c r="BMC110" s="267"/>
      <c r="BMD110" s="267"/>
      <c r="BME110" s="267"/>
      <c r="BMF110" s="267"/>
      <c r="BMG110" s="267"/>
      <c r="BMH110" s="267"/>
      <c r="BMI110" s="267"/>
      <c r="BMJ110" s="267"/>
      <c r="BMK110" s="267"/>
      <c r="BML110" s="267"/>
      <c r="BMM110" s="267"/>
      <c r="BMN110" s="267"/>
      <c r="BMO110" s="267"/>
      <c r="BMP110" s="267"/>
      <c r="BMQ110" s="267"/>
      <c r="BMR110" s="267"/>
      <c r="BMS110" s="267"/>
      <c r="BMT110" s="267"/>
      <c r="BMU110" s="267"/>
      <c r="BMV110" s="267"/>
      <c r="BMW110" s="267"/>
      <c r="BMX110" s="267"/>
      <c r="BMY110" s="267"/>
      <c r="BMZ110" s="267"/>
      <c r="BNA110" s="267"/>
      <c r="BNB110" s="267"/>
      <c r="BNC110" s="267"/>
      <c r="BND110" s="267"/>
      <c r="BNE110" s="267"/>
      <c r="BNF110" s="267"/>
      <c r="BNG110" s="267"/>
      <c r="BNH110" s="267"/>
      <c r="BNI110" s="267"/>
      <c r="BNJ110" s="267"/>
      <c r="BNK110" s="267"/>
      <c r="BNL110" s="267"/>
      <c r="BNM110" s="267"/>
      <c r="BNN110" s="267"/>
      <c r="BNO110" s="267"/>
      <c r="BNP110" s="267"/>
      <c r="BNQ110" s="267"/>
      <c r="BNR110" s="267"/>
      <c r="BNS110" s="267"/>
      <c r="BNT110" s="267"/>
      <c r="BNU110" s="267"/>
      <c r="BNV110" s="267"/>
      <c r="BNW110" s="267"/>
      <c r="BNX110" s="267"/>
      <c r="BNY110" s="267"/>
      <c r="BNZ110" s="267"/>
      <c r="BOA110" s="267"/>
      <c r="BOB110" s="267"/>
      <c r="BOC110" s="267"/>
      <c r="BOD110" s="267"/>
      <c r="BOE110" s="267"/>
      <c r="BOF110" s="267"/>
      <c r="BOG110" s="267"/>
      <c r="BOH110" s="267"/>
      <c r="BOI110" s="267"/>
      <c r="BOJ110" s="267"/>
      <c r="BOK110" s="267"/>
      <c r="BOL110" s="267"/>
      <c r="BOM110" s="267"/>
      <c r="BON110" s="267"/>
      <c r="BOO110" s="267"/>
      <c r="BOP110" s="267"/>
      <c r="BOQ110" s="267"/>
      <c r="BOR110" s="267"/>
      <c r="BOS110" s="267"/>
      <c r="BOT110" s="267"/>
      <c r="BOU110" s="267"/>
      <c r="BOV110" s="267"/>
      <c r="BOW110" s="267"/>
      <c r="BOX110" s="267"/>
      <c r="BOY110" s="267"/>
      <c r="BOZ110" s="267"/>
      <c r="BPA110" s="267"/>
      <c r="BPB110" s="267"/>
      <c r="BPC110" s="267"/>
      <c r="BPD110" s="267"/>
      <c r="BPE110" s="267"/>
      <c r="BPF110" s="267"/>
      <c r="BPG110" s="267"/>
      <c r="BPH110" s="267"/>
      <c r="BPI110" s="267"/>
      <c r="BPJ110" s="267"/>
      <c r="BPK110" s="267"/>
      <c r="BPL110" s="267"/>
      <c r="BPM110" s="267"/>
      <c r="BPN110" s="267"/>
      <c r="BPO110" s="267"/>
      <c r="BPP110" s="267"/>
      <c r="BPQ110" s="267"/>
      <c r="BPR110" s="267"/>
      <c r="BPS110" s="267"/>
      <c r="BPT110" s="267"/>
      <c r="BPU110" s="267"/>
      <c r="BPV110" s="267"/>
      <c r="BPW110" s="267"/>
      <c r="BPX110" s="267"/>
      <c r="BPY110" s="267"/>
      <c r="BPZ110" s="267"/>
      <c r="BQA110" s="267"/>
      <c r="BQB110" s="267"/>
      <c r="BQC110" s="267"/>
      <c r="BQD110" s="267"/>
      <c r="BQE110" s="267"/>
      <c r="BQF110" s="267"/>
      <c r="BQG110" s="267"/>
      <c r="BQH110" s="267"/>
      <c r="BQI110" s="267"/>
      <c r="BQJ110" s="267"/>
      <c r="BQK110" s="267"/>
      <c r="BQL110" s="267"/>
      <c r="BQM110" s="267"/>
      <c r="BQN110" s="267"/>
      <c r="BQO110" s="267"/>
      <c r="BQP110" s="267"/>
      <c r="BQQ110" s="267"/>
      <c r="BQR110" s="267"/>
      <c r="BQS110" s="267"/>
      <c r="BQT110" s="267"/>
      <c r="BQU110" s="267"/>
      <c r="BQV110" s="267"/>
      <c r="BQW110" s="267"/>
      <c r="BQX110" s="267"/>
      <c r="BQY110" s="267"/>
      <c r="BQZ110" s="267"/>
      <c r="BRA110" s="267"/>
      <c r="BRB110" s="267"/>
      <c r="BRC110" s="267"/>
      <c r="BRD110" s="267"/>
      <c r="BRE110" s="267"/>
      <c r="BRF110" s="267"/>
      <c r="BRG110" s="267"/>
      <c r="BRH110" s="267"/>
      <c r="BRI110" s="267"/>
      <c r="BRJ110" s="267"/>
      <c r="BRK110" s="267"/>
      <c r="BRL110" s="267"/>
      <c r="BRM110" s="267"/>
      <c r="BRN110" s="267"/>
      <c r="BRO110" s="267"/>
      <c r="BRP110" s="267"/>
      <c r="BRQ110" s="267"/>
      <c r="BRR110" s="267"/>
      <c r="BRS110" s="267"/>
      <c r="BRT110" s="267"/>
      <c r="BRU110" s="267"/>
      <c r="BRV110" s="267"/>
      <c r="BRW110" s="267"/>
      <c r="BRX110" s="267"/>
      <c r="BRY110" s="267"/>
      <c r="BRZ110" s="267"/>
      <c r="BSA110" s="267"/>
      <c r="BSB110" s="267"/>
      <c r="BSC110" s="267"/>
      <c r="BSD110" s="267"/>
      <c r="BSE110" s="267"/>
      <c r="BSF110" s="267"/>
      <c r="BSG110" s="267"/>
      <c r="BSH110" s="267"/>
      <c r="BSI110" s="267"/>
      <c r="BSJ110" s="267"/>
      <c r="BSK110" s="267"/>
      <c r="BSL110" s="267"/>
      <c r="BSM110" s="267"/>
      <c r="BSN110" s="267"/>
      <c r="BSO110" s="267"/>
      <c r="BSP110" s="267"/>
      <c r="BSQ110" s="267"/>
      <c r="BSR110" s="267"/>
      <c r="BSS110" s="267"/>
      <c r="BST110" s="267"/>
      <c r="BSU110" s="267"/>
      <c r="BSV110" s="267"/>
      <c r="BSW110" s="267"/>
      <c r="BSX110" s="267"/>
      <c r="BSY110" s="267"/>
      <c r="BSZ110" s="267"/>
      <c r="BTA110" s="267"/>
      <c r="BTB110" s="267"/>
      <c r="BTC110" s="267"/>
      <c r="BTD110" s="267"/>
      <c r="BTE110" s="267"/>
      <c r="BTF110" s="267"/>
      <c r="BTG110" s="267"/>
      <c r="BTH110" s="267"/>
      <c r="BTI110" s="267"/>
      <c r="BTJ110" s="267"/>
      <c r="BTK110" s="267"/>
      <c r="BTL110" s="267"/>
      <c r="BTM110" s="267"/>
      <c r="BTN110" s="267"/>
      <c r="BTO110" s="267"/>
      <c r="BTP110" s="267"/>
      <c r="BTQ110" s="267"/>
      <c r="BTR110" s="267"/>
      <c r="BTS110" s="267"/>
      <c r="BTT110" s="267"/>
      <c r="BTU110" s="267"/>
      <c r="BTV110" s="267"/>
      <c r="BTW110" s="267"/>
      <c r="BTX110" s="267"/>
      <c r="BTY110" s="267"/>
      <c r="BTZ110" s="267"/>
      <c r="BUA110" s="267"/>
      <c r="BUB110" s="267"/>
      <c r="BUC110" s="267"/>
      <c r="BUD110" s="267"/>
      <c r="BUE110" s="267"/>
      <c r="BUF110" s="267"/>
      <c r="BUG110" s="267"/>
      <c r="BUH110" s="267"/>
      <c r="BUI110" s="267"/>
      <c r="BUJ110" s="267"/>
      <c r="BUK110" s="267"/>
      <c r="BUL110" s="267"/>
      <c r="BUM110" s="267"/>
      <c r="BUN110" s="267"/>
      <c r="BUO110" s="267"/>
      <c r="BUP110" s="267"/>
      <c r="BUQ110" s="267"/>
      <c r="BUR110" s="267"/>
      <c r="BUS110" s="267"/>
      <c r="BUT110" s="267"/>
      <c r="BUU110" s="267"/>
      <c r="BUV110" s="267"/>
      <c r="BUW110" s="267"/>
      <c r="BUX110" s="267"/>
      <c r="BUY110" s="267"/>
      <c r="BUZ110" s="267"/>
      <c r="BVA110" s="267"/>
      <c r="BVB110" s="267"/>
      <c r="BVC110" s="267"/>
      <c r="BVD110" s="267"/>
      <c r="BVE110" s="267"/>
      <c r="BVF110" s="267"/>
      <c r="BVG110" s="267"/>
      <c r="BVH110" s="267"/>
      <c r="BVI110" s="267"/>
      <c r="BVJ110" s="267"/>
      <c r="BVK110" s="267"/>
      <c r="BVL110" s="267"/>
      <c r="BVM110" s="267"/>
      <c r="BVN110" s="267"/>
      <c r="BVO110" s="267"/>
      <c r="BVP110" s="267"/>
      <c r="BVQ110" s="267"/>
      <c r="BVR110" s="267"/>
      <c r="BVS110" s="267"/>
      <c r="BVT110" s="267"/>
      <c r="BVU110" s="267"/>
      <c r="BVV110" s="267"/>
      <c r="BVW110" s="267"/>
      <c r="BVX110" s="267"/>
      <c r="BVY110" s="267"/>
      <c r="BVZ110" s="267"/>
      <c r="BWA110" s="267"/>
      <c r="BWB110" s="267"/>
      <c r="BWC110" s="267"/>
      <c r="BWD110" s="267"/>
      <c r="BWE110" s="267"/>
      <c r="BWF110" s="267"/>
      <c r="BWG110" s="267"/>
      <c r="BWH110" s="267"/>
      <c r="BWI110" s="267"/>
      <c r="BWJ110" s="267"/>
      <c r="BWK110" s="267"/>
      <c r="BWL110" s="267"/>
      <c r="BWM110" s="267"/>
      <c r="BWN110" s="267"/>
      <c r="BWO110" s="267"/>
      <c r="BWP110" s="267"/>
      <c r="BWQ110" s="267"/>
      <c r="BWR110" s="267"/>
      <c r="BWS110" s="267"/>
      <c r="BWT110" s="267"/>
      <c r="BWU110" s="267"/>
      <c r="BWV110" s="267"/>
      <c r="BWW110" s="267"/>
      <c r="BWX110" s="267"/>
      <c r="BWY110" s="267"/>
      <c r="BWZ110" s="267"/>
      <c r="BXA110" s="267"/>
      <c r="BXB110" s="267"/>
      <c r="BXC110" s="267"/>
      <c r="BXD110" s="267"/>
      <c r="BXE110" s="267"/>
      <c r="BXF110" s="267"/>
      <c r="BXG110" s="267"/>
      <c r="BXH110" s="267"/>
      <c r="BXI110" s="267"/>
      <c r="BXJ110" s="267"/>
      <c r="BXK110" s="267"/>
      <c r="BXL110" s="267"/>
      <c r="BXM110" s="267"/>
      <c r="BXN110" s="267"/>
      <c r="BXO110" s="267"/>
      <c r="BXP110" s="267"/>
      <c r="BXQ110" s="267"/>
      <c r="BXR110" s="267"/>
      <c r="BXS110" s="267"/>
      <c r="BXT110" s="267"/>
      <c r="BXU110" s="267"/>
      <c r="BXV110" s="267"/>
      <c r="BXW110" s="267"/>
      <c r="BXX110" s="267"/>
      <c r="BXY110" s="267"/>
      <c r="BXZ110" s="267"/>
      <c r="BYA110" s="267"/>
      <c r="BYB110" s="267"/>
      <c r="BYC110" s="267"/>
      <c r="BYD110" s="267"/>
      <c r="BYE110" s="267"/>
      <c r="BYF110" s="267"/>
      <c r="BYG110" s="267"/>
      <c r="BYH110" s="267"/>
      <c r="BYI110" s="267"/>
      <c r="BYJ110" s="267"/>
      <c r="BYK110" s="267"/>
      <c r="BYL110" s="267"/>
      <c r="BYM110" s="267"/>
      <c r="BYN110" s="267"/>
      <c r="BYO110" s="267"/>
      <c r="BYP110" s="267"/>
      <c r="BYQ110" s="267"/>
      <c r="BYR110" s="267"/>
      <c r="BYS110" s="267"/>
      <c r="BYT110" s="267"/>
      <c r="BYU110" s="267"/>
      <c r="BYV110" s="267"/>
      <c r="BYW110" s="267"/>
      <c r="BYX110" s="267"/>
      <c r="BYY110" s="267"/>
      <c r="BYZ110" s="267"/>
      <c r="BZA110" s="267"/>
      <c r="BZB110" s="267"/>
      <c r="BZC110" s="267"/>
      <c r="BZD110" s="267"/>
      <c r="BZE110" s="267"/>
      <c r="BZF110" s="267"/>
      <c r="BZG110" s="267"/>
      <c r="BZH110" s="267"/>
      <c r="BZI110" s="267"/>
      <c r="BZJ110" s="267"/>
      <c r="BZK110" s="267"/>
      <c r="BZL110" s="267"/>
      <c r="BZM110" s="267"/>
      <c r="BZN110" s="267"/>
      <c r="BZO110" s="267"/>
      <c r="BZP110" s="267"/>
      <c r="BZQ110" s="267"/>
      <c r="BZR110" s="267"/>
      <c r="BZS110" s="267"/>
      <c r="BZT110" s="267"/>
      <c r="BZU110" s="267"/>
      <c r="BZV110" s="267"/>
      <c r="BZW110" s="267"/>
      <c r="BZX110" s="267"/>
      <c r="BZY110" s="267"/>
      <c r="BZZ110" s="267"/>
      <c r="CAA110" s="267"/>
      <c r="CAB110" s="267"/>
      <c r="CAC110" s="267"/>
      <c r="CAD110" s="267"/>
      <c r="CAE110" s="267"/>
      <c r="CAF110" s="267"/>
      <c r="CAG110" s="267"/>
      <c r="CAH110" s="267"/>
      <c r="CAI110" s="267"/>
      <c r="CAJ110" s="267"/>
      <c r="CAK110" s="267"/>
      <c r="CAL110" s="267"/>
      <c r="CAM110" s="267"/>
      <c r="CAN110" s="267"/>
      <c r="CAO110" s="267"/>
      <c r="CAP110" s="267"/>
      <c r="CAQ110" s="267"/>
      <c r="CAR110" s="267"/>
      <c r="CAS110" s="267"/>
      <c r="CAT110" s="267"/>
      <c r="CAU110" s="267"/>
      <c r="CAV110" s="267"/>
      <c r="CAW110" s="267"/>
      <c r="CAX110" s="267"/>
      <c r="CAY110" s="267"/>
      <c r="CAZ110" s="267"/>
      <c r="CBA110" s="267"/>
      <c r="CBB110" s="267"/>
      <c r="CBC110" s="267"/>
      <c r="CBD110" s="267"/>
      <c r="CBE110" s="267"/>
      <c r="CBF110" s="267"/>
      <c r="CBG110" s="267"/>
      <c r="CBH110" s="267"/>
      <c r="CBI110" s="267"/>
      <c r="CBJ110" s="267"/>
      <c r="CBK110" s="267"/>
      <c r="CBL110" s="267"/>
      <c r="CBM110" s="267"/>
      <c r="CBN110" s="267"/>
      <c r="CBO110" s="267"/>
      <c r="CBP110" s="267"/>
      <c r="CBQ110" s="267"/>
      <c r="CBR110" s="267"/>
      <c r="CBS110" s="267"/>
      <c r="CBT110" s="267"/>
      <c r="CBU110" s="267"/>
      <c r="CBV110" s="267"/>
      <c r="CBW110" s="267"/>
      <c r="CBX110" s="267"/>
      <c r="CBY110" s="267"/>
      <c r="CBZ110" s="267"/>
      <c r="CCA110" s="267"/>
      <c r="CCB110" s="267"/>
      <c r="CCC110" s="267"/>
      <c r="CCD110" s="267"/>
      <c r="CCE110" s="267"/>
      <c r="CCF110" s="267"/>
      <c r="CCG110" s="267"/>
      <c r="CCH110" s="267"/>
      <c r="CCI110" s="267"/>
      <c r="CCJ110" s="267"/>
      <c r="CCK110" s="267"/>
      <c r="CCL110" s="267"/>
      <c r="CCM110" s="267"/>
      <c r="CCN110" s="267"/>
      <c r="CCO110" s="267"/>
      <c r="CCP110" s="267"/>
      <c r="CCQ110" s="267"/>
      <c r="CCR110" s="267"/>
      <c r="CCS110" s="267"/>
      <c r="CCT110" s="267"/>
      <c r="CCU110" s="267"/>
      <c r="CCV110" s="267"/>
      <c r="CCW110" s="267"/>
      <c r="CCX110" s="267"/>
      <c r="CCY110" s="267"/>
      <c r="CCZ110" s="267"/>
      <c r="CDA110" s="267"/>
      <c r="CDB110" s="267"/>
      <c r="CDC110" s="267"/>
      <c r="CDD110" s="267"/>
      <c r="CDE110" s="267"/>
      <c r="CDF110" s="267"/>
      <c r="CDG110" s="267"/>
      <c r="CDH110" s="267"/>
      <c r="CDI110" s="267"/>
      <c r="CDJ110" s="267"/>
      <c r="CDK110" s="267"/>
      <c r="CDL110" s="267"/>
      <c r="CDM110" s="267"/>
      <c r="CDN110" s="267"/>
      <c r="CDO110" s="267"/>
      <c r="CDP110" s="267"/>
      <c r="CDQ110" s="267"/>
      <c r="CDR110" s="267"/>
      <c r="CDS110" s="267"/>
      <c r="CDT110" s="267"/>
      <c r="CDU110" s="267"/>
      <c r="CDV110" s="267"/>
      <c r="CDW110" s="267"/>
      <c r="CDX110" s="267"/>
      <c r="CDY110" s="267"/>
      <c r="CDZ110" s="267"/>
      <c r="CEA110" s="267"/>
      <c r="CEB110" s="267"/>
      <c r="CEC110" s="267"/>
      <c r="CED110" s="267"/>
      <c r="CEE110" s="267"/>
      <c r="CEF110" s="267"/>
      <c r="CEG110" s="267"/>
      <c r="CEH110" s="267"/>
      <c r="CEI110" s="267"/>
      <c r="CEJ110" s="267"/>
      <c r="CEK110" s="267"/>
      <c r="CEL110" s="267"/>
      <c r="CEM110" s="267"/>
      <c r="CEN110" s="267"/>
      <c r="CEO110" s="267"/>
      <c r="CEP110" s="267"/>
      <c r="CEQ110" s="267"/>
      <c r="CER110" s="267"/>
      <c r="CES110" s="267"/>
      <c r="CET110" s="267"/>
      <c r="CEU110" s="267"/>
      <c r="CEV110" s="267"/>
      <c r="CEW110" s="267"/>
      <c r="CEX110" s="267"/>
      <c r="CEY110" s="267"/>
      <c r="CEZ110" s="267"/>
      <c r="CFA110" s="267"/>
      <c r="CFB110" s="267"/>
      <c r="CFC110" s="267"/>
      <c r="CFD110" s="267"/>
      <c r="CFE110" s="267"/>
      <c r="CFF110" s="267"/>
      <c r="CFG110" s="267"/>
      <c r="CFH110" s="267"/>
      <c r="CFI110" s="267"/>
      <c r="CFJ110" s="267"/>
      <c r="CFK110" s="267"/>
      <c r="CFL110" s="267"/>
      <c r="CFM110" s="267"/>
      <c r="CFN110" s="267"/>
      <c r="CFO110" s="267"/>
      <c r="CFP110" s="267"/>
      <c r="CFQ110" s="267"/>
      <c r="CFR110" s="267"/>
      <c r="CFS110" s="267"/>
      <c r="CFT110" s="267"/>
      <c r="CFU110" s="267"/>
      <c r="CFV110" s="267"/>
      <c r="CFW110" s="267"/>
      <c r="CFX110" s="267"/>
      <c r="CFY110" s="267"/>
      <c r="CFZ110" s="267"/>
      <c r="CGA110" s="267"/>
      <c r="CGB110" s="267"/>
      <c r="CGC110" s="267"/>
      <c r="CGD110" s="267"/>
      <c r="CGE110" s="267"/>
      <c r="CGF110" s="267"/>
      <c r="CGG110" s="267"/>
      <c r="CGH110" s="267"/>
      <c r="CGI110" s="267"/>
      <c r="CGJ110" s="267"/>
      <c r="CGK110" s="267"/>
      <c r="CGL110" s="267"/>
      <c r="CGM110" s="267"/>
      <c r="CGN110" s="267"/>
      <c r="CGO110" s="267"/>
      <c r="CGP110" s="267"/>
      <c r="CGQ110" s="267"/>
      <c r="CGR110" s="267"/>
      <c r="CGS110" s="267"/>
      <c r="CGT110" s="267"/>
      <c r="CGU110" s="267"/>
      <c r="CGV110" s="267"/>
      <c r="CGW110" s="267"/>
      <c r="CGX110" s="267"/>
      <c r="CGY110" s="267"/>
      <c r="CGZ110" s="267"/>
      <c r="CHA110" s="267"/>
      <c r="CHB110" s="267"/>
      <c r="CHC110" s="267"/>
      <c r="CHD110" s="267"/>
      <c r="CHE110" s="267"/>
      <c r="CHF110" s="267"/>
      <c r="CHG110" s="267"/>
      <c r="CHH110" s="267"/>
      <c r="CHI110" s="267"/>
      <c r="CHJ110" s="267"/>
      <c r="CHK110" s="267"/>
      <c r="CHL110" s="267"/>
      <c r="CHM110" s="267"/>
      <c r="CHN110" s="267"/>
      <c r="CHO110" s="267"/>
      <c r="CHP110" s="267"/>
      <c r="CHQ110" s="267"/>
      <c r="CHR110" s="267"/>
      <c r="CHS110" s="267"/>
      <c r="CHT110" s="267"/>
      <c r="CHU110" s="267"/>
      <c r="CHV110" s="267"/>
      <c r="CHW110" s="267"/>
      <c r="CHX110" s="267"/>
      <c r="CHY110" s="267"/>
      <c r="CHZ110" s="267"/>
      <c r="CIA110" s="267"/>
      <c r="CIB110" s="267"/>
      <c r="CIC110" s="267"/>
      <c r="CID110" s="267"/>
      <c r="CIE110" s="267"/>
      <c r="CIF110" s="267"/>
      <c r="CIG110" s="267"/>
      <c r="CIH110" s="267"/>
      <c r="CII110" s="267"/>
      <c r="CIJ110" s="267"/>
      <c r="CIK110" s="267"/>
      <c r="CIL110" s="267"/>
      <c r="CIM110" s="267"/>
      <c r="CIN110" s="267"/>
      <c r="CIO110" s="267"/>
      <c r="CIP110" s="267"/>
      <c r="CIQ110" s="267"/>
      <c r="CIR110" s="267"/>
      <c r="CIS110" s="267"/>
      <c r="CIT110" s="267"/>
      <c r="CIU110" s="267"/>
      <c r="CIV110" s="267"/>
      <c r="CIW110" s="267"/>
      <c r="CIX110" s="267"/>
      <c r="CIY110" s="267"/>
      <c r="CIZ110" s="267"/>
      <c r="CJA110" s="267"/>
      <c r="CJB110" s="267"/>
      <c r="CJC110" s="267"/>
      <c r="CJD110" s="267"/>
      <c r="CJE110" s="267"/>
      <c r="CJF110" s="267"/>
      <c r="CJG110" s="267"/>
      <c r="CJH110" s="267"/>
      <c r="CJI110" s="267"/>
      <c r="CJJ110" s="267"/>
      <c r="CJK110" s="267"/>
      <c r="CJL110" s="267"/>
      <c r="CJM110" s="267"/>
      <c r="CJN110" s="267"/>
      <c r="CJO110" s="267"/>
      <c r="CJP110" s="267"/>
      <c r="CJQ110" s="267"/>
      <c r="CJR110" s="267"/>
      <c r="CJS110" s="267"/>
      <c r="CJT110" s="267"/>
      <c r="CJU110" s="267"/>
      <c r="CJV110" s="267"/>
      <c r="CJW110" s="267"/>
      <c r="CJX110" s="267"/>
      <c r="CJY110" s="267"/>
      <c r="CJZ110" s="267"/>
      <c r="CKA110" s="267"/>
      <c r="CKB110" s="267"/>
      <c r="CKC110" s="267"/>
      <c r="CKD110" s="267"/>
      <c r="CKE110" s="267"/>
      <c r="CKF110" s="267"/>
      <c r="CKG110" s="267"/>
      <c r="CKH110" s="267"/>
      <c r="CKI110" s="267"/>
      <c r="CKJ110" s="267"/>
      <c r="CKK110" s="267"/>
      <c r="CKL110" s="267"/>
      <c r="CKM110" s="267"/>
      <c r="CKN110" s="267"/>
      <c r="CKO110" s="267"/>
      <c r="CKP110" s="267"/>
      <c r="CKQ110" s="267"/>
      <c r="CKR110" s="267"/>
      <c r="CKS110" s="267"/>
      <c r="CKT110" s="267"/>
      <c r="CKU110" s="267"/>
      <c r="CKV110" s="267"/>
      <c r="CKW110" s="267"/>
      <c r="CKX110" s="267"/>
      <c r="CKY110" s="267"/>
      <c r="CKZ110" s="267"/>
      <c r="CLA110" s="267"/>
      <c r="CLB110" s="267"/>
      <c r="CLC110" s="267"/>
      <c r="CLD110" s="267"/>
      <c r="CLE110" s="267"/>
      <c r="CLF110" s="267"/>
      <c r="CLG110" s="267"/>
      <c r="CLH110" s="267"/>
      <c r="CLI110" s="267"/>
      <c r="CLJ110" s="267"/>
      <c r="CLK110" s="267"/>
      <c r="CLL110" s="267"/>
      <c r="CLM110" s="267"/>
      <c r="CLN110" s="267"/>
      <c r="CLO110" s="267"/>
      <c r="CLP110" s="267"/>
      <c r="CLQ110" s="267"/>
      <c r="CLR110" s="267"/>
      <c r="CLS110" s="267"/>
      <c r="CLT110" s="267"/>
      <c r="CLU110" s="267"/>
      <c r="CLV110" s="267"/>
      <c r="CLW110" s="267"/>
      <c r="CLX110" s="267"/>
      <c r="CLY110" s="267"/>
      <c r="CLZ110" s="267"/>
      <c r="CMA110" s="267"/>
      <c r="CMB110" s="267"/>
      <c r="CMC110" s="267"/>
      <c r="CMD110" s="267"/>
      <c r="CME110" s="267"/>
      <c r="CMF110" s="267"/>
      <c r="CMG110" s="267"/>
      <c r="CMH110" s="267"/>
      <c r="CMI110" s="267"/>
      <c r="CMJ110" s="267"/>
      <c r="CMK110" s="267"/>
      <c r="CML110" s="267"/>
      <c r="CMM110" s="267"/>
      <c r="CMN110" s="267"/>
      <c r="CMO110" s="267"/>
      <c r="CMP110" s="267"/>
      <c r="CMQ110" s="267"/>
      <c r="CMR110" s="267"/>
      <c r="CMS110" s="267"/>
      <c r="CMT110" s="267"/>
      <c r="CMU110" s="267"/>
      <c r="CMV110" s="267"/>
      <c r="CMW110" s="267"/>
      <c r="CMX110" s="267"/>
      <c r="CMY110" s="267"/>
      <c r="CMZ110" s="267"/>
      <c r="CNA110" s="267"/>
      <c r="CNB110" s="267"/>
      <c r="CNC110" s="267"/>
      <c r="CND110" s="267"/>
      <c r="CNE110" s="267"/>
      <c r="CNF110" s="267"/>
      <c r="CNG110" s="267"/>
      <c r="CNH110" s="267"/>
      <c r="CNI110" s="267"/>
      <c r="CNJ110" s="267"/>
      <c r="CNK110" s="267"/>
      <c r="CNL110" s="267"/>
      <c r="CNM110" s="267"/>
      <c r="CNN110" s="267"/>
      <c r="CNO110" s="267"/>
      <c r="CNP110" s="267"/>
      <c r="CNQ110" s="267"/>
      <c r="CNR110" s="267"/>
      <c r="CNS110" s="267"/>
      <c r="CNT110" s="267"/>
      <c r="CNU110" s="267"/>
      <c r="CNV110" s="267"/>
      <c r="CNW110" s="267"/>
      <c r="CNX110" s="267"/>
      <c r="CNY110" s="267"/>
      <c r="CNZ110" s="267"/>
      <c r="COA110" s="267"/>
      <c r="COB110" s="267"/>
      <c r="COC110" s="267"/>
      <c r="COD110" s="267"/>
      <c r="COE110" s="267"/>
      <c r="COF110" s="267"/>
      <c r="COG110" s="267"/>
      <c r="COH110" s="267"/>
      <c r="COI110" s="267"/>
      <c r="COJ110" s="267"/>
      <c r="COK110" s="267"/>
      <c r="COL110" s="267"/>
      <c r="COM110" s="267"/>
      <c r="CON110" s="267"/>
      <c r="COO110" s="267"/>
      <c r="COP110" s="267"/>
      <c r="COQ110" s="267"/>
      <c r="COR110" s="267"/>
      <c r="COS110" s="267"/>
      <c r="COT110" s="267"/>
      <c r="COU110" s="267"/>
      <c r="COV110" s="267"/>
      <c r="COW110" s="267"/>
      <c r="COX110" s="267"/>
      <c r="COY110" s="267"/>
      <c r="COZ110" s="267"/>
      <c r="CPA110" s="267"/>
      <c r="CPB110" s="267"/>
      <c r="CPC110" s="267"/>
      <c r="CPD110" s="267"/>
      <c r="CPE110" s="267"/>
      <c r="CPF110" s="267"/>
      <c r="CPG110" s="267"/>
      <c r="CPH110" s="267"/>
      <c r="CPI110" s="267"/>
      <c r="CPJ110" s="267"/>
      <c r="CPK110" s="267"/>
      <c r="CPL110" s="267"/>
      <c r="CPM110" s="267"/>
      <c r="CPN110" s="267"/>
      <c r="CPO110" s="267"/>
      <c r="CPP110" s="267"/>
      <c r="CPQ110" s="267"/>
      <c r="CPR110" s="267"/>
      <c r="CPS110" s="267"/>
      <c r="CPT110" s="267"/>
      <c r="CPU110" s="267"/>
      <c r="CPV110" s="267"/>
      <c r="CPW110" s="267"/>
      <c r="CPX110" s="267"/>
      <c r="CPY110" s="267"/>
      <c r="CPZ110" s="267"/>
      <c r="CQA110" s="267"/>
      <c r="CQB110" s="267"/>
      <c r="CQC110" s="267"/>
      <c r="CQD110" s="267"/>
      <c r="CQE110" s="267"/>
      <c r="CQF110" s="267"/>
      <c r="CQG110" s="267"/>
      <c r="CQH110" s="267"/>
      <c r="CQI110" s="267"/>
      <c r="CQJ110" s="267"/>
      <c r="CQK110" s="267"/>
      <c r="CQL110" s="267"/>
      <c r="CQM110" s="267"/>
      <c r="CQN110" s="267"/>
      <c r="CQO110" s="267"/>
      <c r="CQP110" s="267"/>
      <c r="CQQ110" s="267"/>
      <c r="CQR110" s="267"/>
      <c r="CQS110" s="267"/>
      <c r="CQT110" s="267"/>
      <c r="CQU110" s="267"/>
      <c r="CQV110" s="267"/>
      <c r="CQW110" s="267"/>
      <c r="CQX110" s="267"/>
      <c r="CQY110" s="267"/>
      <c r="CQZ110" s="267"/>
      <c r="CRA110" s="267"/>
      <c r="CRB110" s="267"/>
      <c r="CRC110" s="267"/>
      <c r="CRD110" s="267"/>
      <c r="CRE110" s="267"/>
      <c r="CRF110" s="267"/>
      <c r="CRG110" s="267"/>
      <c r="CRH110" s="267"/>
      <c r="CRI110" s="267"/>
      <c r="CRJ110" s="267"/>
      <c r="CRK110" s="267"/>
      <c r="CRL110" s="267"/>
      <c r="CRM110" s="267"/>
      <c r="CRN110" s="267"/>
      <c r="CRO110" s="267"/>
      <c r="CRP110" s="267"/>
      <c r="CRQ110" s="267"/>
      <c r="CRR110" s="267"/>
      <c r="CRS110" s="267"/>
      <c r="CRT110" s="267"/>
      <c r="CRU110" s="267"/>
      <c r="CRV110" s="267"/>
      <c r="CRW110" s="267"/>
      <c r="CRX110" s="267"/>
      <c r="CRY110" s="267"/>
      <c r="CRZ110" s="267"/>
      <c r="CSA110" s="267"/>
      <c r="CSB110" s="267"/>
      <c r="CSC110" s="267"/>
      <c r="CSD110" s="267"/>
      <c r="CSE110" s="267"/>
      <c r="CSF110" s="267"/>
      <c r="CSG110" s="267"/>
      <c r="CSH110" s="267"/>
      <c r="CSI110" s="267"/>
      <c r="CSJ110" s="267"/>
      <c r="CSK110" s="267"/>
      <c r="CSL110" s="267"/>
      <c r="CSM110" s="267"/>
      <c r="CSN110" s="267"/>
      <c r="CSO110" s="267"/>
      <c r="CSP110" s="267"/>
      <c r="CSQ110" s="267"/>
      <c r="CSR110" s="267"/>
      <c r="CSS110" s="267"/>
      <c r="CST110" s="267"/>
      <c r="CSU110" s="267"/>
      <c r="CSV110" s="267"/>
      <c r="CSW110" s="267"/>
      <c r="CSX110" s="267"/>
      <c r="CSY110" s="267"/>
      <c r="CSZ110" s="267"/>
      <c r="CTA110" s="267"/>
      <c r="CTB110" s="267"/>
      <c r="CTC110" s="267"/>
      <c r="CTD110" s="267"/>
      <c r="CTE110" s="267"/>
      <c r="CTF110" s="267"/>
      <c r="CTG110" s="267"/>
      <c r="CTH110" s="267"/>
      <c r="CTI110" s="267"/>
      <c r="CTJ110" s="267"/>
      <c r="CTK110" s="267"/>
      <c r="CTL110" s="267"/>
      <c r="CTM110" s="267"/>
      <c r="CTN110" s="267"/>
      <c r="CTO110" s="267"/>
      <c r="CTP110" s="267"/>
      <c r="CTQ110" s="267"/>
      <c r="CTR110" s="267"/>
      <c r="CTS110" s="267"/>
      <c r="CTT110" s="267"/>
      <c r="CTU110" s="267"/>
      <c r="CTV110" s="267"/>
      <c r="CTW110" s="267"/>
      <c r="CTX110" s="267"/>
      <c r="CTY110" s="267"/>
      <c r="CTZ110" s="267"/>
      <c r="CUA110" s="267"/>
    </row>
    <row r="111" s="30" customFormat="1" spans="1:19">
      <c r="A111" s="268">
        <v>117</v>
      </c>
      <c r="B111" s="268" t="s">
        <v>14</v>
      </c>
      <c r="C111" s="268" t="s">
        <v>37</v>
      </c>
      <c r="D111" s="82" t="s">
        <v>929</v>
      </c>
      <c r="E111" s="29" t="s">
        <v>669</v>
      </c>
      <c r="F111" s="31"/>
      <c r="G111" s="31" t="s">
        <v>670</v>
      </c>
      <c r="H111" s="119" t="s">
        <v>930</v>
      </c>
      <c r="I111" s="32">
        <v>2020.5</v>
      </c>
      <c r="J111" s="31" t="s">
        <v>672</v>
      </c>
      <c r="K111" s="31">
        <v>0.001</v>
      </c>
      <c r="L111" s="29" t="s">
        <v>673</v>
      </c>
      <c r="M111" s="248" t="s">
        <v>674</v>
      </c>
      <c r="N111" s="94">
        <v>45799</v>
      </c>
      <c r="O111" s="94">
        <v>46163</v>
      </c>
      <c r="P111" s="198">
        <v>336</v>
      </c>
      <c r="Q111" s="85"/>
      <c r="R111" s="322"/>
      <c r="S111" s="266"/>
    </row>
    <row r="112" s="267" customFormat="1" ht="58" customHeight="1" spans="1:2575">
      <c r="A112" s="268">
        <v>118</v>
      </c>
      <c r="B112" s="268" t="s">
        <v>13</v>
      </c>
      <c r="C112" s="268" t="s">
        <v>37</v>
      </c>
      <c r="D112" s="310" t="s">
        <v>330</v>
      </c>
      <c r="E112" s="29" t="s">
        <v>931</v>
      </c>
      <c r="F112" s="31" t="s">
        <v>932</v>
      </c>
      <c r="G112" s="31" t="s">
        <v>933</v>
      </c>
      <c r="H112" s="32">
        <v>64875</v>
      </c>
      <c r="I112" s="31">
        <v>2016.02</v>
      </c>
      <c r="J112" s="316" t="s">
        <v>934</v>
      </c>
      <c r="K112" s="316">
        <v>0.01</v>
      </c>
      <c r="L112" s="31" t="s">
        <v>667</v>
      </c>
      <c r="M112" s="29" t="s">
        <v>674</v>
      </c>
      <c r="N112" s="94">
        <v>45800</v>
      </c>
      <c r="O112" s="94">
        <v>46164</v>
      </c>
      <c r="P112" s="29">
        <v>500</v>
      </c>
      <c r="Q112" s="85"/>
      <c r="R112" s="322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  <c r="FS112" s="30"/>
      <c r="FT112" s="30"/>
      <c r="FU112" s="30"/>
      <c r="FV112" s="30"/>
      <c r="FW112" s="30"/>
      <c r="FX112" s="30"/>
      <c r="FY112" s="30"/>
      <c r="FZ112" s="30"/>
      <c r="GA112" s="30"/>
      <c r="GB112" s="30"/>
      <c r="GC112" s="30"/>
      <c r="GD112" s="30"/>
      <c r="GE112" s="30"/>
      <c r="GF112" s="30"/>
      <c r="GG112" s="30"/>
      <c r="GH112" s="30"/>
      <c r="GI112" s="30"/>
      <c r="GJ112" s="30"/>
      <c r="GK112" s="30"/>
      <c r="GL112" s="30"/>
      <c r="GM112" s="30"/>
      <c r="GN112" s="30"/>
      <c r="GO112" s="30"/>
      <c r="GP112" s="30"/>
      <c r="GQ112" s="30"/>
      <c r="GR112" s="30"/>
      <c r="GS112" s="30"/>
      <c r="GT112" s="30"/>
      <c r="GU112" s="30"/>
      <c r="GV112" s="30"/>
      <c r="GW112" s="30"/>
      <c r="GX112" s="30"/>
      <c r="GY112" s="30"/>
      <c r="GZ112" s="30"/>
      <c r="HA112" s="30"/>
      <c r="HB112" s="30"/>
      <c r="HC112" s="30"/>
      <c r="HD112" s="30"/>
      <c r="HE112" s="30"/>
      <c r="HF112" s="30"/>
      <c r="HG112" s="30"/>
      <c r="HH112" s="30"/>
      <c r="HI112" s="30"/>
      <c r="HJ112" s="30"/>
      <c r="HK112" s="30"/>
      <c r="HL112" s="30"/>
      <c r="HM112" s="30"/>
      <c r="HN112" s="30"/>
      <c r="HO112" s="30"/>
      <c r="HP112" s="30"/>
      <c r="HQ112" s="30"/>
      <c r="HR112" s="30"/>
      <c r="HS112" s="30"/>
      <c r="HT112" s="30"/>
      <c r="HU112" s="30"/>
      <c r="HV112" s="30"/>
      <c r="HW112" s="30"/>
      <c r="HX112" s="30"/>
      <c r="HY112" s="30"/>
      <c r="HZ112" s="30"/>
      <c r="IA112" s="30"/>
      <c r="IB112" s="30"/>
      <c r="IC112" s="30"/>
      <c r="ID112" s="30"/>
      <c r="IE112" s="30"/>
      <c r="IF112" s="30"/>
      <c r="IG112" s="30"/>
      <c r="IH112" s="30"/>
      <c r="II112" s="30"/>
      <c r="IJ112" s="30"/>
      <c r="IK112" s="30"/>
      <c r="IL112" s="30"/>
      <c r="IM112" s="30"/>
      <c r="IN112" s="30"/>
      <c r="IO112" s="30"/>
      <c r="IP112" s="30"/>
      <c r="IQ112" s="30"/>
      <c r="IR112" s="30"/>
      <c r="IS112" s="30"/>
      <c r="IT112" s="30"/>
      <c r="IU112" s="30"/>
      <c r="IV112" s="30"/>
      <c r="IW112" s="30"/>
      <c r="IX112" s="30"/>
      <c r="IY112" s="30"/>
      <c r="IZ112" s="30"/>
      <c r="JA112" s="30"/>
      <c r="JB112" s="30"/>
      <c r="JC112" s="30"/>
      <c r="JD112" s="30"/>
      <c r="JE112" s="30"/>
      <c r="JF112" s="30"/>
      <c r="JG112" s="30"/>
      <c r="JH112" s="30"/>
      <c r="JI112" s="30"/>
      <c r="JJ112" s="30"/>
      <c r="JK112" s="30"/>
      <c r="JL112" s="30"/>
      <c r="JM112" s="30"/>
      <c r="JN112" s="30"/>
      <c r="JO112" s="30"/>
      <c r="JP112" s="30"/>
      <c r="JQ112" s="30"/>
      <c r="JR112" s="30"/>
      <c r="JS112" s="30"/>
      <c r="JT112" s="30"/>
      <c r="JU112" s="30"/>
      <c r="JV112" s="30"/>
      <c r="JW112" s="30"/>
      <c r="JX112" s="30"/>
      <c r="JY112" s="30"/>
      <c r="JZ112" s="30"/>
      <c r="KA112" s="30"/>
      <c r="KB112" s="30"/>
      <c r="KC112" s="30"/>
      <c r="KD112" s="30"/>
      <c r="KE112" s="30"/>
      <c r="KF112" s="30"/>
      <c r="KG112" s="30"/>
      <c r="KH112" s="30"/>
      <c r="KI112" s="30"/>
      <c r="KJ112" s="30"/>
      <c r="KK112" s="30"/>
      <c r="KL112" s="30"/>
      <c r="KM112" s="30"/>
      <c r="KN112" s="30"/>
      <c r="KO112" s="30"/>
      <c r="KP112" s="30"/>
      <c r="KQ112" s="30"/>
      <c r="KR112" s="30"/>
      <c r="KS112" s="30"/>
      <c r="KT112" s="30"/>
      <c r="KU112" s="30"/>
      <c r="KV112" s="30"/>
      <c r="KW112" s="30"/>
      <c r="KX112" s="30"/>
      <c r="KY112" s="30"/>
      <c r="KZ112" s="30"/>
      <c r="LA112" s="30"/>
      <c r="LB112" s="30"/>
      <c r="LC112" s="30"/>
      <c r="LD112" s="30"/>
      <c r="LE112" s="30"/>
      <c r="LF112" s="30"/>
      <c r="LG112" s="30"/>
      <c r="LH112" s="30"/>
      <c r="LI112" s="30"/>
      <c r="LJ112" s="30"/>
      <c r="LK112" s="30"/>
      <c r="LL112" s="30"/>
      <c r="LM112" s="30"/>
      <c r="LN112" s="30"/>
      <c r="LO112" s="30"/>
      <c r="LP112" s="30"/>
      <c r="LQ112" s="30"/>
      <c r="LR112" s="30"/>
      <c r="LS112" s="30"/>
      <c r="LT112" s="30"/>
      <c r="LU112" s="30"/>
      <c r="LV112" s="30"/>
      <c r="LW112" s="30"/>
      <c r="LX112" s="30"/>
      <c r="LY112" s="30"/>
      <c r="LZ112" s="30"/>
      <c r="MA112" s="30"/>
      <c r="MB112" s="30"/>
      <c r="MC112" s="30"/>
      <c r="MD112" s="30"/>
      <c r="ME112" s="30"/>
      <c r="MF112" s="30"/>
      <c r="MG112" s="30"/>
      <c r="MH112" s="30"/>
      <c r="MI112" s="30"/>
      <c r="MJ112" s="30"/>
      <c r="MK112" s="30"/>
      <c r="ML112" s="30"/>
      <c r="MM112" s="30"/>
      <c r="MN112" s="30"/>
      <c r="MO112" s="30"/>
      <c r="MP112" s="30"/>
      <c r="MQ112" s="30"/>
      <c r="MR112" s="30"/>
      <c r="MS112" s="30"/>
      <c r="MT112" s="30"/>
      <c r="MU112" s="30"/>
      <c r="MV112" s="30"/>
      <c r="MW112" s="30"/>
      <c r="MX112" s="30"/>
      <c r="MY112" s="30"/>
      <c r="MZ112" s="30"/>
      <c r="NA112" s="30"/>
      <c r="NB112" s="30"/>
      <c r="NC112" s="30"/>
      <c r="ND112" s="30"/>
      <c r="NE112" s="30"/>
      <c r="NF112" s="30"/>
      <c r="NG112" s="30"/>
      <c r="NH112" s="30"/>
      <c r="NI112" s="30"/>
      <c r="NJ112" s="30"/>
      <c r="NK112" s="30"/>
      <c r="NL112" s="30"/>
      <c r="NM112" s="30"/>
      <c r="NN112" s="30"/>
      <c r="NO112" s="30"/>
      <c r="NP112" s="30"/>
      <c r="NQ112" s="30"/>
      <c r="NR112" s="30"/>
      <c r="NS112" s="30"/>
      <c r="NT112" s="30"/>
      <c r="NU112" s="30"/>
      <c r="NV112" s="30"/>
      <c r="NW112" s="30"/>
      <c r="NX112" s="30"/>
      <c r="NY112" s="30"/>
      <c r="NZ112" s="30"/>
      <c r="OA112" s="30"/>
      <c r="OB112" s="30"/>
      <c r="OC112" s="30"/>
      <c r="OD112" s="30"/>
      <c r="OE112" s="30"/>
      <c r="OF112" s="30"/>
      <c r="OG112" s="30"/>
      <c r="OH112" s="30"/>
      <c r="OI112" s="30"/>
      <c r="OJ112" s="30"/>
      <c r="OK112" s="30"/>
      <c r="OL112" s="30"/>
      <c r="OM112" s="30"/>
      <c r="ON112" s="30"/>
      <c r="OO112" s="30"/>
      <c r="OP112" s="30"/>
      <c r="OQ112" s="30"/>
      <c r="OR112" s="30"/>
      <c r="OS112" s="30"/>
      <c r="OT112" s="30"/>
      <c r="OU112" s="30"/>
      <c r="OV112" s="30"/>
      <c r="OW112" s="30"/>
      <c r="OX112" s="30"/>
      <c r="OY112" s="30"/>
      <c r="OZ112" s="30"/>
      <c r="PA112" s="30"/>
      <c r="PB112" s="30"/>
      <c r="PC112" s="30"/>
      <c r="PD112" s="30"/>
      <c r="PE112" s="30"/>
      <c r="PF112" s="30"/>
      <c r="PG112" s="30"/>
      <c r="PH112" s="30"/>
      <c r="PI112" s="30"/>
      <c r="PJ112" s="30"/>
      <c r="PK112" s="30"/>
      <c r="PL112" s="30"/>
      <c r="PM112" s="30"/>
      <c r="PN112" s="30"/>
      <c r="PO112" s="30"/>
      <c r="PP112" s="30"/>
      <c r="PQ112" s="30"/>
      <c r="PR112" s="30"/>
      <c r="PS112" s="30"/>
      <c r="PT112" s="30"/>
      <c r="PU112" s="30"/>
      <c r="PV112" s="30"/>
      <c r="PW112" s="30"/>
      <c r="PX112" s="30"/>
      <c r="PY112" s="30"/>
      <c r="PZ112" s="30"/>
      <c r="QA112" s="30"/>
      <c r="QB112" s="30"/>
      <c r="QC112" s="30"/>
      <c r="QD112" s="30"/>
      <c r="QE112" s="30"/>
      <c r="QF112" s="30"/>
      <c r="QG112" s="30"/>
      <c r="QH112" s="30"/>
      <c r="QI112" s="30"/>
      <c r="QJ112" s="30"/>
      <c r="QK112" s="30"/>
      <c r="QL112" s="30"/>
      <c r="QM112" s="30"/>
      <c r="QN112" s="30"/>
      <c r="QO112" s="30"/>
      <c r="QP112" s="30"/>
      <c r="QQ112" s="30"/>
      <c r="QR112" s="30"/>
      <c r="QS112" s="30"/>
      <c r="QT112" s="30"/>
      <c r="QU112" s="30"/>
      <c r="QV112" s="30"/>
      <c r="QW112" s="30"/>
      <c r="QX112" s="30"/>
      <c r="QY112" s="30"/>
      <c r="QZ112" s="30"/>
      <c r="RA112" s="30"/>
      <c r="RB112" s="30"/>
      <c r="RC112" s="30"/>
      <c r="RD112" s="30"/>
      <c r="RE112" s="30"/>
      <c r="RF112" s="30"/>
      <c r="RG112" s="30"/>
      <c r="RH112" s="30"/>
      <c r="RI112" s="30"/>
      <c r="RJ112" s="30"/>
      <c r="RK112" s="30"/>
      <c r="RL112" s="30"/>
      <c r="RM112" s="30"/>
      <c r="RN112" s="30"/>
      <c r="RO112" s="30"/>
      <c r="RP112" s="30"/>
      <c r="RQ112" s="30"/>
      <c r="RR112" s="30"/>
      <c r="RS112" s="30"/>
      <c r="RT112" s="30"/>
      <c r="RU112" s="30"/>
      <c r="RV112" s="30"/>
      <c r="RW112" s="30"/>
      <c r="RX112" s="30"/>
      <c r="RY112" s="30"/>
      <c r="RZ112" s="30"/>
      <c r="SA112" s="30"/>
      <c r="SB112" s="30"/>
      <c r="SC112" s="30"/>
      <c r="SD112" s="30"/>
      <c r="SE112" s="30"/>
      <c r="SF112" s="30"/>
      <c r="SG112" s="30"/>
      <c r="SH112" s="30"/>
      <c r="SI112" s="30"/>
      <c r="SJ112" s="30"/>
      <c r="SK112" s="30"/>
      <c r="SL112" s="30"/>
      <c r="SM112" s="30"/>
      <c r="SN112" s="30"/>
      <c r="SO112" s="30"/>
      <c r="SP112" s="30"/>
      <c r="SQ112" s="30"/>
      <c r="SR112" s="30"/>
      <c r="SS112" s="30"/>
      <c r="ST112" s="30"/>
      <c r="SU112" s="30"/>
      <c r="SV112" s="30"/>
      <c r="SW112" s="30"/>
      <c r="SX112" s="30"/>
      <c r="SY112" s="30"/>
      <c r="SZ112" s="30"/>
      <c r="TA112" s="30"/>
      <c r="TB112" s="30"/>
      <c r="TC112" s="30"/>
      <c r="TD112" s="30"/>
      <c r="TE112" s="30"/>
      <c r="TF112" s="30"/>
      <c r="TG112" s="30"/>
      <c r="TH112" s="30"/>
      <c r="TI112" s="30"/>
      <c r="TJ112" s="30"/>
      <c r="TK112" s="30"/>
      <c r="TL112" s="30"/>
      <c r="TM112" s="30"/>
      <c r="TN112" s="30"/>
      <c r="TO112" s="30"/>
      <c r="TP112" s="30"/>
      <c r="TQ112" s="30"/>
      <c r="TR112" s="30"/>
      <c r="TS112" s="30"/>
      <c r="TT112" s="30"/>
      <c r="TU112" s="30"/>
      <c r="TV112" s="30"/>
      <c r="TW112" s="30"/>
      <c r="TX112" s="30"/>
      <c r="TY112" s="30"/>
      <c r="TZ112" s="30"/>
      <c r="UA112" s="30"/>
      <c r="UB112" s="30"/>
      <c r="UC112" s="30"/>
      <c r="UD112" s="30"/>
      <c r="UE112" s="30"/>
      <c r="UF112" s="30"/>
      <c r="UG112" s="30"/>
      <c r="UH112" s="30"/>
      <c r="UI112" s="30"/>
      <c r="UJ112" s="30"/>
      <c r="UK112" s="30"/>
      <c r="UL112" s="30"/>
      <c r="UM112" s="30"/>
      <c r="UN112" s="30"/>
      <c r="UO112" s="30"/>
      <c r="UP112" s="30"/>
      <c r="UQ112" s="30"/>
      <c r="UR112" s="30"/>
      <c r="US112" s="30"/>
      <c r="UT112" s="30"/>
      <c r="UU112" s="30"/>
      <c r="UV112" s="30"/>
      <c r="UW112" s="30"/>
      <c r="UX112" s="30"/>
      <c r="UY112" s="30"/>
      <c r="UZ112" s="30"/>
      <c r="VA112" s="30"/>
      <c r="VB112" s="30"/>
      <c r="VC112" s="30"/>
      <c r="VD112" s="30"/>
      <c r="VE112" s="30"/>
      <c r="VF112" s="30"/>
      <c r="VG112" s="30"/>
      <c r="VH112" s="30"/>
      <c r="VI112" s="30"/>
      <c r="VJ112" s="30"/>
      <c r="VK112" s="30"/>
      <c r="VL112" s="30"/>
      <c r="VM112" s="30"/>
      <c r="VN112" s="30"/>
      <c r="VO112" s="30"/>
      <c r="VP112" s="30"/>
      <c r="VQ112" s="30"/>
      <c r="VR112" s="30"/>
      <c r="VS112" s="30"/>
      <c r="VT112" s="30"/>
      <c r="VU112" s="30"/>
      <c r="VV112" s="30"/>
      <c r="VW112" s="30"/>
      <c r="VX112" s="30"/>
      <c r="VY112" s="30"/>
      <c r="VZ112" s="30"/>
      <c r="WA112" s="30"/>
      <c r="WB112" s="30"/>
      <c r="WC112" s="30"/>
      <c r="WD112" s="30"/>
      <c r="WE112" s="30"/>
      <c r="WF112" s="30"/>
      <c r="WG112" s="30"/>
      <c r="WH112" s="30"/>
      <c r="WI112" s="30"/>
      <c r="WJ112" s="30"/>
      <c r="WK112" s="30"/>
      <c r="WL112" s="30"/>
      <c r="WM112" s="30"/>
      <c r="WN112" s="30"/>
      <c r="WO112" s="30"/>
      <c r="WP112" s="30"/>
      <c r="WQ112" s="30"/>
      <c r="WR112" s="30"/>
      <c r="WS112" s="30"/>
      <c r="WT112" s="30"/>
      <c r="WU112" s="30"/>
      <c r="WV112" s="30"/>
      <c r="WW112" s="30"/>
      <c r="WX112" s="30"/>
      <c r="WY112" s="30"/>
      <c r="WZ112" s="30"/>
      <c r="XA112" s="30"/>
      <c r="XB112" s="30"/>
      <c r="XC112" s="30"/>
      <c r="XD112" s="30"/>
      <c r="XE112" s="30"/>
      <c r="XF112" s="30"/>
      <c r="XG112" s="30"/>
      <c r="XH112" s="30"/>
      <c r="XI112" s="30"/>
      <c r="XJ112" s="30"/>
      <c r="XK112" s="30"/>
      <c r="XL112" s="30"/>
      <c r="XM112" s="30"/>
      <c r="XN112" s="30"/>
      <c r="XO112" s="30"/>
      <c r="XP112" s="30"/>
      <c r="XQ112" s="30"/>
      <c r="XR112" s="30"/>
      <c r="XS112" s="30"/>
      <c r="XT112" s="30"/>
      <c r="XU112" s="30"/>
      <c r="XV112" s="30"/>
      <c r="XW112" s="30"/>
      <c r="XX112" s="30"/>
      <c r="XY112" s="30"/>
      <c r="XZ112" s="30"/>
      <c r="YA112" s="30"/>
      <c r="YB112" s="30"/>
      <c r="YC112" s="30"/>
      <c r="YD112" s="30"/>
      <c r="YE112" s="30"/>
      <c r="YF112" s="30"/>
      <c r="YG112" s="30"/>
      <c r="YH112" s="30"/>
      <c r="YI112" s="30"/>
      <c r="YJ112" s="30"/>
      <c r="YK112" s="30"/>
      <c r="YL112" s="30"/>
      <c r="YM112" s="30"/>
      <c r="YN112" s="30"/>
      <c r="YO112" s="30"/>
      <c r="YP112" s="30"/>
      <c r="YQ112" s="30"/>
      <c r="YR112" s="30"/>
      <c r="YS112" s="30"/>
      <c r="YT112" s="30"/>
      <c r="YU112" s="30"/>
      <c r="YV112" s="30"/>
      <c r="YW112" s="30"/>
      <c r="YX112" s="30"/>
      <c r="YY112" s="30"/>
      <c r="YZ112" s="30"/>
      <c r="ZA112" s="30"/>
      <c r="ZB112" s="30"/>
      <c r="ZC112" s="30"/>
      <c r="ZD112" s="30"/>
      <c r="ZE112" s="30"/>
      <c r="ZF112" s="30"/>
      <c r="ZG112" s="30"/>
      <c r="ZH112" s="30"/>
      <c r="ZI112" s="30"/>
      <c r="ZJ112" s="30"/>
      <c r="ZK112" s="30"/>
      <c r="ZL112" s="30"/>
      <c r="ZM112" s="30"/>
      <c r="ZN112" s="30"/>
      <c r="ZO112" s="30"/>
      <c r="ZP112" s="30"/>
      <c r="ZQ112" s="30"/>
      <c r="ZR112" s="30"/>
      <c r="ZS112" s="30"/>
      <c r="ZT112" s="30"/>
      <c r="ZU112" s="30"/>
      <c r="ZV112" s="30"/>
      <c r="ZW112" s="30"/>
      <c r="ZX112" s="30"/>
      <c r="ZY112" s="30"/>
      <c r="ZZ112" s="30"/>
      <c r="AAA112" s="30"/>
      <c r="AAB112" s="30"/>
      <c r="AAC112" s="30"/>
      <c r="AAD112" s="30"/>
      <c r="AAE112" s="30"/>
      <c r="AAF112" s="30"/>
      <c r="AAG112" s="30"/>
      <c r="AAH112" s="30"/>
      <c r="AAI112" s="30"/>
      <c r="AAJ112" s="30"/>
      <c r="AAK112" s="30"/>
      <c r="AAL112" s="30"/>
      <c r="AAM112" s="30"/>
      <c r="AAN112" s="30"/>
      <c r="AAO112" s="30"/>
      <c r="AAP112" s="30"/>
      <c r="AAQ112" s="30"/>
      <c r="AAR112" s="30"/>
      <c r="AAS112" s="30"/>
      <c r="AAT112" s="30"/>
      <c r="AAU112" s="30"/>
      <c r="AAV112" s="30"/>
      <c r="AAW112" s="30"/>
      <c r="AAX112" s="30"/>
      <c r="AAY112" s="30"/>
      <c r="AAZ112" s="30"/>
      <c r="ABA112" s="30"/>
      <c r="ABB112" s="30"/>
      <c r="ABC112" s="30"/>
      <c r="ABD112" s="30"/>
      <c r="ABE112" s="30"/>
      <c r="ABF112" s="30"/>
      <c r="ABG112" s="30"/>
      <c r="ABH112" s="30"/>
      <c r="ABI112" s="30"/>
      <c r="ABJ112" s="30"/>
      <c r="ABK112" s="30"/>
      <c r="ABL112" s="30"/>
      <c r="ABM112" s="30"/>
      <c r="ABN112" s="30"/>
      <c r="ABO112" s="30"/>
      <c r="ABP112" s="30"/>
      <c r="ABQ112" s="30"/>
      <c r="ABR112" s="30"/>
      <c r="ABS112" s="30"/>
      <c r="ABT112" s="30"/>
      <c r="ABU112" s="30"/>
      <c r="ABV112" s="30"/>
      <c r="ABW112" s="30"/>
      <c r="ABX112" s="30"/>
      <c r="ABY112" s="30"/>
      <c r="ABZ112" s="30"/>
      <c r="ACA112" s="30"/>
      <c r="ACB112" s="30"/>
      <c r="ACC112" s="30"/>
      <c r="ACD112" s="30"/>
      <c r="ACE112" s="30"/>
      <c r="ACF112" s="30"/>
      <c r="ACG112" s="30"/>
      <c r="ACH112" s="30"/>
      <c r="ACI112" s="30"/>
      <c r="ACJ112" s="30"/>
      <c r="ACK112" s="30"/>
      <c r="ACL112" s="30"/>
      <c r="ACM112" s="30"/>
      <c r="ACN112" s="30"/>
      <c r="ACO112" s="30"/>
      <c r="ACP112" s="30"/>
      <c r="ACQ112" s="30"/>
      <c r="ACR112" s="30"/>
      <c r="ACS112" s="30"/>
      <c r="ACT112" s="30"/>
      <c r="ACU112" s="30"/>
      <c r="ACV112" s="30"/>
      <c r="ACW112" s="30"/>
      <c r="ACX112" s="30"/>
      <c r="ACY112" s="30"/>
      <c r="ACZ112" s="30"/>
      <c r="ADA112" s="30"/>
      <c r="ADB112" s="30"/>
      <c r="ADC112" s="30"/>
      <c r="ADD112" s="30"/>
      <c r="ADE112" s="30"/>
      <c r="ADF112" s="30"/>
      <c r="ADG112" s="30"/>
      <c r="ADH112" s="30"/>
      <c r="ADI112" s="30"/>
      <c r="ADJ112" s="30"/>
      <c r="ADK112" s="30"/>
      <c r="ADL112" s="30"/>
      <c r="ADM112" s="30"/>
      <c r="ADN112" s="30"/>
      <c r="ADO112" s="30"/>
      <c r="ADP112" s="30"/>
      <c r="ADQ112" s="30"/>
      <c r="ADR112" s="30"/>
      <c r="ADS112" s="30"/>
      <c r="ADT112" s="30"/>
      <c r="ADU112" s="30"/>
      <c r="ADV112" s="30"/>
      <c r="ADW112" s="30"/>
      <c r="ADX112" s="30"/>
      <c r="ADY112" s="30"/>
      <c r="ADZ112" s="30"/>
      <c r="AEA112" s="30"/>
      <c r="AEB112" s="30"/>
      <c r="AEC112" s="30"/>
      <c r="AED112" s="30"/>
      <c r="AEE112" s="30"/>
      <c r="AEF112" s="30"/>
      <c r="AEG112" s="30"/>
      <c r="AEH112" s="30"/>
      <c r="AEI112" s="30"/>
      <c r="AEJ112" s="30"/>
      <c r="AEK112" s="30"/>
      <c r="AEL112" s="30"/>
      <c r="AEM112" s="30"/>
      <c r="AEN112" s="30"/>
      <c r="AEO112" s="30"/>
      <c r="AEP112" s="30"/>
      <c r="AEQ112" s="30"/>
      <c r="AER112" s="30"/>
      <c r="AES112" s="30"/>
      <c r="AET112" s="30"/>
      <c r="AEU112" s="30"/>
      <c r="AEV112" s="30"/>
      <c r="AEW112" s="30"/>
      <c r="AEX112" s="30"/>
      <c r="AEY112" s="30"/>
      <c r="AEZ112" s="30"/>
      <c r="AFA112" s="30"/>
      <c r="AFB112" s="30"/>
      <c r="AFC112" s="30"/>
      <c r="AFD112" s="30"/>
      <c r="AFE112" s="30"/>
      <c r="AFF112" s="30"/>
      <c r="AFG112" s="30"/>
      <c r="AFH112" s="30"/>
      <c r="AFI112" s="30"/>
      <c r="AFJ112" s="30"/>
      <c r="AFK112" s="30"/>
      <c r="AFL112" s="30"/>
      <c r="AFM112" s="30"/>
      <c r="AFN112" s="30"/>
      <c r="AFO112" s="30"/>
      <c r="AFP112" s="30"/>
      <c r="AFQ112" s="30"/>
      <c r="AFR112" s="30"/>
      <c r="AFS112" s="30"/>
      <c r="AFT112" s="30"/>
      <c r="AFU112" s="30"/>
      <c r="AFV112" s="30"/>
      <c r="AFW112" s="30"/>
      <c r="AFX112" s="30"/>
      <c r="AFY112" s="30"/>
      <c r="AFZ112" s="30"/>
      <c r="AGA112" s="30"/>
      <c r="AGB112" s="30"/>
      <c r="AGC112" s="30"/>
      <c r="AGD112" s="30"/>
      <c r="AGE112" s="30"/>
      <c r="AGF112" s="30"/>
      <c r="AGG112" s="30"/>
      <c r="AGH112" s="30"/>
      <c r="AGI112" s="30"/>
      <c r="AGJ112" s="30"/>
      <c r="AGK112" s="30"/>
      <c r="AGL112" s="30"/>
      <c r="AGM112" s="30"/>
      <c r="AGN112" s="30"/>
      <c r="AGO112" s="30"/>
      <c r="AGP112" s="30"/>
      <c r="AGQ112" s="30"/>
      <c r="AGR112" s="30"/>
      <c r="AGS112" s="30"/>
      <c r="AGT112" s="30"/>
      <c r="AGU112" s="30"/>
      <c r="AGV112" s="30"/>
      <c r="AGW112" s="30"/>
      <c r="AGX112" s="30"/>
      <c r="AGY112" s="30"/>
      <c r="AGZ112" s="30"/>
      <c r="AHA112" s="30"/>
      <c r="AHB112" s="30"/>
      <c r="AHC112" s="30"/>
      <c r="AHD112" s="30"/>
      <c r="AHE112" s="30"/>
      <c r="AHF112" s="30"/>
      <c r="AHG112" s="30"/>
      <c r="AHH112" s="30"/>
      <c r="AHI112" s="30"/>
      <c r="AHJ112" s="30"/>
      <c r="AHK112" s="30"/>
      <c r="AHL112" s="30"/>
      <c r="AHM112" s="30"/>
      <c r="AHN112" s="30"/>
      <c r="AHO112" s="30"/>
      <c r="AHP112" s="30"/>
      <c r="AHQ112" s="30"/>
      <c r="AHR112" s="30"/>
      <c r="AHS112" s="30"/>
      <c r="AHT112" s="30"/>
      <c r="AHU112" s="30"/>
      <c r="AHV112" s="30"/>
      <c r="AHW112" s="30"/>
      <c r="AHX112" s="30"/>
      <c r="AHY112" s="30"/>
      <c r="AHZ112" s="30"/>
      <c r="AIA112" s="30"/>
      <c r="AIB112" s="30"/>
      <c r="AIC112" s="30"/>
      <c r="AID112" s="30"/>
      <c r="AIE112" s="30"/>
      <c r="AIF112" s="30"/>
      <c r="AIG112" s="30"/>
      <c r="AIH112" s="30"/>
      <c r="AII112" s="30"/>
      <c r="AIJ112" s="30"/>
      <c r="AIK112" s="30"/>
      <c r="AIL112" s="30"/>
      <c r="AIM112" s="30"/>
      <c r="AIN112" s="30"/>
      <c r="AIO112" s="30"/>
      <c r="AIP112" s="30"/>
      <c r="AIQ112" s="30"/>
      <c r="AIR112" s="30"/>
      <c r="AIS112" s="30"/>
      <c r="AIT112" s="30"/>
      <c r="AIU112" s="30"/>
      <c r="AIV112" s="30"/>
      <c r="AIW112" s="30"/>
      <c r="AIX112" s="30"/>
      <c r="AIY112" s="30"/>
      <c r="AIZ112" s="30"/>
      <c r="AJA112" s="30"/>
      <c r="AJB112" s="30"/>
      <c r="AJC112" s="30"/>
      <c r="AJD112" s="30"/>
      <c r="AJE112" s="30"/>
      <c r="AJF112" s="30"/>
      <c r="AJG112" s="30"/>
      <c r="AJH112" s="30"/>
      <c r="AJI112" s="30"/>
      <c r="AJJ112" s="30"/>
      <c r="AJK112" s="30"/>
      <c r="AJL112" s="30"/>
      <c r="AJM112" s="30"/>
      <c r="AJN112" s="30"/>
      <c r="AJO112" s="30"/>
      <c r="AJP112" s="30"/>
      <c r="AJQ112" s="30"/>
      <c r="AJR112" s="30"/>
      <c r="AJS112" s="30"/>
      <c r="AJT112" s="30"/>
      <c r="AJU112" s="30"/>
      <c r="AJV112" s="30"/>
      <c r="AJW112" s="30"/>
      <c r="AJX112" s="30"/>
      <c r="AJY112" s="30"/>
      <c r="AJZ112" s="30"/>
      <c r="AKA112" s="30"/>
      <c r="AKB112" s="30"/>
      <c r="AKC112" s="30"/>
      <c r="AKD112" s="30"/>
      <c r="AKE112" s="30"/>
      <c r="AKF112" s="30"/>
      <c r="AKG112" s="30"/>
      <c r="AKH112" s="30"/>
      <c r="AKI112" s="30"/>
      <c r="AKJ112" s="30"/>
      <c r="AKK112" s="30"/>
      <c r="AKL112" s="30"/>
      <c r="AKM112" s="30"/>
      <c r="AKN112" s="30"/>
      <c r="AKO112" s="30"/>
      <c r="AKP112" s="30"/>
      <c r="AKQ112" s="30"/>
      <c r="AKR112" s="30"/>
      <c r="AKS112" s="30"/>
      <c r="AKT112" s="30"/>
      <c r="AKU112" s="30"/>
      <c r="AKV112" s="30"/>
      <c r="AKW112" s="30"/>
      <c r="AKX112" s="30"/>
      <c r="AKY112" s="30"/>
      <c r="AKZ112" s="30"/>
      <c r="ALA112" s="30"/>
      <c r="ALB112" s="30"/>
      <c r="ALC112" s="30"/>
      <c r="ALD112" s="30"/>
      <c r="ALE112" s="30"/>
      <c r="ALF112" s="30"/>
      <c r="ALG112" s="30"/>
      <c r="ALH112" s="30"/>
      <c r="ALI112" s="30"/>
      <c r="ALJ112" s="30"/>
      <c r="ALK112" s="30"/>
      <c r="ALL112" s="30"/>
      <c r="ALM112" s="30"/>
      <c r="ALN112" s="30"/>
      <c r="ALO112" s="30"/>
      <c r="ALP112" s="30"/>
      <c r="ALQ112" s="30"/>
      <c r="ALR112" s="30"/>
      <c r="ALS112" s="30"/>
      <c r="ALT112" s="30"/>
      <c r="ALU112" s="30"/>
      <c r="ALV112" s="30"/>
      <c r="ALW112" s="30"/>
      <c r="ALX112" s="30"/>
      <c r="ALY112" s="30"/>
      <c r="ALZ112" s="30"/>
      <c r="AMA112" s="30"/>
      <c r="AMB112" s="30"/>
      <c r="AMC112" s="30"/>
      <c r="AMD112" s="30"/>
      <c r="AME112" s="30"/>
      <c r="AMF112" s="30"/>
      <c r="AMG112" s="30"/>
      <c r="AMH112" s="30"/>
      <c r="AMI112" s="30"/>
      <c r="AMJ112" s="30"/>
      <c r="AMK112" s="30"/>
      <c r="AML112" s="30"/>
      <c r="AMM112" s="30"/>
      <c r="AMN112" s="30"/>
      <c r="AMO112" s="30"/>
      <c r="AMP112" s="30"/>
      <c r="AMQ112" s="30"/>
      <c r="AMR112" s="30"/>
      <c r="AMS112" s="30"/>
      <c r="AMT112" s="30"/>
      <c r="AMU112" s="30"/>
      <c r="AMV112" s="30"/>
      <c r="AMW112" s="30"/>
      <c r="AMX112" s="30"/>
      <c r="AMY112" s="30"/>
      <c r="AMZ112" s="30"/>
      <c r="ANA112" s="30"/>
      <c r="ANB112" s="30"/>
      <c r="ANC112" s="30"/>
      <c r="AND112" s="30"/>
      <c r="ANE112" s="30"/>
      <c r="ANF112" s="30"/>
      <c r="ANG112" s="30"/>
      <c r="ANH112" s="30"/>
      <c r="ANI112" s="30"/>
      <c r="ANJ112" s="30"/>
      <c r="ANK112" s="30"/>
      <c r="ANL112" s="30"/>
      <c r="ANM112" s="30"/>
      <c r="ANN112" s="30"/>
      <c r="ANO112" s="30"/>
      <c r="ANP112" s="30"/>
      <c r="ANQ112" s="30"/>
      <c r="ANR112" s="30"/>
      <c r="ANS112" s="30"/>
      <c r="ANT112" s="30"/>
      <c r="ANU112" s="30"/>
      <c r="ANV112" s="30"/>
      <c r="ANW112" s="30"/>
      <c r="ANX112" s="30"/>
      <c r="ANY112" s="30"/>
      <c r="ANZ112" s="30"/>
      <c r="AOA112" s="30"/>
      <c r="AOB112" s="30"/>
      <c r="AOC112" s="30"/>
      <c r="AOD112" s="30"/>
      <c r="AOE112" s="30"/>
      <c r="AOF112" s="30"/>
      <c r="AOG112" s="30"/>
      <c r="AOH112" s="30"/>
      <c r="AOI112" s="30"/>
      <c r="AOJ112" s="30"/>
      <c r="AOK112" s="30"/>
      <c r="AOL112" s="30"/>
      <c r="AOM112" s="30"/>
      <c r="AON112" s="30"/>
      <c r="AOO112" s="30"/>
      <c r="AOP112" s="30"/>
      <c r="AOQ112" s="30"/>
      <c r="AOR112" s="30"/>
      <c r="AOS112" s="30"/>
      <c r="AOT112" s="30"/>
      <c r="AOU112" s="30"/>
      <c r="AOV112" s="30"/>
      <c r="AOW112" s="30"/>
      <c r="AOX112" s="30"/>
      <c r="AOY112" s="30"/>
      <c r="AOZ112" s="30"/>
      <c r="APA112" s="30"/>
      <c r="APB112" s="30"/>
      <c r="APC112" s="30"/>
      <c r="APD112" s="30"/>
      <c r="APE112" s="30"/>
      <c r="APF112" s="30"/>
      <c r="APG112" s="30"/>
      <c r="APH112" s="30"/>
      <c r="API112" s="30"/>
      <c r="APJ112" s="30"/>
      <c r="APK112" s="30"/>
      <c r="APL112" s="30"/>
      <c r="APM112" s="30"/>
      <c r="APN112" s="30"/>
      <c r="APO112" s="30"/>
      <c r="APP112" s="30"/>
      <c r="APQ112" s="30"/>
      <c r="APR112" s="30"/>
      <c r="APS112" s="30"/>
      <c r="APT112" s="30"/>
      <c r="APU112" s="30"/>
      <c r="APV112" s="30"/>
      <c r="APW112" s="30"/>
      <c r="APX112" s="30"/>
      <c r="APY112" s="30"/>
      <c r="APZ112" s="30"/>
      <c r="AQA112" s="30"/>
      <c r="AQB112" s="30"/>
      <c r="AQC112" s="30"/>
      <c r="AQD112" s="30"/>
      <c r="AQE112" s="30"/>
      <c r="AQF112" s="30"/>
      <c r="AQG112" s="30"/>
      <c r="AQH112" s="30"/>
      <c r="AQI112" s="30"/>
      <c r="AQJ112" s="30"/>
      <c r="AQK112" s="30"/>
      <c r="AQL112" s="30"/>
      <c r="AQM112" s="30"/>
      <c r="AQN112" s="30"/>
      <c r="AQO112" s="30"/>
      <c r="AQP112" s="30"/>
      <c r="AQQ112" s="30"/>
      <c r="AQR112" s="30"/>
      <c r="AQS112" s="30"/>
      <c r="AQT112" s="30"/>
      <c r="AQU112" s="30"/>
      <c r="AQV112" s="30"/>
      <c r="AQW112" s="30"/>
      <c r="AQX112" s="30"/>
      <c r="AQY112" s="30"/>
      <c r="AQZ112" s="30"/>
      <c r="ARA112" s="30"/>
      <c r="ARB112" s="30"/>
      <c r="ARC112" s="30"/>
      <c r="ARD112" s="30"/>
      <c r="ARE112" s="30"/>
      <c r="ARF112" s="30"/>
      <c r="ARG112" s="30"/>
      <c r="ARH112" s="30"/>
      <c r="ARI112" s="30"/>
      <c r="ARJ112" s="30"/>
      <c r="ARK112" s="30"/>
      <c r="ARL112" s="30"/>
      <c r="ARM112" s="30"/>
      <c r="ARN112" s="30"/>
      <c r="ARO112" s="30"/>
      <c r="ARP112" s="30"/>
      <c r="ARQ112" s="30"/>
      <c r="ARR112" s="30"/>
      <c r="ARS112" s="30"/>
      <c r="ART112" s="30"/>
      <c r="ARU112" s="30"/>
      <c r="ARV112" s="30"/>
      <c r="ARW112" s="30"/>
      <c r="ARX112" s="30"/>
      <c r="ARY112" s="30"/>
      <c r="ARZ112" s="30"/>
      <c r="ASA112" s="30"/>
      <c r="ASB112" s="30"/>
      <c r="ASC112" s="30"/>
      <c r="ASD112" s="30"/>
      <c r="ASE112" s="30"/>
      <c r="ASF112" s="30"/>
      <c r="ASG112" s="30"/>
      <c r="ASH112" s="30"/>
      <c r="ASI112" s="30"/>
      <c r="ASJ112" s="30"/>
      <c r="ASK112" s="30"/>
      <c r="ASL112" s="30"/>
      <c r="ASM112" s="30"/>
      <c r="ASN112" s="30"/>
      <c r="ASO112" s="30"/>
      <c r="ASP112" s="30"/>
      <c r="ASQ112" s="30"/>
      <c r="ASR112" s="30"/>
      <c r="ASS112" s="30"/>
      <c r="AST112" s="30"/>
      <c r="ASU112" s="30"/>
      <c r="ASV112" s="30"/>
      <c r="ASW112" s="30"/>
      <c r="ASX112" s="30"/>
      <c r="ASY112" s="30"/>
      <c r="ASZ112" s="30"/>
      <c r="ATA112" s="30"/>
      <c r="ATB112" s="30"/>
      <c r="ATC112" s="30"/>
      <c r="ATD112" s="30"/>
      <c r="ATE112" s="30"/>
      <c r="ATF112" s="30"/>
      <c r="ATG112" s="30"/>
      <c r="ATH112" s="30"/>
      <c r="ATI112" s="30"/>
      <c r="ATJ112" s="30"/>
      <c r="ATK112" s="30"/>
      <c r="ATL112" s="30"/>
      <c r="ATM112" s="30"/>
      <c r="ATN112" s="30"/>
      <c r="ATO112" s="30"/>
      <c r="ATP112" s="30"/>
      <c r="ATQ112" s="30"/>
      <c r="ATR112" s="30"/>
      <c r="ATS112" s="30"/>
      <c r="ATT112" s="30"/>
      <c r="ATU112" s="30"/>
      <c r="ATV112" s="30"/>
      <c r="ATW112" s="30"/>
      <c r="ATX112" s="30"/>
      <c r="ATY112" s="30"/>
      <c r="ATZ112" s="30"/>
      <c r="AUA112" s="30"/>
      <c r="AUB112" s="30"/>
      <c r="AUC112" s="30"/>
      <c r="AUD112" s="30"/>
      <c r="AUE112" s="30"/>
      <c r="AUF112" s="30"/>
      <c r="AUG112" s="30"/>
      <c r="AUH112" s="30"/>
      <c r="AUI112" s="30"/>
      <c r="AUJ112" s="30"/>
      <c r="AUK112" s="30"/>
      <c r="AUL112" s="30"/>
      <c r="AUM112" s="30"/>
      <c r="AUN112" s="30"/>
      <c r="AUO112" s="30"/>
      <c r="AUP112" s="30"/>
      <c r="AUQ112" s="30"/>
      <c r="AUR112" s="30"/>
      <c r="AUS112" s="30"/>
      <c r="AUT112" s="30"/>
      <c r="AUU112" s="30"/>
      <c r="AUV112" s="30"/>
      <c r="AUW112" s="30"/>
      <c r="AUX112" s="30"/>
      <c r="AUY112" s="30"/>
      <c r="AUZ112" s="30"/>
      <c r="AVA112" s="30"/>
      <c r="AVB112" s="30"/>
      <c r="AVC112" s="30"/>
      <c r="AVD112" s="30"/>
      <c r="AVE112" s="30"/>
      <c r="AVF112" s="30"/>
      <c r="AVG112" s="30"/>
      <c r="AVH112" s="30"/>
      <c r="AVI112" s="30"/>
      <c r="AVJ112" s="30"/>
      <c r="AVK112" s="30"/>
      <c r="AVL112" s="30"/>
      <c r="AVM112" s="30"/>
      <c r="AVN112" s="30"/>
      <c r="AVO112" s="30"/>
      <c r="AVP112" s="30"/>
      <c r="AVQ112" s="30"/>
      <c r="AVR112" s="30"/>
      <c r="AVS112" s="30"/>
      <c r="AVT112" s="30"/>
      <c r="AVU112" s="30"/>
      <c r="AVV112" s="30"/>
      <c r="AVW112" s="30"/>
      <c r="AVX112" s="30"/>
      <c r="AVY112" s="30"/>
      <c r="AVZ112" s="30"/>
      <c r="AWA112" s="30"/>
      <c r="AWB112" s="30"/>
      <c r="AWC112" s="30"/>
      <c r="AWD112" s="30"/>
      <c r="AWE112" s="30"/>
      <c r="AWF112" s="30"/>
      <c r="AWG112" s="30"/>
      <c r="AWH112" s="30"/>
      <c r="AWI112" s="30"/>
      <c r="AWJ112" s="30"/>
      <c r="AWK112" s="30"/>
      <c r="AWL112" s="30"/>
      <c r="AWM112" s="30"/>
      <c r="AWN112" s="30"/>
      <c r="AWO112" s="30"/>
      <c r="AWP112" s="30"/>
      <c r="AWQ112" s="30"/>
      <c r="AWR112" s="30"/>
      <c r="AWS112" s="30"/>
      <c r="AWT112" s="30"/>
      <c r="AWU112" s="30"/>
      <c r="AWV112" s="30"/>
      <c r="AWW112" s="30"/>
      <c r="AWX112" s="30"/>
      <c r="AWY112" s="30"/>
      <c r="AWZ112" s="30"/>
      <c r="AXA112" s="30"/>
      <c r="AXB112" s="30"/>
      <c r="AXC112" s="30"/>
      <c r="AXD112" s="30"/>
      <c r="AXE112" s="30"/>
      <c r="AXF112" s="30"/>
      <c r="AXG112" s="30"/>
      <c r="AXH112" s="30"/>
      <c r="AXI112" s="30"/>
      <c r="AXJ112" s="30"/>
      <c r="AXK112" s="30"/>
      <c r="AXL112" s="30"/>
      <c r="AXM112" s="30"/>
      <c r="AXN112" s="30"/>
      <c r="AXO112" s="30"/>
      <c r="AXP112" s="30"/>
      <c r="AXQ112" s="30"/>
      <c r="AXR112" s="30"/>
      <c r="AXS112" s="30"/>
      <c r="AXT112" s="30"/>
      <c r="AXU112" s="30"/>
      <c r="AXV112" s="30"/>
      <c r="AXW112" s="30"/>
      <c r="AXX112" s="30"/>
      <c r="AXY112" s="30"/>
      <c r="AXZ112" s="30"/>
      <c r="AYA112" s="30"/>
      <c r="AYB112" s="30"/>
      <c r="AYC112" s="30"/>
      <c r="AYD112" s="30"/>
      <c r="AYE112" s="30"/>
      <c r="AYF112" s="30"/>
      <c r="AYG112" s="30"/>
      <c r="AYH112" s="30"/>
      <c r="AYI112" s="30"/>
      <c r="AYJ112" s="30"/>
      <c r="AYK112" s="30"/>
      <c r="AYL112" s="30"/>
      <c r="AYM112" s="30"/>
      <c r="AYN112" s="30"/>
      <c r="AYO112" s="30"/>
      <c r="AYP112" s="30"/>
      <c r="AYQ112" s="30"/>
      <c r="AYR112" s="30"/>
      <c r="AYS112" s="30"/>
      <c r="AYT112" s="30"/>
      <c r="AYU112" s="30"/>
      <c r="AYV112" s="30"/>
      <c r="AYW112" s="30"/>
      <c r="AYX112" s="30"/>
      <c r="AYY112" s="30"/>
      <c r="AYZ112" s="30"/>
      <c r="AZA112" s="30"/>
      <c r="AZB112" s="30"/>
      <c r="AZC112" s="30"/>
      <c r="AZD112" s="30"/>
      <c r="AZE112" s="30"/>
      <c r="AZF112" s="30"/>
      <c r="AZG112" s="30"/>
      <c r="AZH112" s="30"/>
      <c r="AZI112" s="30"/>
      <c r="AZJ112" s="30"/>
      <c r="AZK112" s="30"/>
      <c r="AZL112" s="30"/>
      <c r="AZM112" s="30"/>
      <c r="AZN112" s="30"/>
      <c r="AZO112" s="30"/>
      <c r="AZP112" s="30"/>
      <c r="AZQ112" s="30"/>
      <c r="AZR112" s="30"/>
      <c r="AZS112" s="30"/>
      <c r="AZT112" s="30"/>
      <c r="AZU112" s="30"/>
      <c r="AZV112" s="30"/>
      <c r="AZW112" s="30"/>
      <c r="AZX112" s="30"/>
      <c r="AZY112" s="30"/>
      <c r="AZZ112" s="30"/>
      <c r="BAA112" s="30"/>
      <c r="BAB112" s="30"/>
      <c r="BAC112" s="30"/>
      <c r="BAD112" s="30"/>
      <c r="BAE112" s="30"/>
      <c r="BAF112" s="30"/>
      <c r="BAG112" s="30"/>
      <c r="BAH112" s="30"/>
      <c r="BAI112" s="30"/>
      <c r="BAJ112" s="30"/>
      <c r="BAK112" s="30"/>
      <c r="BAL112" s="30"/>
      <c r="BAM112" s="30"/>
      <c r="BAN112" s="30"/>
      <c r="BAO112" s="30"/>
      <c r="BAP112" s="30"/>
      <c r="BAQ112" s="30"/>
      <c r="BAR112" s="30"/>
      <c r="BAS112" s="30"/>
      <c r="BAT112" s="30"/>
      <c r="BAU112" s="30"/>
      <c r="BAV112" s="30"/>
      <c r="BAW112" s="30"/>
      <c r="BAX112" s="30"/>
      <c r="BAY112" s="30"/>
      <c r="BAZ112" s="30"/>
      <c r="BBA112" s="30"/>
      <c r="BBB112" s="30"/>
      <c r="BBC112" s="30"/>
      <c r="BBD112" s="30"/>
      <c r="BBE112" s="30"/>
      <c r="BBF112" s="30"/>
      <c r="BBG112" s="30"/>
      <c r="BBH112" s="30"/>
      <c r="BBI112" s="30"/>
      <c r="BBJ112" s="30"/>
      <c r="BBK112" s="30"/>
      <c r="BBL112" s="30"/>
      <c r="BBM112" s="30"/>
      <c r="BBN112" s="30"/>
      <c r="BBO112" s="30"/>
      <c r="BBP112" s="30"/>
      <c r="BBQ112" s="30"/>
      <c r="BBR112" s="30"/>
      <c r="BBS112" s="30"/>
      <c r="BBT112" s="30"/>
      <c r="BBU112" s="30"/>
      <c r="BBV112" s="30"/>
      <c r="BBW112" s="30"/>
      <c r="BBX112" s="30"/>
      <c r="BBY112" s="30"/>
      <c r="BBZ112" s="30"/>
      <c r="BCA112" s="30"/>
      <c r="BCB112" s="30"/>
      <c r="BCC112" s="30"/>
      <c r="BCD112" s="30"/>
      <c r="BCE112" s="30"/>
      <c r="BCF112" s="30"/>
      <c r="BCG112" s="30"/>
      <c r="BCH112" s="30"/>
      <c r="BCI112" s="30"/>
      <c r="BCJ112" s="30"/>
      <c r="BCK112" s="30"/>
      <c r="BCL112" s="30"/>
      <c r="BCM112" s="30"/>
      <c r="BCN112" s="30"/>
      <c r="BCO112" s="30"/>
      <c r="BCP112" s="30"/>
      <c r="BCQ112" s="30"/>
      <c r="BCR112" s="30"/>
      <c r="BCS112" s="30"/>
      <c r="BCT112" s="30"/>
      <c r="BCU112" s="30"/>
      <c r="BCV112" s="30"/>
      <c r="BCW112" s="30"/>
      <c r="BCX112" s="30"/>
      <c r="BCY112" s="30"/>
      <c r="BCZ112" s="30"/>
      <c r="BDA112" s="30"/>
      <c r="BDB112" s="30"/>
      <c r="BDC112" s="30"/>
      <c r="BDD112" s="30"/>
      <c r="BDE112" s="30"/>
      <c r="BDF112" s="30"/>
      <c r="BDG112" s="30"/>
      <c r="BDH112" s="30"/>
      <c r="BDI112" s="30"/>
      <c r="BDJ112" s="30"/>
      <c r="BDK112" s="30"/>
      <c r="BDL112" s="30"/>
      <c r="BDM112" s="30"/>
      <c r="BDN112" s="30"/>
      <c r="BDO112" s="30"/>
      <c r="BDP112" s="30"/>
      <c r="BDQ112" s="30"/>
      <c r="BDR112" s="30"/>
      <c r="BDS112" s="30"/>
      <c r="BDT112" s="30"/>
      <c r="BDU112" s="30"/>
      <c r="BDV112" s="30"/>
      <c r="BDW112" s="30"/>
      <c r="BDX112" s="30"/>
      <c r="BDY112" s="30"/>
      <c r="BDZ112" s="30"/>
      <c r="BEA112" s="30"/>
      <c r="BEB112" s="30"/>
      <c r="BEC112" s="30"/>
      <c r="BED112" s="30"/>
      <c r="BEE112" s="30"/>
      <c r="BEF112" s="30"/>
      <c r="BEG112" s="30"/>
      <c r="BEH112" s="30"/>
      <c r="BEI112" s="30"/>
      <c r="BEJ112" s="30"/>
      <c r="BEK112" s="30"/>
      <c r="BEL112" s="30"/>
      <c r="BEM112" s="30"/>
      <c r="BEN112" s="30"/>
      <c r="BEO112" s="30"/>
      <c r="BEP112" s="30"/>
      <c r="BEQ112" s="30"/>
      <c r="BER112" s="30"/>
      <c r="BES112" s="30"/>
      <c r="BET112" s="30"/>
      <c r="BEU112" s="30"/>
      <c r="BEV112" s="30"/>
      <c r="BEW112" s="30"/>
      <c r="BEX112" s="30"/>
      <c r="BEY112" s="30"/>
      <c r="BEZ112" s="30"/>
      <c r="BFA112" s="30"/>
      <c r="BFB112" s="30"/>
      <c r="BFC112" s="30"/>
      <c r="BFD112" s="30"/>
      <c r="BFE112" s="30"/>
      <c r="BFF112" s="30"/>
      <c r="BFG112" s="30"/>
      <c r="BFH112" s="30"/>
      <c r="BFI112" s="30"/>
      <c r="BFJ112" s="30"/>
      <c r="BFK112" s="30"/>
      <c r="BFL112" s="30"/>
      <c r="BFM112" s="30"/>
      <c r="BFN112" s="30"/>
      <c r="BFO112" s="30"/>
      <c r="BFP112" s="30"/>
      <c r="BFQ112" s="30"/>
      <c r="BFR112" s="30"/>
      <c r="BFS112" s="30"/>
      <c r="BFT112" s="30"/>
      <c r="BFU112" s="30"/>
      <c r="BFV112" s="30"/>
      <c r="BFW112" s="30"/>
      <c r="BFX112" s="30"/>
      <c r="BFY112" s="30"/>
      <c r="BFZ112" s="30"/>
      <c r="BGA112" s="30"/>
      <c r="BGB112" s="30"/>
      <c r="BGC112" s="30"/>
      <c r="BGD112" s="30"/>
      <c r="BGE112" s="30"/>
      <c r="BGF112" s="30"/>
      <c r="BGG112" s="30"/>
      <c r="BGH112" s="30"/>
      <c r="BGI112" s="30"/>
      <c r="BGJ112" s="30"/>
      <c r="BGK112" s="30"/>
      <c r="BGL112" s="30"/>
      <c r="BGM112" s="30"/>
      <c r="BGN112" s="30"/>
      <c r="BGO112" s="30"/>
      <c r="BGP112" s="30"/>
      <c r="BGQ112" s="30"/>
      <c r="BGR112" s="30"/>
      <c r="BGS112" s="30"/>
      <c r="BGT112" s="30"/>
      <c r="BGU112" s="30"/>
      <c r="BGV112" s="30"/>
      <c r="BGW112" s="30"/>
      <c r="BGX112" s="30"/>
      <c r="BGY112" s="30"/>
      <c r="BGZ112" s="30"/>
      <c r="BHA112" s="30"/>
      <c r="BHB112" s="30"/>
      <c r="BHC112" s="30"/>
      <c r="BHD112" s="30"/>
      <c r="BHE112" s="30"/>
      <c r="BHF112" s="30"/>
      <c r="BHG112" s="30"/>
      <c r="BHH112" s="30"/>
      <c r="BHI112" s="30"/>
      <c r="BHJ112" s="30"/>
      <c r="BHK112" s="30"/>
      <c r="BHL112" s="30"/>
      <c r="BHM112" s="30"/>
      <c r="BHN112" s="30"/>
      <c r="BHO112" s="30"/>
      <c r="BHP112" s="30"/>
      <c r="BHQ112" s="30"/>
      <c r="BHR112" s="30"/>
      <c r="BHS112" s="30"/>
      <c r="BHT112" s="30"/>
      <c r="BHU112" s="30"/>
      <c r="BHV112" s="30"/>
      <c r="BHW112" s="30"/>
      <c r="BHX112" s="30"/>
      <c r="BHY112" s="30"/>
      <c r="BHZ112" s="30"/>
      <c r="BIA112" s="30"/>
      <c r="BIB112" s="30"/>
      <c r="BIC112" s="30"/>
      <c r="BID112" s="30"/>
      <c r="BIE112" s="30"/>
      <c r="BIF112" s="30"/>
      <c r="BIG112" s="30"/>
      <c r="BIH112" s="30"/>
      <c r="BII112" s="30"/>
      <c r="BIJ112" s="30"/>
      <c r="BIK112" s="30"/>
      <c r="BIL112" s="30"/>
      <c r="BIM112" s="30"/>
      <c r="BIN112" s="30"/>
      <c r="BIO112" s="30"/>
      <c r="BIP112" s="30"/>
      <c r="BIQ112" s="30"/>
      <c r="BIR112" s="30"/>
      <c r="BIS112" s="30"/>
      <c r="BIT112" s="30"/>
      <c r="BIU112" s="30"/>
      <c r="BIV112" s="30"/>
      <c r="BIW112" s="30"/>
      <c r="BIX112" s="30"/>
      <c r="BIY112" s="30"/>
      <c r="BIZ112" s="30"/>
      <c r="BJA112" s="30"/>
      <c r="BJB112" s="30"/>
      <c r="BJC112" s="30"/>
      <c r="BJD112" s="30"/>
      <c r="BJE112" s="30"/>
      <c r="BJF112" s="30"/>
      <c r="BJG112" s="30"/>
      <c r="BJH112" s="30"/>
      <c r="BJI112" s="30"/>
      <c r="BJJ112" s="30"/>
      <c r="BJK112" s="30"/>
      <c r="BJL112" s="30"/>
      <c r="BJM112" s="30"/>
      <c r="BJN112" s="30"/>
      <c r="BJO112" s="30"/>
      <c r="BJP112" s="30"/>
      <c r="BJQ112" s="30"/>
      <c r="BJR112" s="30"/>
      <c r="BJS112" s="30"/>
      <c r="BJT112" s="30"/>
      <c r="BJU112" s="30"/>
      <c r="BJV112" s="30"/>
      <c r="BJW112" s="30"/>
      <c r="BJX112" s="30"/>
      <c r="BJY112" s="30"/>
      <c r="BJZ112" s="30"/>
      <c r="BKA112" s="30"/>
      <c r="BKB112" s="30"/>
      <c r="BKC112" s="30"/>
      <c r="BKD112" s="30"/>
      <c r="BKE112" s="30"/>
      <c r="BKF112" s="30"/>
      <c r="BKG112" s="30"/>
      <c r="BKH112" s="30"/>
      <c r="BKI112" s="30"/>
      <c r="BKJ112" s="30"/>
      <c r="BKK112" s="30"/>
      <c r="BKL112" s="30"/>
      <c r="BKM112" s="30"/>
      <c r="BKN112" s="30"/>
      <c r="BKO112" s="30"/>
      <c r="BKP112" s="30"/>
      <c r="BKQ112" s="30"/>
      <c r="BKR112" s="30"/>
      <c r="BKS112" s="30"/>
      <c r="BKT112" s="30"/>
      <c r="BKU112" s="30"/>
      <c r="BKV112" s="30"/>
      <c r="BKW112" s="30"/>
      <c r="BKX112" s="30"/>
      <c r="BKY112" s="30"/>
      <c r="BKZ112" s="30"/>
      <c r="BLA112" s="30"/>
      <c r="BLB112" s="30"/>
      <c r="BLC112" s="30"/>
      <c r="BLD112" s="30"/>
      <c r="BLE112" s="30"/>
      <c r="BLF112" s="30"/>
      <c r="BLG112" s="30"/>
      <c r="BLH112" s="30"/>
      <c r="BLI112" s="30"/>
      <c r="BLJ112" s="30"/>
      <c r="BLK112" s="30"/>
      <c r="BLL112" s="30"/>
      <c r="BLM112" s="30"/>
      <c r="BLN112" s="30"/>
      <c r="BLO112" s="30"/>
      <c r="BLP112" s="30"/>
      <c r="BLQ112" s="30"/>
      <c r="BLR112" s="30"/>
      <c r="BLS112" s="30"/>
      <c r="BLT112" s="30"/>
      <c r="BLU112" s="30"/>
      <c r="BLV112" s="30"/>
      <c r="BLW112" s="30"/>
      <c r="BLX112" s="30"/>
      <c r="BLY112" s="30"/>
      <c r="BLZ112" s="30"/>
      <c r="BMA112" s="30"/>
      <c r="BMB112" s="30"/>
      <c r="BMC112" s="30"/>
      <c r="BMD112" s="30"/>
      <c r="BME112" s="30"/>
      <c r="BMF112" s="30"/>
      <c r="BMG112" s="30"/>
      <c r="BMH112" s="30"/>
      <c r="BMI112" s="30"/>
      <c r="BMJ112" s="30"/>
      <c r="BMK112" s="30"/>
      <c r="BML112" s="30"/>
      <c r="BMM112" s="30"/>
      <c r="BMN112" s="30"/>
      <c r="BMO112" s="30"/>
      <c r="BMP112" s="30"/>
      <c r="BMQ112" s="30"/>
      <c r="BMR112" s="30"/>
      <c r="BMS112" s="30"/>
      <c r="BMT112" s="30"/>
      <c r="BMU112" s="30"/>
      <c r="BMV112" s="30"/>
      <c r="BMW112" s="30"/>
      <c r="BMX112" s="30"/>
      <c r="BMY112" s="30"/>
      <c r="BMZ112" s="30"/>
      <c r="BNA112" s="30"/>
      <c r="BNB112" s="30"/>
      <c r="BNC112" s="30"/>
      <c r="BND112" s="30"/>
      <c r="BNE112" s="30"/>
      <c r="BNF112" s="30"/>
      <c r="BNG112" s="30"/>
      <c r="BNH112" s="30"/>
      <c r="BNI112" s="30"/>
      <c r="BNJ112" s="30"/>
      <c r="BNK112" s="30"/>
      <c r="BNL112" s="30"/>
      <c r="BNM112" s="30"/>
      <c r="BNN112" s="30"/>
      <c r="BNO112" s="30"/>
      <c r="BNP112" s="30"/>
      <c r="BNQ112" s="30"/>
      <c r="BNR112" s="30"/>
      <c r="BNS112" s="30"/>
      <c r="BNT112" s="30"/>
      <c r="BNU112" s="30"/>
      <c r="BNV112" s="30"/>
      <c r="BNW112" s="30"/>
      <c r="BNX112" s="30"/>
      <c r="BNY112" s="30"/>
      <c r="BNZ112" s="30"/>
      <c r="BOA112" s="30"/>
      <c r="BOB112" s="30"/>
      <c r="BOC112" s="30"/>
      <c r="BOD112" s="30"/>
      <c r="BOE112" s="30"/>
      <c r="BOF112" s="30"/>
      <c r="BOG112" s="30"/>
      <c r="BOH112" s="30"/>
      <c r="BOI112" s="30"/>
      <c r="BOJ112" s="30"/>
      <c r="BOK112" s="30"/>
      <c r="BOL112" s="30"/>
      <c r="BOM112" s="30"/>
      <c r="BON112" s="30"/>
      <c r="BOO112" s="30"/>
      <c r="BOP112" s="30"/>
      <c r="BOQ112" s="30"/>
      <c r="BOR112" s="30"/>
      <c r="BOS112" s="30"/>
      <c r="BOT112" s="30"/>
      <c r="BOU112" s="30"/>
      <c r="BOV112" s="30"/>
      <c r="BOW112" s="30"/>
      <c r="BOX112" s="30"/>
      <c r="BOY112" s="30"/>
      <c r="BOZ112" s="30"/>
      <c r="BPA112" s="30"/>
      <c r="BPB112" s="30"/>
      <c r="BPC112" s="30"/>
      <c r="BPD112" s="30"/>
      <c r="BPE112" s="30"/>
      <c r="BPF112" s="30"/>
      <c r="BPG112" s="30"/>
      <c r="BPH112" s="30"/>
      <c r="BPI112" s="30"/>
      <c r="BPJ112" s="30"/>
      <c r="BPK112" s="30"/>
      <c r="BPL112" s="30"/>
      <c r="BPM112" s="30"/>
      <c r="BPN112" s="30"/>
      <c r="BPO112" s="30"/>
      <c r="BPP112" s="30"/>
      <c r="BPQ112" s="30"/>
      <c r="BPR112" s="30"/>
      <c r="BPS112" s="30"/>
      <c r="BPT112" s="30"/>
      <c r="BPU112" s="30"/>
      <c r="BPV112" s="30"/>
      <c r="BPW112" s="30"/>
      <c r="BPX112" s="30"/>
      <c r="BPY112" s="30"/>
      <c r="BPZ112" s="30"/>
      <c r="BQA112" s="30"/>
      <c r="BQB112" s="30"/>
      <c r="BQC112" s="30"/>
      <c r="BQD112" s="30"/>
      <c r="BQE112" s="30"/>
      <c r="BQF112" s="30"/>
      <c r="BQG112" s="30"/>
      <c r="BQH112" s="30"/>
      <c r="BQI112" s="30"/>
      <c r="BQJ112" s="30"/>
      <c r="BQK112" s="30"/>
      <c r="BQL112" s="30"/>
      <c r="BQM112" s="30"/>
      <c r="BQN112" s="30"/>
      <c r="BQO112" s="30"/>
      <c r="BQP112" s="30"/>
      <c r="BQQ112" s="30"/>
      <c r="BQR112" s="30"/>
      <c r="BQS112" s="30"/>
      <c r="BQT112" s="30"/>
      <c r="BQU112" s="30"/>
      <c r="BQV112" s="30"/>
      <c r="BQW112" s="30"/>
      <c r="BQX112" s="30"/>
      <c r="BQY112" s="30"/>
      <c r="BQZ112" s="30"/>
      <c r="BRA112" s="30"/>
      <c r="BRB112" s="30"/>
      <c r="BRC112" s="30"/>
      <c r="BRD112" s="30"/>
      <c r="BRE112" s="30"/>
      <c r="BRF112" s="30"/>
      <c r="BRG112" s="30"/>
      <c r="BRH112" s="30"/>
      <c r="BRI112" s="30"/>
      <c r="BRJ112" s="30"/>
      <c r="BRK112" s="30"/>
      <c r="BRL112" s="30"/>
      <c r="BRM112" s="30"/>
      <c r="BRN112" s="30"/>
      <c r="BRO112" s="30"/>
      <c r="BRP112" s="30"/>
      <c r="BRQ112" s="30"/>
      <c r="BRR112" s="30"/>
      <c r="BRS112" s="30"/>
      <c r="BRT112" s="30"/>
      <c r="BRU112" s="30"/>
      <c r="BRV112" s="30"/>
      <c r="BRW112" s="30"/>
      <c r="BRX112" s="30"/>
      <c r="BRY112" s="30"/>
      <c r="BRZ112" s="30"/>
      <c r="BSA112" s="30"/>
      <c r="BSB112" s="30"/>
      <c r="BSC112" s="30"/>
      <c r="BSD112" s="30"/>
      <c r="BSE112" s="30"/>
      <c r="BSF112" s="30"/>
      <c r="BSG112" s="30"/>
      <c r="BSH112" s="30"/>
      <c r="BSI112" s="30"/>
      <c r="BSJ112" s="30"/>
      <c r="BSK112" s="30"/>
      <c r="BSL112" s="30"/>
      <c r="BSM112" s="30"/>
      <c r="BSN112" s="30"/>
      <c r="BSO112" s="30"/>
      <c r="BSP112" s="30"/>
      <c r="BSQ112" s="30"/>
      <c r="BSR112" s="30"/>
      <c r="BSS112" s="30"/>
      <c r="BST112" s="30"/>
      <c r="BSU112" s="30"/>
      <c r="BSV112" s="30"/>
      <c r="BSW112" s="30"/>
      <c r="BSX112" s="30"/>
      <c r="BSY112" s="30"/>
      <c r="BSZ112" s="30"/>
      <c r="BTA112" s="30"/>
      <c r="BTB112" s="30"/>
      <c r="BTC112" s="30"/>
      <c r="BTD112" s="30"/>
      <c r="BTE112" s="30"/>
      <c r="BTF112" s="30"/>
      <c r="BTG112" s="30"/>
      <c r="BTH112" s="30"/>
      <c r="BTI112" s="30"/>
      <c r="BTJ112" s="30"/>
      <c r="BTK112" s="30"/>
      <c r="BTL112" s="30"/>
      <c r="BTM112" s="30"/>
      <c r="BTN112" s="30"/>
      <c r="BTO112" s="30"/>
      <c r="BTP112" s="30"/>
      <c r="BTQ112" s="30"/>
      <c r="BTR112" s="30"/>
      <c r="BTS112" s="30"/>
      <c r="BTT112" s="30"/>
      <c r="BTU112" s="30"/>
      <c r="BTV112" s="30"/>
      <c r="BTW112" s="30"/>
      <c r="BTX112" s="30"/>
      <c r="BTY112" s="30"/>
      <c r="BTZ112" s="30"/>
      <c r="BUA112" s="30"/>
      <c r="BUB112" s="30"/>
      <c r="BUC112" s="30"/>
      <c r="BUD112" s="30"/>
      <c r="BUE112" s="30"/>
      <c r="BUF112" s="30"/>
      <c r="BUG112" s="30"/>
      <c r="BUH112" s="30"/>
      <c r="BUI112" s="30"/>
      <c r="BUJ112" s="30"/>
      <c r="BUK112" s="30"/>
      <c r="BUL112" s="30"/>
      <c r="BUM112" s="30"/>
      <c r="BUN112" s="30"/>
      <c r="BUO112" s="30"/>
      <c r="BUP112" s="30"/>
      <c r="BUQ112" s="30"/>
      <c r="BUR112" s="30"/>
      <c r="BUS112" s="30"/>
      <c r="BUT112" s="30"/>
      <c r="BUU112" s="30"/>
      <c r="BUV112" s="30"/>
      <c r="BUW112" s="30"/>
      <c r="BUX112" s="30"/>
      <c r="BUY112" s="30"/>
      <c r="BUZ112" s="30"/>
      <c r="BVA112" s="30"/>
      <c r="BVB112" s="30"/>
      <c r="BVC112" s="30"/>
      <c r="BVD112" s="30"/>
      <c r="BVE112" s="30"/>
      <c r="BVF112" s="30"/>
      <c r="BVG112" s="30"/>
      <c r="BVH112" s="30"/>
      <c r="BVI112" s="30"/>
      <c r="BVJ112" s="30"/>
      <c r="BVK112" s="30"/>
      <c r="BVL112" s="30"/>
      <c r="BVM112" s="30"/>
      <c r="BVN112" s="30"/>
      <c r="BVO112" s="30"/>
      <c r="BVP112" s="30"/>
      <c r="BVQ112" s="30"/>
      <c r="BVR112" s="30"/>
      <c r="BVS112" s="30"/>
      <c r="BVT112" s="30"/>
      <c r="BVU112" s="30"/>
      <c r="BVV112" s="30"/>
      <c r="BVW112" s="30"/>
      <c r="BVX112" s="30"/>
      <c r="BVY112" s="30"/>
      <c r="BVZ112" s="30"/>
      <c r="BWA112" s="30"/>
      <c r="BWB112" s="30"/>
      <c r="BWC112" s="30"/>
      <c r="BWD112" s="30"/>
      <c r="BWE112" s="30"/>
      <c r="BWF112" s="30"/>
      <c r="BWG112" s="30"/>
      <c r="BWH112" s="30"/>
      <c r="BWI112" s="30"/>
      <c r="BWJ112" s="30"/>
      <c r="BWK112" s="30"/>
      <c r="BWL112" s="30"/>
      <c r="BWM112" s="30"/>
      <c r="BWN112" s="30"/>
      <c r="BWO112" s="30"/>
      <c r="BWP112" s="30"/>
      <c r="BWQ112" s="30"/>
      <c r="BWR112" s="30"/>
      <c r="BWS112" s="30"/>
      <c r="BWT112" s="30"/>
      <c r="BWU112" s="30"/>
      <c r="BWV112" s="30"/>
      <c r="BWW112" s="30"/>
      <c r="BWX112" s="30"/>
      <c r="BWY112" s="30"/>
      <c r="BWZ112" s="30"/>
      <c r="BXA112" s="30"/>
      <c r="BXB112" s="30"/>
      <c r="BXC112" s="30"/>
      <c r="BXD112" s="30"/>
      <c r="BXE112" s="30"/>
      <c r="BXF112" s="30"/>
      <c r="BXG112" s="30"/>
      <c r="BXH112" s="30"/>
      <c r="BXI112" s="30"/>
      <c r="BXJ112" s="30"/>
      <c r="BXK112" s="30"/>
      <c r="BXL112" s="30"/>
      <c r="BXM112" s="30"/>
      <c r="BXN112" s="30"/>
      <c r="BXO112" s="30"/>
      <c r="BXP112" s="30"/>
      <c r="BXQ112" s="30"/>
      <c r="BXR112" s="30"/>
      <c r="BXS112" s="30"/>
      <c r="BXT112" s="30"/>
      <c r="BXU112" s="30"/>
      <c r="BXV112" s="30"/>
      <c r="BXW112" s="30"/>
      <c r="BXX112" s="30"/>
      <c r="BXY112" s="30"/>
      <c r="BXZ112" s="30"/>
      <c r="BYA112" s="30"/>
      <c r="BYB112" s="30"/>
      <c r="BYC112" s="30"/>
      <c r="BYD112" s="30"/>
      <c r="BYE112" s="30"/>
      <c r="BYF112" s="30"/>
      <c r="BYG112" s="30"/>
      <c r="BYH112" s="30"/>
      <c r="BYI112" s="30"/>
      <c r="BYJ112" s="30"/>
      <c r="BYK112" s="30"/>
      <c r="BYL112" s="30"/>
      <c r="BYM112" s="30"/>
      <c r="BYN112" s="30"/>
      <c r="BYO112" s="30"/>
      <c r="BYP112" s="30"/>
      <c r="BYQ112" s="30"/>
      <c r="BYR112" s="30"/>
      <c r="BYS112" s="30"/>
      <c r="BYT112" s="30"/>
      <c r="BYU112" s="30"/>
      <c r="BYV112" s="30"/>
      <c r="BYW112" s="30"/>
      <c r="BYX112" s="30"/>
      <c r="BYY112" s="30"/>
      <c r="BYZ112" s="30"/>
      <c r="BZA112" s="30"/>
      <c r="BZB112" s="30"/>
      <c r="BZC112" s="30"/>
      <c r="BZD112" s="30"/>
      <c r="BZE112" s="30"/>
      <c r="BZF112" s="30"/>
      <c r="BZG112" s="30"/>
      <c r="BZH112" s="30"/>
      <c r="BZI112" s="30"/>
      <c r="BZJ112" s="30"/>
      <c r="BZK112" s="30"/>
      <c r="BZL112" s="30"/>
      <c r="BZM112" s="30"/>
      <c r="BZN112" s="30"/>
      <c r="BZO112" s="30"/>
      <c r="BZP112" s="30"/>
      <c r="BZQ112" s="30"/>
      <c r="BZR112" s="30"/>
      <c r="BZS112" s="30"/>
      <c r="BZT112" s="30"/>
      <c r="BZU112" s="30"/>
      <c r="BZV112" s="30"/>
      <c r="BZW112" s="30"/>
      <c r="BZX112" s="30"/>
      <c r="BZY112" s="30"/>
      <c r="BZZ112" s="30"/>
      <c r="CAA112" s="30"/>
      <c r="CAB112" s="30"/>
      <c r="CAC112" s="30"/>
      <c r="CAD112" s="30"/>
      <c r="CAE112" s="30"/>
      <c r="CAF112" s="30"/>
      <c r="CAG112" s="30"/>
      <c r="CAH112" s="30"/>
      <c r="CAI112" s="30"/>
      <c r="CAJ112" s="30"/>
      <c r="CAK112" s="30"/>
      <c r="CAL112" s="30"/>
      <c r="CAM112" s="30"/>
      <c r="CAN112" s="30"/>
      <c r="CAO112" s="30"/>
      <c r="CAP112" s="30"/>
      <c r="CAQ112" s="30"/>
      <c r="CAR112" s="30"/>
      <c r="CAS112" s="30"/>
      <c r="CAT112" s="30"/>
      <c r="CAU112" s="30"/>
      <c r="CAV112" s="30"/>
      <c r="CAW112" s="30"/>
      <c r="CAX112" s="30"/>
      <c r="CAY112" s="30"/>
      <c r="CAZ112" s="30"/>
      <c r="CBA112" s="30"/>
      <c r="CBB112" s="30"/>
      <c r="CBC112" s="30"/>
      <c r="CBD112" s="30"/>
      <c r="CBE112" s="30"/>
      <c r="CBF112" s="30"/>
      <c r="CBG112" s="30"/>
      <c r="CBH112" s="30"/>
      <c r="CBI112" s="30"/>
      <c r="CBJ112" s="30"/>
      <c r="CBK112" s="30"/>
      <c r="CBL112" s="30"/>
      <c r="CBM112" s="30"/>
      <c r="CBN112" s="30"/>
      <c r="CBO112" s="30"/>
      <c r="CBP112" s="30"/>
      <c r="CBQ112" s="30"/>
      <c r="CBR112" s="30"/>
      <c r="CBS112" s="30"/>
      <c r="CBT112" s="30"/>
      <c r="CBU112" s="30"/>
      <c r="CBV112" s="30"/>
      <c r="CBW112" s="30"/>
      <c r="CBX112" s="30"/>
      <c r="CBY112" s="30"/>
      <c r="CBZ112" s="30"/>
      <c r="CCA112" s="30"/>
      <c r="CCB112" s="30"/>
      <c r="CCC112" s="30"/>
      <c r="CCD112" s="30"/>
      <c r="CCE112" s="30"/>
      <c r="CCF112" s="30"/>
      <c r="CCG112" s="30"/>
      <c r="CCH112" s="30"/>
      <c r="CCI112" s="30"/>
      <c r="CCJ112" s="30"/>
      <c r="CCK112" s="30"/>
      <c r="CCL112" s="30"/>
      <c r="CCM112" s="30"/>
      <c r="CCN112" s="30"/>
      <c r="CCO112" s="30"/>
      <c r="CCP112" s="30"/>
      <c r="CCQ112" s="30"/>
      <c r="CCR112" s="30"/>
      <c r="CCS112" s="30"/>
      <c r="CCT112" s="30"/>
      <c r="CCU112" s="30"/>
      <c r="CCV112" s="30"/>
      <c r="CCW112" s="30"/>
      <c r="CCX112" s="30"/>
      <c r="CCY112" s="30"/>
      <c r="CCZ112" s="30"/>
      <c r="CDA112" s="30"/>
      <c r="CDB112" s="30"/>
      <c r="CDC112" s="30"/>
      <c r="CDD112" s="30"/>
      <c r="CDE112" s="30"/>
      <c r="CDF112" s="30"/>
      <c r="CDG112" s="30"/>
      <c r="CDH112" s="30"/>
      <c r="CDI112" s="30"/>
      <c r="CDJ112" s="30"/>
      <c r="CDK112" s="30"/>
      <c r="CDL112" s="30"/>
      <c r="CDM112" s="30"/>
      <c r="CDN112" s="30"/>
      <c r="CDO112" s="30"/>
      <c r="CDP112" s="30"/>
      <c r="CDQ112" s="30"/>
      <c r="CDR112" s="30"/>
      <c r="CDS112" s="30"/>
      <c r="CDT112" s="30"/>
      <c r="CDU112" s="30"/>
      <c r="CDV112" s="30"/>
      <c r="CDW112" s="30"/>
      <c r="CDX112" s="30"/>
      <c r="CDY112" s="30"/>
      <c r="CDZ112" s="30"/>
      <c r="CEA112" s="30"/>
      <c r="CEB112" s="30"/>
      <c r="CEC112" s="30"/>
      <c r="CED112" s="30"/>
      <c r="CEE112" s="30"/>
      <c r="CEF112" s="30"/>
      <c r="CEG112" s="30"/>
      <c r="CEH112" s="30"/>
      <c r="CEI112" s="30"/>
      <c r="CEJ112" s="30"/>
      <c r="CEK112" s="30"/>
      <c r="CEL112" s="30"/>
      <c r="CEM112" s="30"/>
      <c r="CEN112" s="30"/>
      <c r="CEO112" s="30"/>
      <c r="CEP112" s="30"/>
      <c r="CEQ112" s="30"/>
      <c r="CER112" s="30"/>
      <c r="CES112" s="30"/>
      <c r="CET112" s="30"/>
      <c r="CEU112" s="30"/>
      <c r="CEV112" s="30"/>
      <c r="CEW112" s="30"/>
      <c r="CEX112" s="30"/>
      <c r="CEY112" s="30"/>
      <c r="CEZ112" s="30"/>
      <c r="CFA112" s="30"/>
      <c r="CFB112" s="30"/>
      <c r="CFC112" s="30"/>
      <c r="CFD112" s="30"/>
      <c r="CFE112" s="30"/>
      <c r="CFF112" s="30"/>
      <c r="CFG112" s="30"/>
      <c r="CFH112" s="30"/>
      <c r="CFI112" s="30"/>
      <c r="CFJ112" s="30"/>
      <c r="CFK112" s="30"/>
      <c r="CFL112" s="30"/>
      <c r="CFM112" s="30"/>
      <c r="CFN112" s="30"/>
      <c r="CFO112" s="30"/>
      <c r="CFP112" s="30"/>
      <c r="CFQ112" s="30"/>
      <c r="CFR112" s="30"/>
      <c r="CFS112" s="30"/>
      <c r="CFT112" s="30"/>
      <c r="CFU112" s="30"/>
      <c r="CFV112" s="30"/>
      <c r="CFW112" s="30"/>
      <c r="CFX112" s="30"/>
      <c r="CFY112" s="30"/>
      <c r="CFZ112" s="30"/>
      <c r="CGA112" s="30"/>
      <c r="CGB112" s="30"/>
      <c r="CGC112" s="30"/>
      <c r="CGD112" s="30"/>
      <c r="CGE112" s="30"/>
      <c r="CGF112" s="30"/>
      <c r="CGG112" s="30"/>
      <c r="CGH112" s="30"/>
      <c r="CGI112" s="30"/>
      <c r="CGJ112" s="30"/>
      <c r="CGK112" s="30"/>
      <c r="CGL112" s="30"/>
      <c r="CGM112" s="30"/>
      <c r="CGN112" s="30"/>
      <c r="CGO112" s="30"/>
      <c r="CGP112" s="30"/>
      <c r="CGQ112" s="30"/>
      <c r="CGR112" s="30"/>
      <c r="CGS112" s="30"/>
      <c r="CGT112" s="30"/>
      <c r="CGU112" s="30"/>
      <c r="CGV112" s="30"/>
      <c r="CGW112" s="30"/>
      <c r="CGX112" s="30"/>
      <c r="CGY112" s="30"/>
      <c r="CGZ112" s="30"/>
      <c r="CHA112" s="30"/>
      <c r="CHB112" s="30"/>
      <c r="CHC112" s="30"/>
      <c r="CHD112" s="30"/>
      <c r="CHE112" s="30"/>
      <c r="CHF112" s="30"/>
      <c r="CHG112" s="30"/>
      <c r="CHH112" s="30"/>
      <c r="CHI112" s="30"/>
      <c r="CHJ112" s="30"/>
      <c r="CHK112" s="30"/>
      <c r="CHL112" s="30"/>
      <c r="CHM112" s="30"/>
      <c r="CHN112" s="30"/>
      <c r="CHO112" s="30"/>
      <c r="CHP112" s="30"/>
      <c r="CHQ112" s="30"/>
      <c r="CHR112" s="30"/>
      <c r="CHS112" s="30"/>
      <c r="CHT112" s="30"/>
      <c r="CHU112" s="30"/>
      <c r="CHV112" s="30"/>
      <c r="CHW112" s="30"/>
      <c r="CHX112" s="30"/>
      <c r="CHY112" s="30"/>
      <c r="CHZ112" s="30"/>
      <c r="CIA112" s="30"/>
      <c r="CIB112" s="30"/>
      <c r="CIC112" s="30"/>
      <c r="CID112" s="30"/>
      <c r="CIE112" s="30"/>
      <c r="CIF112" s="30"/>
      <c r="CIG112" s="30"/>
      <c r="CIH112" s="30"/>
      <c r="CII112" s="30"/>
      <c r="CIJ112" s="30"/>
      <c r="CIK112" s="30"/>
      <c r="CIL112" s="30"/>
      <c r="CIM112" s="30"/>
      <c r="CIN112" s="30"/>
      <c r="CIO112" s="30"/>
      <c r="CIP112" s="30"/>
      <c r="CIQ112" s="30"/>
      <c r="CIR112" s="30"/>
      <c r="CIS112" s="30"/>
      <c r="CIT112" s="30"/>
      <c r="CIU112" s="30"/>
      <c r="CIV112" s="30"/>
      <c r="CIW112" s="30"/>
      <c r="CIX112" s="30"/>
      <c r="CIY112" s="30"/>
      <c r="CIZ112" s="30"/>
      <c r="CJA112" s="30"/>
      <c r="CJB112" s="30"/>
      <c r="CJC112" s="30"/>
      <c r="CJD112" s="30"/>
      <c r="CJE112" s="30"/>
      <c r="CJF112" s="30"/>
      <c r="CJG112" s="30"/>
      <c r="CJH112" s="30"/>
      <c r="CJI112" s="30"/>
      <c r="CJJ112" s="30"/>
      <c r="CJK112" s="30"/>
      <c r="CJL112" s="30"/>
      <c r="CJM112" s="30"/>
      <c r="CJN112" s="30"/>
      <c r="CJO112" s="30"/>
      <c r="CJP112" s="30"/>
      <c r="CJQ112" s="30"/>
      <c r="CJR112" s="30"/>
      <c r="CJS112" s="30"/>
      <c r="CJT112" s="30"/>
      <c r="CJU112" s="30"/>
      <c r="CJV112" s="30"/>
      <c r="CJW112" s="30"/>
      <c r="CJX112" s="30"/>
      <c r="CJY112" s="30"/>
      <c r="CJZ112" s="30"/>
      <c r="CKA112" s="30"/>
      <c r="CKB112" s="30"/>
      <c r="CKC112" s="30"/>
      <c r="CKD112" s="30"/>
      <c r="CKE112" s="30"/>
      <c r="CKF112" s="30"/>
      <c r="CKG112" s="30"/>
      <c r="CKH112" s="30"/>
      <c r="CKI112" s="30"/>
      <c r="CKJ112" s="30"/>
      <c r="CKK112" s="30"/>
      <c r="CKL112" s="30"/>
      <c r="CKM112" s="30"/>
      <c r="CKN112" s="30"/>
      <c r="CKO112" s="30"/>
      <c r="CKP112" s="30"/>
      <c r="CKQ112" s="30"/>
      <c r="CKR112" s="30"/>
      <c r="CKS112" s="30"/>
      <c r="CKT112" s="30"/>
      <c r="CKU112" s="30"/>
      <c r="CKV112" s="30"/>
      <c r="CKW112" s="30"/>
      <c r="CKX112" s="30"/>
      <c r="CKY112" s="30"/>
      <c r="CKZ112" s="30"/>
      <c r="CLA112" s="30"/>
      <c r="CLB112" s="30"/>
      <c r="CLC112" s="30"/>
      <c r="CLD112" s="30"/>
      <c r="CLE112" s="30"/>
      <c r="CLF112" s="30"/>
      <c r="CLG112" s="30"/>
      <c r="CLH112" s="30"/>
      <c r="CLI112" s="30"/>
      <c r="CLJ112" s="30"/>
      <c r="CLK112" s="30"/>
      <c r="CLL112" s="30"/>
      <c r="CLM112" s="30"/>
      <c r="CLN112" s="30"/>
      <c r="CLO112" s="30"/>
      <c r="CLP112" s="30"/>
      <c r="CLQ112" s="30"/>
      <c r="CLR112" s="30"/>
      <c r="CLS112" s="30"/>
      <c r="CLT112" s="30"/>
      <c r="CLU112" s="30"/>
      <c r="CLV112" s="30"/>
      <c r="CLW112" s="30"/>
      <c r="CLX112" s="30"/>
      <c r="CLY112" s="30"/>
      <c r="CLZ112" s="30"/>
      <c r="CMA112" s="30"/>
      <c r="CMB112" s="30"/>
      <c r="CMC112" s="30"/>
      <c r="CMD112" s="30"/>
      <c r="CME112" s="30"/>
      <c r="CMF112" s="30"/>
      <c r="CMG112" s="30"/>
      <c r="CMH112" s="30"/>
      <c r="CMI112" s="30"/>
      <c r="CMJ112" s="30"/>
      <c r="CMK112" s="30"/>
      <c r="CML112" s="30"/>
      <c r="CMM112" s="30"/>
      <c r="CMN112" s="30"/>
      <c r="CMO112" s="30"/>
      <c r="CMP112" s="30"/>
      <c r="CMQ112" s="30"/>
      <c r="CMR112" s="30"/>
      <c r="CMS112" s="30"/>
      <c r="CMT112" s="30"/>
      <c r="CMU112" s="30"/>
      <c r="CMV112" s="30"/>
      <c r="CMW112" s="30"/>
      <c r="CMX112" s="30"/>
      <c r="CMY112" s="30"/>
      <c r="CMZ112" s="30"/>
      <c r="CNA112" s="30"/>
      <c r="CNB112" s="30"/>
      <c r="CNC112" s="30"/>
      <c r="CND112" s="30"/>
      <c r="CNE112" s="30"/>
      <c r="CNF112" s="30"/>
      <c r="CNG112" s="30"/>
      <c r="CNH112" s="30"/>
      <c r="CNI112" s="30"/>
      <c r="CNJ112" s="30"/>
      <c r="CNK112" s="30"/>
      <c r="CNL112" s="30"/>
      <c r="CNM112" s="30"/>
      <c r="CNN112" s="30"/>
      <c r="CNO112" s="30"/>
      <c r="CNP112" s="30"/>
      <c r="CNQ112" s="30"/>
      <c r="CNR112" s="30"/>
      <c r="CNS112" s="30"/>
      <c r="CNT112" s="30"/>
      <c r="CNU112" s="30"/>
      <c r="CNV112" s="30"/>
      <c r="CNW112" s="30"/>
      <c r="CNX112" s="30"/>
      <c r="CNY112" s="30"/>
      <c r="CNZ112" s="30"/>
      <c r="COA112" s="30"/>
      <c r="COB112" s="30"/>
      <c r="COC112" s="30"/>
      <c r="COD112" s="30"/>
      <c r="COE112" s="30"/>
      <c r="COF112" s="30"/>
      <c r="COG112" s="30"/>
      <c r="COH112" s="30"/>
      <c r="COI112" s="30"/>
      <c r="COJ112" s="30"/>
      <c r="COK112" s="30"/>
      <c r="COL112" s="30"/>
      <c r="COM112" s="30"/>
      <c r="CON112" s="30"/>
      <c r="COO112" s="30"/>
      <c r="COP112" s="30"/>
      <c r="COQ112" s="30"/>
      <c r="COR112" s="30"/>
      <c r="COS112" s="30"/>
      <c r="COT112" s="30"/>
      <c r="COU112" s="30"/>
      <c r="COV112" s="30"/>
      <c r="COW112" s="30"/>
      <c r="COX112" s="30"/>
      <c r="COY112" s="30"/>
      <c r="COZ112" s="30"/>
      <c r="CPA112" s="30"/>
      <c r="CPB112" s="30"/>
      <c r="CPC112" s="30"/>
      <c r="CPD112" s="30"/>
      <c r="CPE112" s="30"/>
      <c r="CPF112" s="30"/>
      <c r="CPG112" s="30"/>
      <c r="CPH112" s="30"/>
      <c r="CPI112" s="30"/>
      <c r="CPJ112" s="30"/>
      <c r="CPK112" s="30"/>
      <c r="CPL112" s="30"/>
      <c r="CPM112" s="30"/>
      <c r="CPN112" s="30"/>
      <c r="CPO112" s="30"/>
      <c r="CPP112" s="30"/>
      <c r="CPQ112" s="30"/>
      <c r="CPR112" s="30"/>
      <c r="CPS112" s="30"/>
      <c r="CPT112" s="30"/>
      <c r="CPU112" s="30"/>
      <c r="CPV112" s="30"/>
      <c r="CPW112" s="30"/>
      <c r="CPX112" s="30"/>
      <c r="CPY112" s="30"/>
      <c r="CPZ112" s="30"/>
      <c r="CQA112" s="30"/>
      <c r="CQB112" s="30"/>
      <c r="CQC112" s="30"/>
      <c r="CQD112" s="30"/>
      <c r="CQE112" s="30"/>
      <c r="CQF112" s="30"/>
      <c r="CQG112" s="30"/>
      <c r="CQH112" s="30"/>
      <c r="CQI112" s="30"/>
      <c r="CQJ112" s="30"/>
      <c r="CQK112" s="30"/>
      <c r="CQL112" s="30"/>
      <c r="CQM112" s="30"/>
      <c r="CQN112" s="30"/>
      <c r="CQO112" s="30"/>
      <c r="CQP112" s="30"/>
      <c r="CQQ112" s="30"/>
      <c r="CQR112" s="30"/>
      <c r="CQS112" s="30"/>
      <c r="CQT112" s="30"/>
      <c r="CQU112" s="30"/>
      <c r="CQV112" s="30"/>
      <c r="CQW112" s="30"/>
      <c r="CQX112" s="30"/>
      <c r="CQY112" s="30"/>
      <c r="CQZ112" s="30"/>
      <c r="CRA112" s="30"/>
      <c r="CRB112" s="30"/>
      <c r="CRC112" s="30"/>
      <c r="CRD112" s="30"/>
      <c r="CRE112" s="30"/>
      <c r="CRF112" s="30"/>
      <c r="CRG112" s="30"/>
      <c r="CRH112" s="30"/>
      <c r="CRI112" s="30"/>
      <c r="CRJ112" s="30"/>
      <c r="CRK112" s="30"/>
      <c r="CRL112" s="30"/>
      <c r="CRM112" s="30"/>
      <c r="CRN112" s="30"/>
      <c r="CRO112" s="30"/>
      <c r="CRP112" s="30"/>
      <c r="CRQ112" s="30"/>
      <c r="CRR112" s="30"/>
      <c r="CRS112" s="30"/>
      <c r="CRT112" s="30"/>
      <c r="CRU112" s="30"/>
      <c r="CRV112" s="30"/>
      <c r="CRW112" s="30"/>
      <c r="CRX112" s="30"/>
      <c r="CRY112" s="30"/>
      <c r="CRZ112" s="30"/>
      <c r="CSA112" s="30"/>
      <c r="CSB112" s="30"/>
      <c r="CSC112" s="30"/>
      <c r="CSD112" s="30"/>
      <c r="CSE112" s="30"/>
      <c r="CSF112" s="30"/>
      <c r="CSG112" s="30"/>
      <c r="CSH112" s="30"/>
      <c r="CSI112" s="30"/>
      <c r="CSJ112" s="30"/>
      <c r="CSK112" s="30"/>
      <c r="CSL112" s="30"/>
      <c r="CSM112" s="30"/>
      <c r="CSN112" s="30"/>
      <c r="CSO112" s="30"/>
      <c r="CSP112" s="30"/>
      <c r="CSQ112" s="30"/>
      <c r="CSR112" s="30"/>
      <c r="CSS112" s="30"/>
      <c r="CST112" s="30"/>
      <c r="CSU112" s="30"/>
      <c r="CSV112" s="30"/>
      <c r="CSW112" s="30"/>
      <c r="CSX112" s="30"/>
      <c r="CSY112" s="30"/>
      <c r="CSZ112" s="30"/>
      <c r="CTA112" s="30"/>
      <c r="CTB112" s="30"/>
      <c r="CTC112" s="30"/>
      <c r="CTD112" s="30"/>
      <c r="CTE112" s="30"/>
      <c r="CTF112" s="30"/>
      <c r="CTG112" s="30"/>
      <c r="CTH112" s="30"/>
      <c r="CTI112" s="30"/>
      <c r="CTJ112" s="30"/>
      <c r="CTK112" s="30"/>
      <c r="CTL112" s="30"/>
      <c r="CTM112" s="30"/>
      <c r="CTN112" s="30"/>
      <c r="CTO112" s="30"/>
      <c r="CTP112" s="30"/>
      <c r="CTQ112" s="30"/>
      <c r="CTR112" s="30"/>
      <c r="CTS112" s="30"/>
      <c r="CTT112" s="30"/>
      <c r="CTU112" s="30"/>
      <c r="CTV112" s="30"/>
      <c r="CTW112" s="30"/>
      <c r="CTX112" s="30"/>
      <c r="CTY112" s="30"/>
      <c r="CTZ112" s="30"/>
      <c r="CUA112" s="30"/>
    </row>
    <row r="113" s="267" customFormat="1" ht="27" customHeight="1" spans="1:2575">
      <c r="A113" s="268">
        <v>119</v>
      </c>
      <c r="B113" s="268" t="s">
        <v>14</v>
      </c>
      <c r="C113" s="268" t="s">
        <v>37</v>
      </c>
      <c r="D113" s="82" t="s">
        <v>262</v>
      </c>
      <c r="E113" s="29" t="s">
        <v>912</v>
      </c>
      <c r="F113" s="31" t="s">
        <v>935</v>
      </c>
      <c r="G113" s="31" t="s">
        <v>913</v>
      </c>
      <c r="H113" s="32">
        <v>3000104</v>
      </c>
      <c r="I113" s="31">
        <v>2011.08</v>
      </c>
      <c r="J113" s="283" t="s">
        <v>914</v>
      </c>
      <c r="K113" s="283" t="s">
        <v>915</v>
      </c>
      <c r="L113" s="31" t="s">
        <v>667</v>
      </c>
      <c r="M113" s="29" t="s">
        <v>674</v>
      </c>
      <c r="N113" s="94">
        <v>45805</v>
      </c>
      <c r="O113" s="94">
        <v>46169</v>
      </c>
      <c r="P113" s="142">
        <v>1000</v>
      </c>
      <c r="Q113" s="85"/>
      <c r="R113" s="322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30"/>
      <c r="GT113" s="30"/>
      <c r="GU113" s="30"/>
      <c r="GV113" s="30"/>
      <c r="GW113" s="30"/>
      <c r="GX113" s="30"/>
      <c r="GY113" s="30"/>
      <c r="GZ113" s="30"/>
      <c r="HA113" s="30"/>
      <c r="HB113" s="30"/>
      <c r="HC113" s="30"/>
      <c r="HD113" s="30"/>
      <c r="HE113" s="30"/>
      <c r="HF113" s="30"/>
      <c r="HG113" s="30"/>
      <c r="HH113" s="30"/>
      <c r="HI113" s="30"/>
      <c r="HJ113" s="30"/>
      <c r="HK113" s="30"/>
      <c r="HL113" s="30"/>
      <c r="HM113" s="30"/>
      <c r="HN113" s="30"/>
      <c r="HO113" s="30"/>
      <c r="HP113" s="30"/>
      <c r="HQ113" s="30"/>
      <c r="HR113" s="30"/>
      <c r="HS113" s="30"/>
      <c r="HT113" s="30"/>
      <c r="HU113" s="30"/>
      <c r="HV113" s="30"/>
      <c r="HW113" s="30"/>
      <c r="HX113" s="30"/>
      <c r="HY113" s="30"/>
      <c r="HZ113" s="30"/>
      <c r="IA113" s="30"/>
      <c r="IB113" s="30"/>
      <c r="IC113" s="30"/>
      <c r="ID113" s="30"/>
      <c r="IE113" s="30"/>
      <c r="IF113" s="30"/>
      <c r="IG113" s="30"/>
      <c r="IH113" s="30"/>
      <c r="II113" s="30"/>
      <c r="IJ113" s="30"/>
      <c r="IK113" s="30"/>
      <c r="IL113" s="30"/>
      <c r="IM113" s="30"/>
      <c r="IN113" s="30"/>
      <c r="IO113" s="30"/>
      <c r="IP113" s="30"/>
      <c r="IQ113" s="30"/>
      <c r="IR113" s="30"/>
      <c r="IS113" s="30"/>
      <c r="IT113" s="30"/>
      <c r="IU113" s="30"/>
      <c r="IV113" s="30"/>
      <c r="IW113" s="30"/>
      <c r="IX113" s="30"/>
      <c r="IY113" s="30"/>
      <c r="IZ113" s="30"/>
      <c r="JA113" s="30"/>
      <c r="JB113" s="30"/>
      <c r="JC113" s="30"/>
      <c r="JD113" s="30"/>
      <c r="JE113" s="30"/>
      <c r="JF113" s="30"/>
      <c r="JG113" s="30"/>
      <c r="JH113" s="30"/>
      <c r="JI113" s="30"/>
      <c r="JJ113" s="30"/>
      <c r="JK113" s="30"/>
      <c r="JL113" s="30"/>
      <c r="JM113" s="30"/>
      <c r="JN113" s="30"/>
      <c r="JO113" s="30"/>
      <c r="JP113" s="30"/>
      <c r="JQ113" s="30"/>
      <c r="JR113" s="30"/>
      <c r="JS113" s="30"/>
      <c r="JT113" s="30"/>
      <c r="JU113" s="30"/>
      <c r="JV113" s="30"/>
      <c r="JW113" s="30"/>
      <c r="JX113" s="30"/>
      <c r="JY113" s="30"/>
      <c r="JZ113" s="30"/>
      <c r="KA113" s="30"/>
      <c r="KB113" s="30"/>
      <c r="KC113" s="30"/>
      <c r="KD113" s="30"/>
      <c r="KE113" s="30"/>
      <c r="KF113" s="30"/>
      <c r="KG113" s="30"/>
      <c r="KH113" s="30"/>
      <c r="KI113" s="30"/>
      <c r="KJ113" s="30"/>
      <c r="KK113" s="30"/>
      <c r="KL113" s="30"/>
      <c r="KM113" s="30"/>
      <c r="KN113" s="30"/>
      <c r="KO113" s="30"/>
      <c r="KP113" s="30"/>
      <c r="KQ113" s="30"/>
      <c r="KR113" s="30"/>
      <c r="KS113" s="30"/>
      <c r="KT113" s="30"/>
      <c r="KU113" s="30"/>
      <c r="KV113" s="30"/>
      <c r="KW113" s="30"/>
      <c r="KX113" s="30"/>
      <c r="KY113" s="30"/>
      <c r="KZ113" s="30"/>
      <c r="LA113" s="30"/>
      <c r="LB113" s="30"/>
      <c r="LC113" s="30"/>
      <c r="LD113" s="30"/>
      <c r="LE113" s="30"/>
      <c r="LF113" s="30"/>
      <c r="LG113" s="30"/>
      <c r="LH113" s="30"/>
      <c r="LI113" s="30"/>
      <c r="LJ113" s="30"/>
      <c r="LK113" s="30"/>
      <c r="LL113" s="30"/>
      <c r="LM113" s="30"/>
      <c r="LN113" s="30"/>
      <c r="LO113" s="30"/>
      <c r="LP113" s="30"/>
      <c r="LQ113" s="30"/>
      <c r="LR113" s="30"/>
      <c r="LS113" s="30"/>
      <c r="LT113" s="30"/>
      <c r="LU113" s="30"/>
      <c r="LV113" s="30"/>
      <c r="LW113" s="30"/>
      <c r="LX113" s="30"/>
      <c r="LY113" s="30"/>
      <c r="LZ113" s="30"/>
      <c r="MA113" s="30"/>
      <c r="MB113" s="30"/>
      <c r="MC113" s="30"/>
      <c r="MD113" s="30"/>
      <c r="ME113" s="30"/>
      <c r="MF113" s="30"/>
      <c r="MG113" s="30"/>
      <c r="MH113" s="30"/>
      <c r="MI113" s="30"/>
      <c r="MJ113" s="30"/>
      <c r="MK113" s="30"/>
      <c r="ML113" s="30"/>
      <c r="MM113" s="30"/>
      <c r="MN113" s="30"/>
      <c r="MO113" s="30"/>
      <c r="MP113" s="30"/>
      <c r="MQ113" s="30"/>
      <c r="MR113" s="30"/>
      <c r="MS113" s="30"/>
      <c r="MT113" s="30"/>
      <c r="MU113" s="30"/>
      <c r="MV113" s="30"/>
      <c r="MW113" s="30"/>
      <c r="MX113" s="30"/>
      <c r="MY113" s="30"/>
      <c r="MZ113" s="30"/>
      <c r="NA113" s="30"/>
      <c r="NB113" s="30"/>
      <c r="NC113" s="30"/>
      <c r="ND113" s="30"/>
      <c r="NE113" s="30"/>
      <c r="NF113" s="30"/>
      <c r="NG113" s="30"/>
      <c r="NH113" s="30"/>
      <c r="NI113" s="30"/>
      <c r="NJ113" s="30"/>
      <c r="NK113" s="30"/>
      <c r="NL113" s="30"/>
      <c r="NM113" s="30"/>
      <c r="NN113" s="30"/>
      <c r="NO113" s="30"/>
      <c r="NP113" s="30"/>
      <c r="NQ113" s="30"/>
      <c r="NR113" s="30"/>
      <c r="NS113" s="30"/>
      <c r="NT113" s="30"/>
      <c r="NU113" s="30"/>
      <c r="NV113" s="30"/>
      <c r="NW113" s="30"/>
      <c r="NX113" s="30"/>
      <c r="NY113" s="30"/>
      <c r="NZ113" s="30"/>
      <c r="OA113" s="30"/>
      <c r="OB113" s="30"/>
      <c r="OC113" s="30"/>
      <c r="OD113" s="30"/>
      <c r="OE113" s="30"/>
      <c r="OF113" s="30"/>
      <c r="OG113" s="30"/>
      <c r="OH113" s="30"/>
      <c r="OI113" s="30"/>
      <c r="OJ113" s="30"/>
      <c r="OK113" s="30"/>
      <c r="OL113" s="30"/>
      <c r="OM113" s="30"/>
      <c r="ON113" s="30"/>
      <c r="OO113" s="30"/>
      <c r="OP113" s="30"/>
      <c r="OQ113" s="30"/>
      <c r="OR113" s="30"/>
      <c r="OS113" s="30"/>
      <c r="OT113" s="30"/>
      <c r="OU113" s="30"/>
      <c r="OV113" s="30"/>
      <c r="OW113" s="30"/>
      <c r="OX113" s="30"/>
      <c r="OY113" s="30"/>
      <c r="OZ113" s="30"/>
      <c r="PA113" s="30"/>
      <c r="PB113" s="30"/>
      <c r="PC113" s="30"/>
      <c r="PD113" s="30"/>
      <c r="PE113" s="30"/>
      <c r="PF113" s="30"/>
      <c r="PG113" s="30"/>
      <c r="PH113" s="30"/>
      <c r="PI113" s="30"/>
      <c r="PJ113" s="30"/>
      <c r="PK113" s="30"/>
      <c r="PL113" s="30"/>
      <c r="PM113" s="30"/>
      <c r="PN113" s="30"/>
      <c r="PO113" s="30"/>
      <c r="PP113" s="30"/>
      <c r="PQ113" s="30"/>
      <c r="PR113" s="30"/>
      <c r="PS113" s="30"/>
      <c r="PT113" s="30"/>
      <c r="PU113" s="30"/>
      <c r="PV113" s="30"/>
      <c r="PW113" s="30"/>
      <c r="PX113" s="30"/>
      <c r="PY113" s="30"/>
      <c r="PZ113" s="30"/>
      <c r="QA113" s="30"/>
      <c r="QB113" s="30"/>
      <c r="QC113" s="30"/>
      <c r="QD113" s="30"/>
      <c r="QE113" s="30"/>
      <c r="QF113" s="30"/>
      <c r="QG113" s="30"/>
      <c r="QH113" s="30"/>
      <c r="QI113" s="30"/>
      <c r="QJ113" s="30"/>
      <c r="QK113" s="30"/>
      <c r="QL113" s="30"/>
      <c r="QM113" s="30"/>
      <c r="QN113" s="30"/>
      <c r="QO113" s="30"/>
      <c r="QP113" s="30"/>
      <c r="QQ113" s="30"/>
      <c r="QR113" s="30"/>
      <c r="QS113" s="30"/>
      <c r="QT113" s="30"/>
      <c r="QU113" s="30"/>
      <c r="QV113" s="30"/>
      <c r="QW113" s="30"/>
      <c r="QX113" s="30"/>
      <c r="QY113" s="30"/>
      <c r="QZ113" s="30"/>
      <c r="RA113" s="30"/>
      <c r="RB113" s="30"/>
      <c r="RC113" s="30"/>
      <c r="RD113" s="30"/>
      <c r="RE113" s="30"/>
      <c r="RF113" s="30"/>
      <c r="RG113" s="30"/>
      <c r="RH113" s="30"/>
      <c r="RI113" s="30"/>
      <c r="RJ113" s="30"/>
      <c r="RK113" s="30"/>
      <c r="RL113" s="30"/>
      <c r="RM113" s="30"/>
      <c r="RN113" s="30"/>
      <c r="RO113" s="30"/>
      <c r="RP113" s="30"/>
      <c r="RQ113" s="30"/>
      <c r="RR113" s="30"/>
      <c r="RS113" s="30"/>
      <c r="RT113" s="30"/>
      <c r="RU113" s="30"/>
      <c r="RV113" s="30"/>
      <c r="RW113" s="30"/>
      <c r="RX113" s="30"/>
      <c r="RY113" s="30"/>
      <c r="RZ113" s="30"/>
      <c r="SA113" s="30"/>
      <c r="SB113" s="30"/>
      <c r="SC113" s="30"/>
      <c r="SD113" s="30"/>
      <c r="SE113" s="30"/>
      <c r="SF113" s="30"/>
      <c r="SG113" s="30"/>
      <c r="SH113" s="30"/>
      <c r="SI113" s="30"/>
      <c r="SJ113" s="30"/>
      <c r="SK113" s="30"/>
      <c r="SL113" s="30"/>
      <c r="SM113" s="30"/>
      <c r="SN113" s="30"/>
      <c r="SO113" s="30"/>
      <c r="SP113" s="30"/>
      <c r="SQ113" s="30"/>
      <c r="SR113" s="30"/>
      <c r="SS113" s="30"/>
      <c r="ST113" s="30"/>
      <c r="SU113" s="30"/>
      <c r="SV113" s="30"/>
      <c r="SW113" s="30"/>
      <c r="SX113" s="30"/>
      <c r="SY113" s="30"/>
      <c r="SZ113" s="30"/>
      <c r="TA113" s="30"/>
      <c r="TB113" s="30"/>
      <c r="TC113" s="30"/>
      <c r="TD113" s="30"/>
      <c r="TE113" s="30"/>
      <c r="TF113" s="30"/>
      <c r="TG113" s="30"/>
      <c r="TH113" s="30"/>
      <c r="TI113" s="30"/>
      <c r="TJ113" s="30"/>
      <c r="TK113" s="30"/>
      <c r="TL113" s="30"/>
      <c r="TM113" s="30"/>
      <c r="TN113" s="30"/>
      <c r="TO113" s="30"/>
      <c r="TP113" s="30"/>
      <c r="TQ113" s="30"/>
      <c r="TR113" s="30"/>
      <c r="TS113" s="30"/>
      <c r="TT113" s="30"/>
      <c r="TU113" s="30"/>
      <c r="TV113" s="30"/>
      <c r="TW113" s="30"/>
      <c r="TX113" s="30"/>
      <c r="TY113" s="30"/>
      <c r="TZ113" s="30"/>
      <c r="UA113" s="30"/>
      <c r="UB113" s="30"/>
      <c r="UC113" s="30"/>
      <c r="UD113" s="30"/>
      <c r="UE113" s="30"/>
      <c r="UF113" s="30"/>
      <c r="UG113" s="30"/>
      <c r="UH113" s="30"/>
      <c r="UI113" s="30"/>
      <c r="UJ113" s="30"/>
      <c r="UK113" s="30"/>
      <c r="UL113" s="30"/>
      <c r="UM113" s="30"/>
      <c r="UN113" s="30"/>
      <c r="UO113" s="30"/>
      <c r="UP113" s="30"/>
      <c r="UQ113" s="30"/>
      <c r="UR113" s="30"/>
      <c r="US113" s="30"/>
      <c r="UT113" s="30"/>
      <c r="UU113" s="30"/>
      <c r="UV113" s="30"/>
      <c r="UW113" s="30"/>
      <c r="UX113" s="30"/>
      <c r="UY113" s="30"/>
      <c r="UZ113" s="30"/>
      <c r="VA113" s="30"/>
      <c r="VB113" s="30"/>
      <c r="VC113" s="30"/>
      <c r="VD113" s="30"/>
      <c r="VE113" s="30"/>
      <c r="VF113" s="30"/>
      <c r="VG113" s="30"/>
      <c r="VH113" s="30"/>
      <c r="VI113" s="30"/>
      <c r="VJ113" s="30"/>
      <c r="VK113" s="30"/>
      <c r="VL113" s="30"/>
      <c r="VM113" s="30"/>
      <c r="VN113" s="30"/>
      <c r="VO113" s="30"/>
      <c r="VP113" s="30"/>
      <c r="VQ113" s="30"/>
      <c r="VR113" s="30"/>
      <c r="VS113" s="30"/>
      <c r="VT113" s="30"/>
      <c r="VU113" s="30"/>
      <c r="VV113" s="30"/>
      <c r="VW113" s="30"/>
      <c r="VX113" s="30"/>
      <c r="VY113" s="30"/>
      <c r="VZ113" s="30"/>
      <c r="WA113" s="30"/>
      <c r="WB113" s="30"/>
      <c r="WC113" s="30"/>
      <c r="WD113" s="30"/>
      <c r="WE113" s="30"/>
      <c r="WF113" s="30"/>
      <c r="WG113" s="30"/>
      <c r="WH113" s="30"/>
      <c r="WI113" s="30"/>
      <c r="WJ113" s="30"/>
      <c r="WK113" s="30"/>
      <c r="WL113" s="30"/>
      <c r="WM113" s="30"/>
      <c r="WN113" s="30"/>
      <c r="WO113" s="30"/>
      <c r="WP113" s="30"/>
      <c r="WQ113" s="30"/>
      <c r="WR113" s="30"/>
      <c r="WS113" s="30"/>
      <c r="WT113" s="30"/>
      <c r="WU113" s="30"/>
      <c r="WV113" s="30"/>
      <c r="WW113" s="30"/>
      <c r="WX113" s="30"/>
      <c r="WY113" s="30"/>
      <c r="WZ113" s="30"/>
      <c r="XA113" s="30"/>
      <c r="XB113" s="30"/>
      <c r="XC113" s="30"/>
      <c r="XD113" s="30"/>
      <c r="XE113" s="30"/>
      <c r="XF113" s="30"/>
      <c r="XG113" s="30"/>
      <c r="XH113" s="30"/>
      <c r="XI113" s="30"/>
      <c r="XJ113" s="30"/>
      <c r="XK113" s="30"/>
      <c r="XL113" s="30"/>
      <c r="XM113" s="30"/>
      <c r="XN113" s="30"/>
      <c r="XO113" s="30"/>
      <c r="XP113" s="30"/>
      <c r="XQ113" s="30"/>
      <c r="XR113" s="30"/>
      <c r="XS113" s="30"/>
      <c r="XT113" s="30"/>
      <c r="XU113" s="30"/>
      <c r="XV113" s="30"/>
      <c r="XW113" s="30"/>
      <c r="XX113" s="30"/>
      <c r="XY113" s="30"/>
      <c r="XZ113" s="30"/>
      <c r="YA113" s="30"/>
      <c r="YB113" s="30"/>
      <c r="YC113" s="30"/>
      <c r="YD113" s="30"/>
      <c r="YE113" s="30"/>
      <c r="YF113" s="30"/>
      <c r="YG113" s="30"/>
      <c r="YH113" s="30"/>
      <c r="YI113" s="30"/>
      <c r="YJ113" s="30"/>
      <c r="YK113" s="30"/>
      <c r="YL113" s="30"/>
      <c r="YM113" s="30"/>
      <c r="YN113" s="30"/>
      <c r="YO113" s="30"/>
      <c r="YP113" s="30"/>
      <c r="YQ113" s="30"/>
      <c r="YR113" s="30"/>
      <c r="YS113" s="30"/>
      <c r="YT113" s="30"/>
      <c r="YU113" s="30"/>
      <c r="YV113" s="30"/>
      <c r="YW113" s="30"/>
      <c r="YX113" s="30"/>
      <c r="YY113" s="30"/>
      <c r="YZ113" s="30"/>
      <c r="ZA113" s="30"/>
      <c r="ZB113" s="30"/>
      <c r="ZC113" s="30"/>
      <c r="ZD113" s="30"/>
      <c r="ZE113" s="30"/>
      <c r="ZF113" s="30"/>
      <c r="ZG113" s="30"/>
      <c r="ZH113" s="30"/>
      <c r="ZI113" s="30"/>
      <c r="ZJ113" s="30"/>
      <c r="ZK113" s="30"/>
      <c r="ZL113" s="30"/>
      <c r="ZM113" s="30"/>
      <c r="ZN113" s="30"/>
      <c r="ZO113" s="30"/>
      <c r="ZP113" s="30"/>
      <c r="ZQ113" s="30"/>
      <c r="ZR113" s="30"/>
      <c r="ZS113" s="30"/>
      <c r="ZT113" s="30"/>
      <c r="ZU113" s="30"/>
      <c r="ZV113" s="30"/>
      <c r="ZW113" s="30"/>
      <c r="ZX113" s="30"/>
      <c r="ZY113" s="30"/>
      <c r="ZZ113" s="30"/>
      <c r="AAA113" s="30"/>
      <c r="AAB113" s="30"/>
      <c r="AAC113" s="30"/>
      <c r="AAD113" s="30"/>
      <c r="AAE113" s="30"/>
      <c r="AAF113" s="30"/>
      <c r="AAG113" s="30"/>
      <c r="AAH113" s="30"/>
      <c r="AAI113" s="30"/>
      <c r="AAJ113" s="30"/>
      <c r="AAK113" s="30"/>
      <c r="AAL113" s="30"/>
      <c r="AAM113" s="30"/>
      <c r="AAN113" s="30"/>
      <c r="AAO113" s="30"/>
      <c r="AAP113" s="30"/>
      <c r="AAQ113" s="30"/>
      <c r="AAR113" s="30"/>
      <c r="AAS113" s="30"/>
      <c r="AAT113" s="30"/>
      <c r="AAU113" s="30"/>
      <c r="AAV113" s="30"/>
      <c r="AAW113" s="30"/>
      <c r="AAX113" s="30"/>
      <c r="AAY113" s="30"/>
      <c r="AAZ113" s="30"/>
      <c r="ABA113" s="30"/>
      <c r="ABB113" s="30"/>
      <c r="ABC113" s="30"/>
      <c r="ABD113" s="30"/>
      <c r="ABE113" s="30"/>
      <c r="ABF113" s="30"/>
      <c r="ABG113" s="30"/>
      <c r="ABH113" s="30"/>
      <c r="ABI113" s="30"/>
      <c r="ABJ113" s="30"/>
      <c r="ABK113" s="30"/>
      <c r="ABL113" s="30"/>
      <c r="ABM113" s="30"/>
      <c r="ABN113" s="30"/>
      <c r="ABO113" s="30"/>
      <c r="ABP113" s="30"/>
      <c r="ABQ113" s="30"/>
      <c r="ABR113" s="30"/>
      <c r="ABS113" s="30"/>
      <c r="ABT113" s="30"/>
      <c r="ABU113" s="30"/>
      <c r="ABV113" s="30"/>
      <c r="ABW113" s="30"/>
      <c r="ABX113" s="30"/>
      <c r="ABY113" s="30"/>
      <c r="ABZ113" s="30"/>
      <c r="ACA113" s="30"/>
      <c r="ACB113" s="30"/>
      <c r="ACC113" s="30"/>
      <c r="ACD113" s="30"/>
      <c r="ACE113" s="30"/>
      <c r="ACF113" s="30"/>
      <c r="ACG113" s="30"/>
      <c r="ACH113" s="30"/>
      <c r="ACI113" s="30"/>
      <c r="ACJ113" s="30"/>
      <c r="ACK113" s="30"/>
      <c r="ACL113" s="30"/>
      <c r="ACM113" s="30"/>
      <c r="ACN113" s="30"/>
      <c r="ACO113" s="30"/>
      <c r="ACP113" s="30"/>
      <c r="ACQ113" s="30"/>
      <c r="ACR113" s="30"/>
      <c r="ACS113" s="30"/>
      <c r="ACT113" s="30"/>
      <c r="ACU113" s="30"/>
      <c r="ACV113" s="30"/>
      <c r="ACW113" s="30"/>
      <c r="ACX113" s="30"/>
      <c r="ACY113" s="30"/>
      <c r="ACZ113" s="30"/>
      <c r="ADA113" s="30"/>
      <c r="ADB113" s="30"/>
      <c r="ADC113" s="30"/>
      <c r="ADD113" s="30"/>
      <c r="ADE113" s="30"/>
      <c r="ADF113" s="30"/>
      <c r="ADG113" s="30"/>
      <c r="ADH113" s="30"/>
      <c r="ADI113" s="30"/>
      <c r="ADJ113" s="30"/>
      <c r="ADK113" s="30"/>
      <c r="ADL113" s="30"/>
      <c r="ADM113" s="30"/>
      <c r="ADN113" s="30"/>
      <c r="ADO113" s="30"/>
      <c r="ADP113" s="30"/>
      <c r="ADQ113" s="30"/>
      <c r="ADR113" s="30"/>
      <c r="ADS113" s="30"/>
      <c r="ADT113" s="30"/>
      <c r="ADU113" s="30"/>
      <c r="ADV113" s="30"/>
      <c r="ADW113" s="30"/>
      <c r="ADX113" s="30"/>
      <c r="ADY113" s="30"/>
      <c r="ADZ113" s="30"/>
      <c r="AEA113" s="30"/>
      <c r="AEB113" s="30"/>
      <c r="AEC113" s="30"/>
      <c r="AED113" s="30"/>
      <c r="AEE113" s="30"/>
      <c r="AEF113" s="30"/>
      <c r="AEG113" s="30"/>
      <c r="AEH113" s="30"/>
      <c r="AEI113" s="30"/>
      <c r="AEJ113" s="30"/>
      <c r="AEK113" s="30"/>
      <c r="AEL113" s="30"/>
      <c r="AEM113" s="30"/>
      <c r="AEN113" s="30"/>
      <c r="AEO113" s="30"/>
      <c r="AEP113" s="30"/>
      <c r="AEQ113" s="30"/>
      <c r="AER113" s="30"/>
      <c r="AES113" s="30"/>
      <c r="AET113" s="30"/>
      <c r="AEU113" s="30"/>
      <c r="AEV113" s="30"/>
      <c r="AEW113" s="30"/>
      <c r="AEX113" s="30"/>
      <c r="AEY113" s="30"/>
      <c r="AEZ113" s="30"/>
      <c r="AFA113" s="30"/>
      <c r="AFB113" s="30"/>
      <c r="AFC113" s="30"/>
      <c r="AFD113" s="30"/>
      <c r="AFE113" s="30"/>
      <c r="AFF113" s="30"/>
      <c r="AFG113" s="30"/>
      <c r="AFH113" s="30"/>
      <c r="AFI113" s="30"/>
      <c r="AFJ113" s="30"/>
      <c r="AFK113" s="30"/>
      <c r="AFL113" s="30"/>
      <c r="AFM113" s="30"/>
      <c r="AFN113" s="30"/>
      <c r="AFO113" s="30"/>
      <c r="AFP113" s="30"/>
      <c r="AFQ113" s="30"/>
      <c r="AFR113" s="30"/>
      <c r="AFS113" s="30"/>
      <c r="AFT113" s="30"/>
      <c r="AFU113" s="30"/>
      <c r="AFV113" s="30"/>
      <c r="AFW113" s="30"/>
      <c r="AFX113" s="30"/>
      <c r="AFY113" s="30"/>
      <c r="AFZ113" s="30"/>
      <c r="AGA113" s="30"/>
      <c r="AGB113" s="30"/>
      <c r="AGC113" s="30"/>
      <c r="AGD113" s="30"/>
      <c r="AGE113" s="30"/>
      <c r="AGF113" s="30"/>
      <c r="AGG113" s="30"/>
      <c r="AGH113" s="30"/>
      <c r="AGI113" s="30"/>
      <c r="AGJ113" s="30"/>
      <c r="AGK113" s="30"/>
      <c r="AGL113" s="30"/>
      <c r="AGM113" s="30"/>
      <c r="AGN113" s="30"/>
      <c r="AGO113" s="30"/>
      <c r="AGP113" s="30"/>
      <c r="AGQ113" s="30"/>
      <c r="AGR113" s="30"/>
      <c r="AGS113" s="30"/>
      <c r="AGT113" s="30"/>
      <c r="AGU113" s="30"/>
      <c r="AGV113" s="30"/>
      <c r="AGW113" s="30"/>
      <c r="AGX113" s="30"/>
      <c r="AGY113" s="30"/>
      <c r="AGZ113" s="30"/>
      <c r="AHA113" s="30"/>
      <c r="AHB113" s="30"/>
      <c r="AHC113" s="30"/>
      <c r="AHD113" s="30"/>
      <c r="AHE113" s="30"/>
      <c r="AHF113" s="30"/>
      <c r="AHG113" s="30"/>
      <c r="AHH113" s="30"/>
      <c r="AHI113" s="30"/>
      <c r="AHJ113" s="30"/>
      <c r="AHK113" s="30"/>
      <c r="AHL113" s="30"/>
      <c r="AHM113" s="30"/>
      <c r="AHN113" s="30"/>
      <c r="AHO113" s="30"/>
      <c r="AHP113" s="30"/>
      <c r="AHQ113" s="30"/>
      <c r="AHR113" s="30"/>
      <c r="AHS113" s="30"/>
      <c r="AHT113" s="30"/>
      <c r="AHU113" s="30"/>
      <c r="AHV113" s="30"/>
      <c r="AHW113" s="30"/>
      <c r="AHX113" s="30"/>
      <c r="AHY113" s="30"/>
      <c r="AHZ113" s="30"/>
      <c r="AIA113" s="30"/>
      <c r="AIB113" s="30"/>
      <c r="AIC113" s="30"/>
      <c r="AID113" s="30"/>
      <c r="AIE113" s="30"/>
      <c r="AIF113" s="30"/>
      <c r="AIG113" s="30"/>
      <c r="AIH113" s="30"/>
      <c r="AII113" s="30"/>
      <c r="AIJ113" s="30"/>
      <c r="AIK113" s="30"/>
      <c r="AIL113" s="30"/>
      <c r="AIM113" s="30"/>
      <c r="AIN113" s="30"/>
      <c r="AIO113" s="30"/>
      <c r="AIP113" s="30"/>
      <c r="AIQ113" s="30"/>
      <c r="AIR113" s="30"/>
      <c r="AIS113" s="30"/>
      <c r="AIT113" s="30"/>
      <c r="AIU113" s="30"/>
      <c r="AIV113" s="30"/>
      <c r="AIW113" s="30"/>
      <c r="AIX113" s="30"/>
      <c r="AIY113" s="30"/>
      <c r="AIZ113" s="30"/>
      <c r="AJA113" s="30"/>
      <c r="AJB113" s="30"/>
      <c r="AJC113" s="30"/>
      <c r="AJD113" s="30"/>
      <c r="AJE113" s="30"/>
      <c r="AJF113" s="30"/>
      <c r="AJG113" s="30"/>
      <c r="AJH113" s="30"/>
      <c r="AJI113" s="30"/>
      <c r="AJJ113" s="30"/>
      <c r="AJK113" s="30"/>
      <c r="AJL113" s="30"/>
      <c r="AJM113" s="30"/>
      <c r="AJN113" s="30"/>
      <c r="AJO113" s="30"/>
      <c r="AJP113" s="30"/>
      <c r="AJQ113" s="30"/>
      <c r="AJR113" s="30"/>
      <c r="AJS113" s="30"/>
      <c r="AJT113" s="30"/>
      <c r="AJU113" s="30"/>
      <c r="AJV113" s="30"/>
      <c r="AJW113" s="30"/>
      <c r="AJX113" s="30"/>
      <c r="AJY113" s="30"/>
      <c r="AJZ113" s="30"/>
      <c r="AKA113" s="30"/>
      <c r="AKB113" s="30"/>
      <c r="AKC113" s="30"/>
      <c r="AKD113" s="30"/>
      <c r="AKE113" s="30"/>
      <c r="AKF113" s="30"/>
      <c r="AKG113" s="30"/>
      <c r="AKH113" s="30"/>
      <c r="AKI113" s="30"/>
      <c r="AKJ113" s="30"/>
      <c r="AKK113" s="30"/>
      <c r="AKL113" s="30"/>
      <c r="AKM113" s="30"/>
      <c r="AKN113" s="30"/>
      <c r="AKO113" s="30"/>
      <c r="AKP113" s="30"/>
      <c r="AKQ113" s="30"/>
      <c r="AKR113" s="30"/>
      <c r="AKS113" s="30"/>
      <c r="AKT113" s="30"/>
      <c r="AKU113" s="30"/>
      <c r="AKV113" s="30"/>
      <c r="AKW113" s="30"/>
      <c r="AKX113" s="30"/>
      <c r="AKY113" s="30"/>
      <c r="AKZ113" s="30"/>
      <c r="ALA113" s="30"/>
      <c r="ALB113" s="30"/>
      <c r="ALC113" s="30"/>
      <c r="ALD113" s="30"/>
      <c r="ALE113" s="30"/>
      <c r="ALF113" s="30"/>
      <c r="ALG113" s="30"/>
      <c r="ALH113" s="30"/>
      <c r="ALI113" s="30"/>
      <c r="ALJ113" s="30"/>
      <c r="ALK113" s="30"/>
      <c r="ALL113" s="30"/>
      <c r="ALM113" s="30"/>
      <c r="ALN113" s="30"/>
      <c r="ALO113" s="30"/>
      <c r="ALP113" s="30"/>
      <c r="ALQ113" s="30"/>
      <c r="ALR113" s="30"/>
      <c r="ALS113" s="30"/>
      <c r="ALT113" s="30"/>
      <c r="ALU113" s="30"/>
      <c r="ALV113" s="30"/>
      <c r="ALW113" s="30"/>
      <c r="ALX113" s="30"/>
      <c r="ALY113" s="30"/>
      <c r="ALZ113" s="30"/>
      <c r="AMA113" s="30"/>
      <c r="AMB113" s="30"/>
      <c r="AMC113" s="30"/>
      <c r="AMD113" s="30"/>
      <c r="AME113" s="30"/>
      <c r="AMF113" s="30"/>
      <c r="AMG113" s="30"/>
      <c r="AMH113" s="30"/>
      <c r="AMI113" s="30"/>
      <c r="AMJ113" s="30"/>
      <c r="AMK113" s="30"/>
      <c r="AML113" s="30"/>
      <c r="AMM113" s="30"/>
      <c r="AMN113" s="30"/>
      <c r="AMO113" s="30"/>
      <c r="AMP113" s="30"/>
      <c r="AMQ113" s="30"/>
      <c r="AMR113" s="30"/>
      <c r="AMS113" s="30"/>
      <c r="AMT113" s="30"/>
      <c r="AMU113" s="30"/>
      <c r="AMV113" s="30"/>
      <c r="AMW113" s="30"/>
      <c r="AMX113" s="30"/>
      <c r="AMY113" s="30"/>
      <c r="AMZ113" s="30"/>
      <c r="ANA113" s="30"/>
      <c r="ANB113" s="30"/>
      <c r="ANC113" s="30"/>
      <c r="AND113" s="30"/>
      <c r="ANE113" s="30"/>
      <c r="ANF113" s="30"/>
      <c r="ANG113" s="30"/>
      <c r="ANH113" s="30"/>
      <c r="ANI113" s="30"/>
      <c r="ANJ113" s="30"/>
      <c r="ANK113" s="30"/>
      <c r="ANL113" s="30"/>
      <c r="ANM113" s="30"/>
      <c r="ANN113" s="30"/>
      <c r="ANO113" s="30"/>
      <c r="ANP113" s="30"/>
      <c r="ANQ113" s="30"/>
      <c r="ANR113" s="30"/>
      <c r="ANS113" s="30"/>
      <c r="ANT113" s="30"/>
      <c r="ANU113" s="30"/>
      <c r="ANV113" s="30"/>
      <c r="ANW113" s="30"/>
      <c r="ANX113" s="30"/>
      <c r="ANY113" s="30"/>
      <c r="ANZ113" s="30"/>
      <c r="AOA113" s="30"/>
      <c r="AOB113" s="30"/>
      <c r="AOC113" s="30"/>
      <c r="AOD113" s="30"/>
      <c r="AOE113" s="30"/>
      <c r="AOF113" s="30"/>
      <c r="AOG113" s="30"/>
      <c r="AOH113" s="30"/>
      <c r="AOI113" s="30"/>
      <c r="AOJ113" s="30"/>
      <c r="AOK113" s="30"/>
      <c r="AOL113" s="30"/>
      <c r="AOM113" s="30"/>
      <c r="AON113" s="30"/>
      <c r="AOO113" s="30"/>
      <c r="AOP113" s="30"/>
      <c r="AOQ113" s="30"/>
      <c r="AOR113" s="30"/>
      <c r="AOS113" s="30"/>
      <c r="AOT113" s="30"/>
      <c r="AOU113" s="30"/>
      <c r="AOV113" s="30"/>
      <c r="AOW113" s="30"/>
      <c r="AOX113" s="30"/>
      <c r="AOY113" s="30"/>
      <c r="AOZ113" s="30"/>
      <c r="APA113" s="30"/>
      <c r="APB113" s="30"/>
      <c r="APC113" s="30"/>
      <c r="APD113" s="30"/>
      <c r="APE113" s="30"/>
      <c r="APF113" s="30"/>
      <c r="APG113" s="30"/>
      <c r="APH113" s="30"/>
      <c r="API113" s="30"/>
      <c r="APJ113" s="30"/>
      <c r="APK113" s="30"/>
      <c r="APL113" s="30"/>
      <c r="APM113" s="30"/>
      <c r="APN113" s="30"/>
      <c r="APO113" s="30"/>
      <c r="APP113" s="30"/>
      <c r="APQ113" s="30"/>
      <c r="APR113" s="30"/>
      <c r="APS113" s="30"/>
      <c r="APT113" s="30"/>
      <c r="APU113" s="30"/>
      <c r="APV113" s="30"/>
      <c r="APW113" s="30"/>
      <c r="APX113" s="30"/>
      <c r="APY113" s="30"/>
      <c r="APZ113" s="30"/>
      <c r="AQA113" s="30"/>
      <c r="AQB113" s="30"/>
      <c r="AQC113" s="30"/>
      <c r="AQD113" s="30"/>
      <c r="AQE113" s="30"/>
      <c r="AQF113" s="30"/>
      <c r="AQG113" s="30"/>
      <c r="AQH113" s="30"/>
      <c r="AQI113" s="30"/>
      <c r="AQJ113" s="30"/>
      <c r="AQK113" s="30"/>
      <c r="AQL113" s="30"/>
      <c r="AQM113" s="30"/>
      <c r="AQN113" s="30"/>
      <c r="AQO113" s="30"/>
      <c r="AQP113" s="30"/>
      <c r="AQQ113" s="30"/>
      <c r="AQR113" s="30"/>
      <c r="AQS113" s="30"/>
      <c r="AQT113" s="30"/>
      <c r="AQU113" s="30"/>
      <c r="AQV113" s="30"/>
      <c r="AQW113" s="30"/>
      <c r="AQX113" s="30"/>
      <c r="AQY113" s="30"/>
      <c r="AQZ113" s="30"/>
      <c r="ARA113" s="30"/>
      <c r="ARB113" s="30"/>
      <c r="ARC113" s="30"/>
      <c r="ARD113" s="30"/>
      <c r="ARE113" s="30"/>
      <c r="ARF113" s="30"/>
      <c r="ARG113" s="30"/>
      <c r="ARH113" s="30"/>
      <c r="ARI113" s="30"/>
      <c r="ARJ113" s="30"/>
      <c r="ARK113" s="30"/>
      <c r="ARL113" s="30"/>
      <c r="ARM113" s="30"/>
      <c r="ARN113" s="30"/>
      <c r="ARO113" s="30"/>
      <c r="ARP113" s="30"/>
      <c r="ARQ113" s="30"/>
      <c r="ARR113" s="30"/>
      <c r="ARS113" s="30"/>
      <c r="ART113" s="30"/>
      <c r="ARU113" s="30"/>
      <c r="ARV113" s="30"/>
      <c r="ARW113" s="30"/>
      <c r="ARX113" s="30"/>
      <c r="ARY113" s="30"/>
      <c r="ARZ113" s="30"/>
      <c r="ASA113" s="30"/>
      <c r="ASB113" s="30"/>
      <c r="ASC113" s="30"/>
      <c r="ASD113" s="30"/>
      <c r="ASE113" s="30"/>
      <c r="ASF113" s="30"/>
      <c r="ASG113" s="30"/>
      <c r="ASH113" s="30"/>
      <c r="ASI113" s="30"/>
      <c r="ASJ113" s="30"/>
      <c r="ASK113" s="30"/>
      <c r="ASL113" s="30"/>
      <c r="ASM113" s="30"/>
      <c r="ASN113" s="30"/>
      <c r="ASO113" s="30"/>
      <c r="ASP113" s="30"/>
      <c r="ASQ113" s="30"/>
      <c r="ASR113" s="30"/>
      <c r="ASS113" s="30"/>
      <c r="AST113" s="30"/>
      <c r="ASU113" s="30"/>
      <c r="ASV113" s="30"/>
      <c r="ASW113" s="30"/>
      <c r="ASX113" s="30"/>
      <c r="ASY113" s="30"/>
      <c r="ASZ113" s="30"/>
      <c r="ATA113" s="30"/>
      <c r="ATB113" s="30"/>
      <c r="ATC113" s="30"/>
      <c r="ATD113" s="30"/>
      <c r="ATE113" s="30"/>
      <c r="ATF113" s="30"/>
      <c r="ATG113" s="30"/>
      <c r="ATH113" s="30"/>
      <c r="ATI113" s="30"/>
      <c r="ATJ113" s="30"/>
      <c r="ATK113" s="30"/>
      <c r="ATL113" s="30"/>
      <c r="ATM113" s="30"/>
      <c r="ATN113" s="30"/>
      <c r="ATO113" s="30"/>
      <c r="ATP113" s="30"/>
      <c r="ATQ113" s="30"/>
      <c r="ATR113" s="30"/>
      <c r="ATS113" s="30"/>
      <c r="ATT113" s="30"/>
      <c r="ATU113" s="30"/>
      <c r="ATV113" s="30"/>
      <c r="ATW113" s="30"/>
      <c r="ATX113" s="30"/>
      <c r="ATY113" s="30"/>
      <c r="ATZ113" s="30"/>
      <c r="AUA113" s="30"/>
      <c r="AUB113" s="30"/>
      <c r="AUC113" s="30"/>
      <c r="AUD113" s="30"/>
      <c r="AUE113" s="30"/>
      <c r="AUF113" s="30"/>
      <c r="AUG113" s="30"/>
      <c r="AUH113" s="30"/>
      <c r="AUI113" s="30"/>
      <c r="AUJ113" s="30"/>
      <c r="AUK113" s="30"/>
      <c r="AUL113" s="30"/>
      <c r="AUM113" s="30"/>
      <c r="AUN113" s="30"/>
      <c r="AUO113" s="30"/>
      <c r="AUP113" s="30"/>
      <c r="AUQ113" s="30"/>
      <c r="AUR113" s="30"/>
      <c r="AUS113" s="30"/>
      <c r="AUT113" s="30"/>
      <c r="AUU113" s="30"/>
      <c r="AUV113" s="30"/>
      <c r="AUW113" s="30"/>
      <c r="AUX113" s="30"/>
      <c r="AUY113" s="30"/>
      <c r="AUZ113" s="30"/>
      <c r="AVA113" s="30"/>
      <c r="AVB113" s="30"/>
      <c r="AVC113" s="30"/>
      <c r="AVD113" s="30"/>
      <c r="AVE113" s="30"/>
      <c r="AVF113" s="30"/>
      <c r="AVG113" s="30"/>
      <c r="AVH113" s="30"/>
      <c r="AVI113" s="30"/>
      <c r="AVJ113" s="30"/>
      <c r="AVK113" s="30"/>
      <c r="AVL113" s="30"/>
      <c r="AVM113" s="30"/>
      <c r="AVN113" s="30"/>
      <c r="AVO113" s="30"/>
      <c r="AVP113" s="30"/>
      <c r="AVQ113" s="30"/>
      <c r="AVR113" s="30"/>
      <c r="AVS113" s="30"/>
      <c r="AVT113" s="30"/>
      <c r="AVU113" s="30"/>
      <c r="AVV113" s="30"/>
      <c r="AVW113" s="30"/>
      <c r="AVX113" s="30"/>
      <c r="AVY113" s="30"/>
      <c r="AVZ113" s="30"/>
      <c r="AWA113" s="30"/>
      <c r="AWB113" s="30"/>
      <c r="AWC113" s="30"/>
      <c r="AWD113" s="30"/>
      <c r="AWE113" s="30"/>
      <c r="AWF113" s="30"/>
      <c r="AWG113" s="30"/>
      <c r="AWH113" s="30"/>
      <c r="AWI113" s="30"/>
      <c r="AWJ113" s="30"/>
      <c r="AWK113" s="30"/>
      <c r="AWL113" s="30"/>
      <c r="AWM113" s="30"/>
      <c r="AWN113" s="30"/>
      <c r="AWO113" s="30"/>
      <c r="AWP113" s="30"/>
      <c r="AWQ113" s="30"/>
      <c r="AWR113" s="30"/>
      <c r="AWS113" s="30"/>
      <c r="AWT113" s="30"/>
      <c r="AWU113" s="30"/>
      <c r="AWV113" s="30"/>
      <c r="AWW113" s="30"/>
      <c r="AWX113" s="30"/>
      <c r="AWY113" s="30"/>
      <c r="AWZ113" s="30"/>
      <c r="AXA113" s="30"/>
      <c r="AXB113" s="30"/>
      <c r="AXC113" s="30"/>
      <c r="AXD113" s="30"/>
      <c r="AXE113" s="30"/>
      <c r="AXF113" s="30"/>
      <c r="AXG113" s="30"/>
      <c r="AXH113" s="30"/>
      <c r="AXI113" s="30"/>
      <c r="AXJ113" s="30"/>
      <c r="AXK113" s="30"/>
      <c r="AXL113" s="30"/>
      <c r="AXM113" s="30"/>
      <c r="AXN113" s="30"/>
      <c r="AXO113" s="30"/>
      <c r="AXP113" s="30"/>
      <c r="AXQ113" s="30"/>
      <c r="AXR113" s="30"/>
      <c r="AXS113" s="30"/>
      <c r="AXT113" s="30"/>
      <c r="AXU113" s="30"/>
      <c r="AXV113" s="30"/>
      <c r="AXW113" s="30"/>
      <c r="AXX113" s="30"/>
      <c r="AXY113" s="30"/>
      <c r="AXZ113" s="30"/>
      <c r="AYA113" s="30"/>
      <c r="AYB113" s="30"/>
      <c r="AYC113" s="30"/>
      <c r="AYD113" s="30"/>
      <c r="AYE113" s="30"/>
      <c r="AYF113" s="30"/>
      <c r="AYG113" s="30"/>
      <c r="AYH113" s="30"/>
      <c r="AYI113" s="30"/>
      <c r="AYJ113" s="30"/>
      <c r="AYK113" s="30"/>
      <c r="AYL113" s="30"/>
      <c r="AYM113" s="30"/>
      <c r="AYN113" s="30"/>
      <c r="AYO113" s="30"/>
      <c r="AYP113" s="30"/>
      <c r="AYQ113" s="30"/>
      <c r="AYR113" s="30"/>
      <c r="AYS113" s="30"/>
      <c r="AYT113" s="30"/>
      <c r="AYU113" s="30"/>
      <c r="AYV113" s="30"/>
      <c r="AYW113" s="30"/>
      <c r="AYX113" s="30"/>
      <c r="AYY113" s="30"/>
      <c r="AYZ113" s="30"/>
      <c r="AZA113" s="30"/>
      <c r="AZB113" s="30"/>
      <c r="AZC113" s="30"/>
      <c r="AZD113" s="30"/>
      <c r="AZE113" s="30"/>
      <c r="AZF113" s="30"/>
      <c r="AZG113" s="30"/>
      <c r="AZH113" s="30"/>
      <c r="AZI113" s="30"/>
      <c r="AZJ113" s="30"/>
      <c r="AZK113" s="30"/>
      <c r="AZL113" s="30"/>
      <c r="AZM113" s="30"/>
      <c r="AZN113" s="30"/>
      <c r="AZO113" s="30"/>
      <c r="AZP113" s="30"/>
      <c r="AZQ113" s="30"/>
      <c r="AZR113" s="30"/>
      <c r="AZS113" s="30"/>
      <c r="AZT113" s="30"/>
      <c r="AZU113" s="30"/>
      <c r="AZV113" s="30"/>
      <c r="AZW113" s="30"/>
      <c r="AZX113" s="30"/>
      <c r="AZY113" s="30"/>
      <c r="AZZ113" s="30"/>
      <c r="BAA113" s="30"/>
      <c r="BAB113" s="30"/>
      <c r="BAC113" s="30"/>
      <c r="BAD113" s="30"/>
      <c r="BAE113" s="30"/>
      <c r="BAF113" s="30"/>
      <c r="BAG113" s="30"/>
      <c r="BAH113" s="30"/>
      <c r="BAI113" s="30"/>
      <c r="BAJ113" s="30"/>
      <c r="BAK113" s="30"/>
      <c r="BAL113" s="30"/>
      <c r="BAM113" s="30"/>
      <c r="BAN113" s="30"/>
      <c r="BAO113" s="30"/>
      <c r="BAP113" s="30"/>
      <c r="BAQ113" s="30"/>
      <c r="BAR113" s="30"/>
      <c r="BAS113" s="30"/>
      <c r="BAT113" s="30"/>
      <c r="BAU113" s="30"/>
      <c r="BAV113" s="30"/>
      <c r="BAW113" s="30"/>
      <c r="BAX113" s="30"/>
      <c r="BAY113" s="30"/>
      <c r="BAZ113" s="30"/>
      <c r="BBA113" s="30"/>
      <c r="BBB113" s="30"/>
      <c r="BBC113" s="30"/>
      <c r="BBD113" s="30"/>
      <c r="BBE113" s="30"/>
      <c r="BBF113" s="30"/>
      <c r="BBG113" s="30"/>
      <c r="BBH113" s="30"/>
      <c r="BBI113" s="30"/>
      <c r="BBJ113" s="30"/>
      <c r="BBK113" s="30"/>
      <c r="BBL113" s="30"/>
      <c r="BBM113" s="30"/>
      <c r="BBN113" s="30"/>
      <c r="BBO113" s="30"/>
      <c r="BBP113" s="30"/>
      <c r="BBQ113" s="30"/>
      <c r="BBR113" s="30"/>
      <c r="BBS113" s="30"/>
      <c r="BBT113" s="30"/>
      <c r="BBU113" s="30"/>
      <c r="BBV113" s="30"/>
      <c r="BBW113" s="30"/>
      <c r="BBX113" s="30"/>
      <c r="BBY113" s="30"/>
      <c r="BBZ113" s="30"/>
      <c r="BCA113" s="30"/>
      <c r="BCB113" s="30"/>
      <c r="BCC113" s="30"/>
      <c r="BCD113" s="30"/>
      <c r="BCE113" s="30"/>
      <c r="BCF113" s="30"/>
      <c r="BCG113" s="30"/>
      <c r="BCH113" s="30"/>
      <c r="BCI113" s="30"/>
      <c r="BCJ113" s="30"/>
      <c r="BCK113" s="30"/>
      <c r="BCL113" s="30"/>
      <c r="BCM113" s="30"/>
      <c r="BCN113" s="30"/>
      <c r="BCO113" s="30"/>
      <c r="BCP113" s="30"/>
      <c r="BCQ113" s="30"/>
      <c r="BCR113" s="30"/>
      <c r="BCS113" s="30"/>
      <c r="BCT113" s="30"/>
      <c r="BCU113" s="30"/>
      <c r="BCV113" s="30"/>
      <c r="BCW113" s="30"/>
      <c r="BCX113" s="30"/>
      <c r="BCY113" s="30"/>
      <c r="BCZ113" s="30"/>
      <c r="BDA113" s="30"/>
      <c r="BDB113" s="30"/>
      <c r="BDC113" s="30"/>
      <c r="BDD113" s="30"/>
      <c r="BDE113" s="30"/>
      <c r="BDF113" s="30"/>
      <c r="BDG113" s="30"/>
      <c r="BDH113" s="30"/>
      <c r="BDI113" s="30"/>
      <c r="BDJ113" s="30"/>
      <c r="BDK113" s="30"/>
      <c r="BDL113" s="30"/>
      <c r="BDM113" s="30"/>
      <c r="BDN113" s="30"/>
      <c r="BDO113" s="30"/>
      <c r="BDP113" s="30"/>
      <c r="BDQ113" s="30"/>
      <c r="BDR113" s="30"/>
      <c r="BDS113" s="30"/>
      <c r="BDT113" s="30"/>
      <c r="BDU113" s="30"/>
      <c r="BDV113" s="30"/>
      <c r="BDW113" s="30"/>
      <c r="BDX113" s="30"/>
      <c r="BDY113" s="30"/>
      <c r="BDZ113" s="30"/>
      <c r="BEA113" s="30"/>
      <c r="BEB113" s="30"/>
      <c r="BEC113" s="30"/>
      <c r="BED113" s="30"/>
      <c r="BEE113" s="30"/>
      <c r="BEF113" s="30"/>
      <c r="BEG113" s="30"/>
      <c r="BEH113" s="30"/>
      <c r="BEI113" s="30"/>
      <c r="BEJ113" s="30"/>
      <c r="BEK113" s="30"/>
      <c r="BEL113" s="30"/>
      <c r="BEM113" s="30"/>
      <c r="BEN113" s="30"/>
      <c r="BEO113" s="30"/>
      <c r="BEP113" s="30"/>
      <c r="BEQ113" s="30"/>
      <c r="BER113" s="30"/>
      <c r="BES113" s="30"/>
      <c r="BET113" s="30"/>
      <c r="BEU113" s="30"/>
      <c r="BEV113" s="30"/>
      <c r="BEW113" s="30"/>
      <c r="BEX113" s="30"/>
      <c r="BEY113" s="30"/>
      <c r="BEZ113" s="30"/>
      <c r="BFA113" s="30"/>
      <c r="BFB113" s="30"/>
      <c r="BFC113" s="30"/>
      <c r="BFD113" s="30"/>
      <c r="BFE113" s="30"/>
      <c r="BFF113" s="30"/>
      <c r="BFG113" s="30"/>
      <c r="BFH113" s="30"/>
      <c r="BFI113" s="30"/>
      <c r="BFJ113" s="30"/>
      <c r="BFK113" s="30"/>
      <c r="BFL113" s="30"/>
      <c r="BFM113" s="30"/>
      <c r="BFN113" s="30"/>
      <c r="BFO113" s="30"/>
      <c r="BFP113" s="30"/>
      <c r="BFQ113" s="30"/>
      <c r="BFR113" s="30"/>
      <c r="BFS113" s="30"/>
      <c r="BFT113" s="30"/>
      <c r="BFU113" s="30"/>
      <c r="BFV113" s="30"/>
      <c r="BFW113" s="30"/>
      <c r="BFX113" s="30"/>
      <c r="BFY113" s="30"/>
      <c r="BFZ113" s="30"/>
      <c r="BGA113" s="30"/>
      <c r="BGB113" s="30"/>
      <c r="BGC113" s="30"/>
      <c r="BGD113" s="30"/>
      <c r="BGE113" s="30"/>
      <c r="BGF113" s="30"/>
      <c r="BGG113" s="30"/>
      <c r="BGH113" s="30"/>
      <c r="BGI113" s="30"/>
      <c r="BGJ113" s="30"/>
      <c r="BGK113" s="30"/>
      <c r="BGL113" s="30"/>
      <c r="BGM113" s="30"/>
      <c r="BGN113" s="30"/>
      <c r="BGO113" s="30"/>
      <c r="BGP113" s="30"/>
      <c r="BGQ113" s="30"/>
      <c r="BGR113" s="30"/>
      <c r="BGS113" s="30"/>
      <c r="BGT113" s="30"/>
      <c r="BGU113" s="30"/>
      <c r="BGV113" s="30"/>
      <c r="BGW113" s="30"/>
      <c r="BGX113" s="30"/>
      <c r="BGY113" s="30"/>
      <c r="BGZ113" s="30"/>
      <c r="BHA113" s="30"/>
      <c r="BHB113" s="30"/>
      <c r="BHC113" s="30"/>
      <c r="BHD113" s="30"/>
      <c r="BHE113" s="30"/>
      <c r="BHF113" s="30"/>
      <c r="BHG113" s="30"/>
      <c r="BHH113" s="30"/>
      <c r="BHI113" s="30"/>
      <c r="BHJ113" s="30"/>
      <c r="BHK113" s="30"/>
      <c r="BHL113" s="30"/>
      <c r="BHM113" s="30"/>
      <c r="BHN113" s="30"/>
      <c r="BHO113" s="30"/>
      <c r="BHP113" s="30"/>
      <c r="BHQ113" s="30"/>
      <c r="BHR113" s="30"/>
      <c r="BHS113" s="30"/>
      <c r="BHT113" s="30"/>
      <c r="BHU113" s="30"/>
      <c r="BHV113" s="30"/>
      <c r="BHW113" s="30"/>
      <c r="BHX113" s="30"/>
      <c r="BHY113" s="30"/>
      <c r="BHZ113" s="30"/>
      <c r="BIA113" s="30"/>
      <c r="BIB113" s="30"/>
      <c r="BIC113" s="30"/>
      <c r="BID113" s="30"/>
      <c r="BIE113" s="30"/>
      <c r="BIF113" s="30"/>
      <c r="BIG113" s="30"/>
      <c r="BIH113" s="30"/>
      <c r="BII113" s="30"/>
      <c r="BIJ113" s="30"/>
      <c r="BIK113" s="30"/>
      <c r="BIL113" s="30"/>
      <c r="BIM113" s="30"/>
      <c r="BIN113" s="30"/>
      <c r="BIO113" s="30"/>
      <c r="BIP113" s="30"/>
      <c r="BIQ113" s="30"/>
      <c r="BIR113" s="30"/>
      <c r="BIS113" s="30"/>
      <c r="BIT113" s="30"/>
      <c r="BIU113" s="30"/>
      <c r="BIV113" s="30"/>
      <c r="BIW113" s="30"/>
      <c r="BIX113" s="30"/>
      <c r="BIY113" s="30"/>
      <c r="BIZ113" s="30"/>
      <c r="BJA113" s="30"/>
      <c r="BJB113" s="30"/>
      <c r="BJC113" s="30"/>
      <c r="BJD113" s="30"/>
      <c r="BJE113" s="30"/>
      <c r="BJF113" s="30"/>
      <c r="BJG113" s="30"/>
      <c r="BJH113" s="30"/>
      <c r="BJI113" s="30"/>
      <c r="BJJ113" s="30"/>
      <c r="BJK113" s="30"/>
      <c r="BJL113" s="30"/>
      <c r="BJM113" s="30"/>
      <c r="BJN113" s="30"/>
      <c r="BJO113" s="30"/>
      <c r="BJP113" s="30"/>
      <c r="BJQ113" s="30"/>
      <c r="BJR113" s="30"/>
      <c r="BJS113" s="30"/>
      <c r="BJT113" s="30"/>
      <c r="BJU113" s="30"/>
      <c r="BJV113" s="30"/>
      <c r="BJW113" s="30"/>
      <c r="BJX113" s="30"/>
      <c r="BJY113" s="30"/>
      <c r="BJZ113" s="30"/>
      <c r="BKA113" s="30"/>
      <c r="BKB113" s="30"/>
      <c r="BKC113" s="30"/>
      <c r="BKD113" s="30"/>
      <c r="BKE113" s="30"/>
      <c r="BKF113" s="30"/>
      <c r="BKG113" s="30"/>
      <c r="BKH113" s="30"/>
      <c r="BKI113" s="30"/>
      <c r="BKJ113" s="30"/>
      <c r="BKK113" s="30"/>
      <c r="BKL113" s="30"/>
      <c r="BKM113" s="30"/>
      <c r="BKN113" s="30"/>
      <c r="BKO113" s="30"/>
      <c r="BKP113" s="30"/>
      <c r="BKQ113" s="30"/>
      <c r="BKR113" s="30"/>
      <c r="BKS113" s="30"/>
      <c r="BKT113" s="30"/>
      <c r="BKU113" s="30"/>
      <c r="BKV113" s="30"/>
      <c r="BKW113" s="30"/>
      <c r="BKX113" s="30"/>
      <c r="BKY113" s="30"/>
      <c r="BKZ113" s="30"/>
      <c r="BLA113" s="30"/>
      <c r="BLB113" s="30"/>
      <c r="BLC113" s="30"/>
      <c r="BLD113" s="30"/>
      <c r="BLE113" s="30"/>
      <c r="BLF113" s="30"/>
      <c r="BLG113" s="30"/>
      <c r="BLH113" s="30"/>
      <c r="BLI113" s="30"/>
      <c r="BLJ113" s="30"/>
      <c r="BLK113" s="30"/>
      <c r="BLL113" s="30"/>
      <c r="BLM113" s="30"/>
      <c r="BLN113" s="30"/>
      <c r="BLO113" s="30"/>
      <c r="BLP113" s="30"/>
      <c r="BLQ113" s="30"/>
      <c r="BLR113" s="30"/>
      <c r="BLS113" s="30"/>
      <c r="BLT113" s="30"/>
      <c r="BLU113" s="30"/>
      <c r="BLV113" s="30"/>
      <c r="BLW113" s="30"/>
      <c r="BLX113" s="30"/>
      <c r="BLY113" s="30"/>
      <c r="BLZ113" s="30"/>
      <c r="BMA113" s="30"/>
      <c r="BMB113" s="30"/>
      <c r="BMC113" s="30"/>
      <c r="BMD113" s="30"/>
      <c r="BME113" s="30"/>
      <c r="BMF113" s="30"/>
      <c r="BMG113" s="30"/>
      <c r="BMH113" s="30"/>
      <c r="BMI113" s="30"/>
      <c r="BMJ113" s="30"/>
      <c r="BMK113" s="30"/>
      <c r="BML113" s="30"/>
      <c r="BMM113" s="30"/>
      <c r="BMN113" s="30"/>
      <c r="BMO113" s="30"/>
      <c r="BMP113" s="30"/>
      <c r="BMQ113" s="30"/>
      <c r="BMR113" s="30"/>
      <c r="BMS113" s="30"/>
      <c r="BMT113" s="30"/>
      <c r="BMU113" s="30"/>
      <c r="BMV113" s="30"/>
      <c r="BMW113" s="30"/>
      <c r="BMX113" s="30"/>
      <c r="BMY113" s="30"/>
      <c r="BMZ113" s="30"/>
      <c r="BNA113" s="30"/>
      <c r="BNB113" s="30"/>
      <c r="BNC113" s="30"/>
      <c r="BND113" s="30"/>
      <c r="BNE113" s="30"/>
      <c r="BNF113" s="30"/>
      <c r="BNG113" s="30"/>
      <c r="BNH113" s="30"/>
      <c r="BNI113" s="30"/>
      <c r="BNJ113" s="30"/>
      <c r="BNK113" s="30"/>
      <c r="BNL113" s="30"/>
      <c r="BNM113" s="30"/>
      <c r="BNN113" s="30"/>
      <c r="BNO113" s="30"/>
      <c r="BNP113" s="30"/>
      <c r="BNQ113" s="30"/>
      <c r="BNR113" s="30"/>
      <c r="BNS113" s="30"/>
      <c r="BNT113" s="30"/>
      <c r="BNU113" s="30"/>
      <c r="BNV113" s="30"/>
      <c r="BNW113" s="30"/>
      <c r="BNX113" s="30"/>
      <c r="BNY113" s="30"/>
      <c r="BNZ113" s="30"/>
      <c r="BOA113" s="30"/>
      <c r="BOB113" s="30"/>
      <c r="BOC113" s="30"/>
      <c r="BOD113" s="30"/>
      <c r="BOE113" s="30"/>
      <c r="BOF113" s="30"/>
      <c r="BOG113" s="30"/>
      <c r="BOH113" s="30"/>
      <c r="BOI113" s="30"/>
      <c r="BOJ113" s="30"/>
      <c r="BOK113" s="30"/>
      <c r="BOL113" s="30"/>
      <c r="BOM113" s="30"/>
      <c r="BON113" s="30"/>
      <c r="BOO113" s="30"/>
      <c r="BOP113" s="30"/>
      <c r="BOQ113" s="30"/>
      <c r="BOR113" s="30"/>
      <c r="BOS113" s="30"/>
      <c r="BOT113" s="30"/>
      <c r="BOU113" s="30"/>
      <c r="BOV113" s="30"/>
      <c r="BOW113" s="30"/>
      <c r="BOX113" s="30"/>
      <c r="BOY113" s="30"/>
      <c r="BOZ113" s="30"/>
      <c r="BPA113" s="30"/>
      <c r="BPB113" s="30"/>
      <c r="BPC113" s="30"/>
      <c r="BPD113" s="30"/>
      <c r="BPE113" s="30"/>
      <c r="BPF113" s="30"/>
      <c r="BPG113" s="30"/>
      <c r="BPH113" s="30"/>
      <c r="BPI113" s="30"/>
      <c r="BPJ113" s="30"/>
      <c r="BPK113" s="30"/>
      <c r="BPL113" s="30"/>
      <c r="BPM113" s="30"/>
      <c r="BPN113" s="30"/>
      <c r="BPO113" s="30"/>
      <c r="BPP113" s="30"/>
      <c r="BPQ113" s="30"/>
      <c r="BPR113" s="30"/>
      <c r="BPS113" s="30"/>
      <c r="BPT113" s="30"/>
      <c r="BPU113" s="30"/>
      <c r="BPV113" s="30"/>
      <c r="BPW113" s="30"/>
      <c r="BPX113" s="30"/>
      <c r="BPY113" s="30"/>
      <c r="BPZ113" s="30"/>
      <c r="BQA113" s="30"/>
      <c r="BQB113" s="30"/>
      <c r="BQC113" s="30"/>
      <c r="BQD113" s="30"/>
      <c r="BQE113" s="30"/>
      <c r="BQF113" s="30"/>
      <c r="BQG113" s="30"/>
      <c r="BQH113" s="30"/>
      <c r="BQI113" s="30"/>
      <c r="BQJ113" s="30"/>
      <c r="BQK113" s="30"/>
      <c r="BQL113" s="30"/>
      <c r="BQM113" s="30"/>
      <c r="BQN113" s="30"/>
      <c r="BQO113" s="30"/>
      <c r="BQP113" s="30"/>
      <c r="BQQ113" s="30"/>
      <c r="BQR113" s="30"/>
      <c r="BQS113" s="30"/>
      <c r="BQT113" s="30"/>
      <c r="BQU113" s="30"/>
      <c r="BQV113" s="30"/>
      <c r="BQW113" s="30"/>
      <c r="BQX113" s="30"/>
      <c r="BQY113" s="30"/>
      <c r="BQZ113" s="30"/>
      <c r="BRA113" s="30"/>
      <c r="BRB113" s="30"/>
      <c r="BRC113" s="30"/>
      <c r="BRD113" s="30"/>
      <c r="BRE113" s="30"/>
      <c r="BRF113" s="30"/>
      <c r="BRG113" s="30"/>
      <c r="BRH113" s="30"/>
      <c r="BRI113" s="30"/>
      <c r="BRJ113" s="30"/>
      <c r="BRK113" s="30"/>
      <c r="BRL113" s="30"/>
      <c r="BRM113" s="30"/>
      <c r="BRN113" s="30"/>
      <c r="BRO113" s="30"/>
      <c r="BRP113" s="30"/>
      <c r="BRQ113" s="30"/>
      <c r="BRR113" s="30"/>
      <c r="BRS113" s="30"/>
      <c r="BRT113" s="30"/>
      <c r="BRU113" s="30"/>
      <c r="BRV113" s="30"/>
      <c r="BRW113" s="30"/>
      <c r="BRX113" s="30"/>
      <c r="BRY113" s="30"/>
      <c r="BRZ113" s="30"/>
      <c r="BSA113" s="30"/>
      <c r="BSB113" s="30"/>
      <c r="BSC113" s="30"/>
      <c r="BSD113" s="30"/>
      <c r="BSE113" s="30"/>
      <c r="BSF113" s="30"/>
      <c r="BSG113" s="30"/>
      <c r="BSH113" s="30"/>
      <c r="BSI113" s="30"/>
      <c r="BSJ113" s="30"/>
      <c r="BSK113" s="30"/>
      <c r="BSL113" s="30"/>
      <c r="BSM113" s="30"/>
      <c r="BSN113" s="30"/>
      <c r="BSO113" s="30"/>
      <c r="BSP113" s="30"/>
      <c r="BSQ113" s="30"/>
      <c r="BSR113" s="30"/>
      <c r="BSS113" s="30"/>
      <c r="BST113" s="30"/>
      <c r="BSU113" s="30"/>
      <c r="BSV113" s="30"/>
      <c r="BSW113" s="30"/>
      <c r="BSX113" s="30"/>
      <c r="BSY113" s="30"/>
      <c r="BSZ113" s="30"/>
      <c r="BTA113" s="30"/>
      <c r="BTB113" s="30"/>
      <c r="BTC113" s="30"/>
      <c r="BTD113" s="30"/>
      <c r="BTE113" s="30"/>
      <c r="BTF113" s="30"/>
      <c r="BTG113" s="30"/>
      <c r="BTH113" s="30"/>
      <c r="BTI113" s="30"/>
      <c r="BTJ113" s="30"/>
      <c r="BTK113" s="30"/>
      <c r="BTL113" s="30"/>
      <c r="BTM113" s="30"/>
      <c r="BTN113" s="30"/>
      <c r="BTO113" s="30"/>
      <c r="BTP113" s="30"/>
      <c r="BTQ113" s="30"/>
      <c r="BTR113" s="30"/>
      <c r="BTS113" s="30"/>
      <c r="BTT113" s="30"/>
      <c r="BTU113" s="30"/>
      <c r="BTV113" s="30"/>
      <c r="BTW113" s="30"/>
      <c r="BTX113" s="30"/>
      <c r="BTY113" s="30"/>
      <c r="BTZ113" s="30"/>
      <c r="BUA113" s="30"/>
      <c r="BUB113" s="30"/>
      <c r="BUC113" s="30"/>
      <c r="BUD113" s="30"/>
      <c r="BUE113" s="30"/>
      <c r="BUF113" s="30"/>
      <c r="BUG113" s="30"/>
      <c r="BUH113" s="30"/>
      <c r="BUI113" s="30"/>
      <c r="BUJ113" s="30"/>
      <c r="BUK113" s="30"/>
      <c r="BUL113" s="30"/>
      <c r="BUM113" s="30"/>
      <c r="BUN113" s="30"/>
      <c r="BUO113" s="30"/>
      <c r="BUP113" s="30"/>
      <c r="BUQ113" s="30"/>
      <c r="BUR113" s="30"/>
      <c r="BUS113" s="30"/>
      <c r="BUT113" s="30"/>
      <c r="BUU113" s="30"/>
      <c r="BUV113" s="30"/>
      <c r="BUW113" s="30"/>
      <c r="BUX113" s="30"/>
      <c r="BUY113" s="30"/>
      <c r="BUZ113" s="30"/>
      <c r="BVA113" s="30"/>
      <c r="BVB113" s="30"/>
      <c r="BVC113" s="30"/>
      <c r="BVD113" s="30"/>
      <c r="BVE113" s="30"/>
      <c r="BVF113" s="30"/>
      <c r="BVG113" s="30"/>
      <c r="BVH113" s="30"/>
      <c r="BVI113" s="30"/>
      <c r="BVJ113" s="30"/>
      <c r="BVK113" s="30"/>
      <c r="BVL113" s="30"/>
      <c r="BVM113" s="30"/>
      <c r="BVN113" s="30"/>
      <c r="BVO113" s="30"/>
      <c r="BVP113" s="30"/>
      <c r="BVQ113" s="30"/>
      <c r="BVR113" s="30"/>
      <c r="BVS113" s="30"/>
      <c r="BVT113" s="30"/>
      <c r="BVU113" s="30"/>
      <c r="BVV113" s="30"/>
      <c r="BVW113" s="30"/>
      <c r="BVX113" s="30"/>
      <c r="BVY113" s="30"/>
      <c r="BVZ113" s="30"/>
      <c r="BWA113" s="30"/>
      <c r="BWB113" s="30"/>
      <c r="BWC113" s="30"/>
      <c r="BWD113" s="30"/>
      <c r="BWE113" s="30"/>
      <c r="BWF113" s="30"/>
      <c r="BWG113" s="30"/>
      <c r="BWH113" s="30"/>
      <c r="BWI113" s="30"/>
      <c r="BWJ113" s="30"/>
      <c r="BWK113" s="30"/>
      <c r="BWL113" s="30"/>
      <c r="BWM113" s="30"/>
      <c r="BWN113" s="30"/>
      <c r="BWO113" s="30"/>
      <c r="BWP113" s="30"/>
      <c r="BWQ113" s="30"/>
      <c r="BWR113" s="30"/>
      <c r="BWS113" s="30"/>
      <c r="BWT113" s="30"/>
      <c r="BWU113" s="30"/>
      <c r="BWV113" s="30"/>
      <c r="BWW113" s="30"/>
      <c r="BWX113" s="30"/>
      <c r="BWY113" s="30"/>
      <c r="BWZ113" s="30"/>
      <c r="BXA113" s="30"/>
      <c r="BXB113" s="30"/>
      <c r="BXC113" s="30"/>
      <c r="BXD113" s="30"/>
      <c r="BXE113" s="30"/>
      <c r="BXF113" s="30"/>
      <c r="BXG113" s="30"/>
      <c r="BXH113" s="30"/>
      <c r="BXI113" s="30"/>
      <c r="BXJ113" s="30"/>
      <c r="BXK113" s="30"/>
      <c r="BXL113" s="30"/>
      <c r="BXM113" s="30"/>
      <c r="BXN113" s="30"/>
      <c r="BXO113" s="30"/>
      <c r="BXP113" s="30"/>
      <c r="BXQ113" s="30"/>
      <c r="BXR113" s="30"/>
      <c r="BXS113" s="30"/>
      <c r="BXT113" s="30"/>
      <c r="BXU113" s="30"/>
      <c r="BXV113" s="30"/>
      <c r="BXW113" s="30"/>
      <c r="BXX113" s="30"/>
      <c r="BXY113" s="30"/>
      <c r="BXZ113" s="30"/>
      <c r="BYA113" s="30"/>
      <c r="BYB113" s="30"/>
      <c r="BYC113" s="30"/>
      <c r="BYD113" s="30"/>
      <c r="BYE113" s="30"/>
      <c r="BYF113" s="30"/>
      <c r="BYG113" s="30"/>
      <c r="BYH113" s="30"/>
      <c r="BYI113" s="30"/>
      <c r="BYJ113" s="30"/>
      <c r="BYK113" s="30"/>
      <c r="BYL113" s="30"/>
      <c r="BYM113" s="30"/>
      <c r="BYN113" s="30"/>
      <c r="BYO113" s="30"/>
      <c r="BYP113" s="30"/>
      <c r="BYQ113" s="30"/>
      <c r="BYR113" s="30"/>
      <c r="BYS113" s="30"/>
      <c r="BYT113" s="30"/>
      <c r="BYU113" s="30"/>
      <c r="BYV113" s="30"/>
      <c r="BYW113" s="30"/>
      <c r="BYX113" s="30"/>
      <c r="BYY113" s="30"/>
      <c r="BYZ113" s="30"/>
      <c r="BZA113" s="30"/>
      <c r="BZB113" s="30"/>
      <c r="BZC113" s="30"/>
      <c r="BZD113" s="30"/>
      <c r="BZE113" s="30"/>
      <c r="BZF113" s="30"/>
      <c r="BZG113" s="30"/>
      <c r="BZH113" s="30"/>
      <c r="BZI113" s="30"/>
      <c r="BZJ113" s="30"/>
      <c r="BZK113" s="30"/>
      <c r="BZL113" s="30"/>
      <c r="BZM113" s="30"/>
      <c r="BZN113" s="30"/>
      <c r="BZO113" s="30"/>
      <c r="BZP113" s="30"/>
      <c r="BZQ113" s="30"/>
      <c r="BZR113" s="30"/>
      <c r="BZS113" s="30"/>
      <c r="BZT113" s="30"/>
      <c r="BZU113" s="30"/>
      <c r="BZV113" s="30"/>
      <c r="BZW113" s="30"/>
      <c r="BZX113" s="30"/>
      <c r="BZY113" s="30"/>
      <c r="BZZ113" s="30"/>
      <c r="CAA113" s="30"/>
      <c r="CAB113" s="30"/>
      <c r="CAC113" s="30"/>
      <c r="CAD113" s="30"/>
      <c r="CAE113" s="30"/>
      <c r="CAF113" s="30"/>
      <c r="CAG113" s="30"/>
      <c r="CAH113" s="30"/>
      <c r="CAI113" s="30"/>
      <c r="CAJ113" s="30"/>
      <c r="CAK113" s="30"/>
      <c r="CAL113" s="30"/>
      <c r="CAM113" s="30"/>
      <c r="CAN113" s="30"/>
      <c r="CAO113" s="30"/>
      <c r="CAP113" s="30"/>
      <c r="CAQ113" s="30"/>
      <c r="CAR113" s="30"/>
      <c r="CAS113" s="30"/>
      <c r="CAT113" s="30"/>
      <c r="CAU113" s="30"/>
      <c r="CAV113" s="30"/>
      <c r="CAW113" s="30"/>
      <c r="CAX113" s="30"/>
      <c r="CAY113" s="30"/>
      <c r="CAZ113" s="30"/>
      <c r="CBA113" s="30"/>
      <c r="CBB113" s="30"/>
      <c r="CBC113" s="30"/>
      <c r="CBD113" s="30"/>
      <c r="CBE113" s="30"/>
      <c r="CBF113" s="30"/>
      <c r="CBG113" s="30"/>
      <c r="CBH113" s="30"/>
      <c r="CBI113" s="30"/>
      <c r="CBJ113" s="30"/>
      <c r="CBK113" s="30"/>
      <c r="CBL113" s="30"/>
      <c r="CBM113" s="30"/>
      <c r="CBN113" s="30"/>
      <c r="CBO113" s="30"/>
      <c r="CBP113" s="30"/>
      <c r="CBQ113" s="30"/>
      <c r="CBR113" s="30"/>
      <c r="CBS113" s="30"/>
      <c r="CBT113" s="30"/>
      <c r="CBU113" s="30"/>
      <c r="CBV113" s="30"/>
      <c r="CBW113" s="30"/>
      <c r="CBX113" s="30"/>
      <c r="CBY113" s="30"/>
      <c r="CBZ113" s="30"/>
      <c r="CCA113" s="30"/>
      <c r="CCB113" s="30"/>
      <c r="CCC113" s="30"/>
      <c r="CCD113" s="30"/>
      <c r="CCE113" s="30"/>
      <c r="CCF113" s="30"/>
      <c r="CCG113" s="30"/>
      <c r="CCH113" s="30"/>
      <c r="CCI113" s="30"/>
      <c r="CCJ113" s="30"/>
      <c r="CCK113" s="30"/>
      <c r="CCL113" s="30"/>
      <c r="CCM113" s="30"/>
      <c r="CCN113" s="30"/>
      <c r="CCO113" s="30"/>
      <c r="CCP113" s="30"/>
      <c r="CCQ113" s="30"/>
      <c r="CCR113" s="30"/>
      <c r="CCS113" s="30"/>
      <c r="CCT113" s="30"/>
      <c r="CCU113" s="30"/>
      <c r="CCV113" s="30"/>
      <c r="CCW113" s="30"/>
      <c r="CCX113" s="30"/>
      <c r="CCY113" s="30"/>
      <c r="CCZ113" s="30"/>
      <c r="CDA113" s="30"/>
      <c r="CDB113" s="30"/>
      <c r="CDC113" s="30"/>
      <c r="CDD113" s="30"/>
      <c r="CDE113" s="30"/>
      <c r="CDF113" s="30"/>
      <c r="CDG113" s="30"/>
      <c r="CDH113" s="30"/>
      <c r="CDI113" s="30"/>
      <c r="CDJ113" s="30"/>
      <c r="CDK113" s="30"/>
      <c r="CDL113" s="30"/>
      <c r="CDM113" s="30"/>
      <c r="CDN113" s="30"/>
      <c r="CDO113" s="30"/>
      <c r="CDP113" s="30"/>
      <c r="CDQ113" s="30"/>
      <c r="CDR113" s="30"/>
      <c r="CDS113" s="30"/>
      <c r="CDT113" s="30"/>
      <c r="CDU113" s="30"/>
      <c r="CDV113" s="30"/>
      <c r="CDW113" s="30"/>
      <c r="CDX113" s="30"/>
      <c r="CDY113" s="30"/>
      <c r="CDZ113" s="30"/>
      <c r="CEA113" s="30"/>
      <c r="CEB113" s="30"/>
      <c r="CEC113" s="30"/>
      <c r="CED113" s="30"/>
      <c r="CEE113" s="30"/>
      <c r="CEF113" s="30"/>
      <c r="CEG113" s="30"/>
      <c r="CEH113" s="30"/>
      <c r="CEI113" s="30"/>
      <c r="CEJ113" s="30"/>
      <c r="CEK113" s="30"/>
      <c r="CEL113" s="30"/>
      <c r="CEM113" s="30"/>
      <c r="CEN113" s="30"/>
      <c r="CEO113" s="30"/>
      <c r="CEP113" s="30"/>
      <c r="CEQ113" s="30"/>
      <c r="CER113" s="30"/>
      <c r="CES113" s="30"/>
      <c r="CET113" s="30"/>
      <c r="CEU113" s="30"/>
      <c r="CEV113" s="30"/>
      <c r="CEW113" s="30"/>
      <c r="CEX113" s="30"/>
      <c r="CEY113" s="30"/>
      <c r="CEZ113" s="30"/>
      <c r="CFA113" s="30"/>
      <c r="CFB113" s="30"/>
      <c r="CFC113" s="30"/>
      <c r="CFD113" s="30"/>
      <c r="CFE113" s="30"/>
      <c r="CFF113" s="30"/>
      <c r="CFG113" s="30"/>
      <c r="CFH113" s="30"/>
      <c r="CFI113" s="30"/>
      <c r="CFJ113" s="30"/>
      <c r="CFK113" s="30"/>
      <c r="CFL113" s="30"/>
      <c r="CFM113" s="30"/>
      <c r="CFN113" s="30"/>
      <c r="CFO113" s="30"/>
      <c r="CFP113" s="30"/>
      <c r="CFQ113" s="30"/>
      <c r="CFR113" s="30"/>
      <c r="CFS113" s="30"/>
      <c r="CFT113" s="30"/>
      <c r="CFU113" s="30"/>
      <c r="CFV113" s="30"/>
      <c r="CFW113" s="30"/>
      <c r="CFX113" s="30"/>
      <c r="CFY113" s="30"/>
      <c r="CFZ113" s="30"/>
      <c r="CGA113" s="30"/>
      <c r="CGB113" s="30"/>
      <c r="CGC113" s="30"/>
      <c r="CGD113" s="30"/>
      <c r="CGE113" s="30"/>
      <c r="CGF113" s="30"/>
      <c r="CGG113" s="30"/>
      <c r="CGH113" s="30"/>
      <c r="CGI113" s="30"/>
      <c r="CGJ113" s="30"/>
      <c r="CGK113" s="30"/>
      <c r="CGL113" s="30"/>
      <c r="CGM113" s="30"/>
      <c r="CGN113" s="30"/>
      <c r="CGO113" s="30"/>
      <c r="CGP113" s="30"/>
      <c r="CGQ113" s="30"/>
      <c r="CGR113" s="30"/>
      <c r="CGS113" s="30"/>
      <c r="CGT113" s="30"/>
      <c r="CGU113" s="30"/>
      <c r="CGV113" s="30"/>
      <c r="CGW113" s="30"/>
      <c r="CGX113" s="30"/>
      <c r="CGY113" s="30"/>
      <c r="CGZ113" s="30"/>
      <c r="CHA113" s="30"/>
      <c r="CHB113" s="30"/>
      <c r="CHC113" s="30"/>
      <c r="CHD113" s="30"/>
      <c r="CHE113" s="30"/>
      <c r="CHF113" s="30"/>
      <c r="CHG113" s="30"/>
      <c r="CHH113" s="30"/>
      <c r="CHI113" s="30"/>
      <c r="CHJ113" s="30"/>
      <c r="CHK113" s="30"/>
      <c r="CHL113" s="30"/>
      <c r="CHM113" s="30"/>
      <c r="CHN113" s="30"/>
      <c r="CHO113" s="30"/>
      <c r="CHP113" s="30"/>
      <c r="CHQ113" s="30"/>
      <c r="CHR113" s="30"/>
      <c r="CHS113" s="30"/>
      <c r="CHT113" s="30"/>
      <c r="CHU113" s="30"/>
      <c r="CHV113" s="30"/>
      <c r="CHW113" s="30"/>
      <c r="CHX113" s="30"/>
      <c r="CHY113" s="30"/>
      <c r="CHZ113" s="30"/>
      <c r="CIA113" s="30"/>
      <c r="CIB113" s="30"/>
      <c r="CIC113" s="30"/>
      <c r="CID113" s="30"/>
      <c r="CIE113" s="30"/>
      <c r="CIF113" s="30"/>
      <c r="CIG113" s="30"/>
      <c r="CIH113" s="30"/>
      <c r="CII113" s="30"/>
      <c r="CIJ113" s="30"/>
      <c r="CIK113" s="30"/>
      <c r="CIL113" s="30"/>
      <c r="CIM113" s="30"/>
      <c r="CIN113" s="30"/>
      <c r="CIO113" s="30"/>
      <c r="CIP113" s="30"/>
      <c r="CIQ113" s="30"/>
      <c r="CIR113" s="30"/>
      <c r="CIS113" s="30"/>
      <c r="CIT113" s="30"/>
      <c r="CIU113" s="30"/>
      <c r="CIV113" s="30"/>
      <c r="CIW113" s="30"/>
      <c r="CIX113" s="30"/>
      <c r="CIY113" s="30"/>
      <c r="CIZ113" s="30"/>
      <c r="CJA113" s="30"/>
      <c r="CJB113" s="30"/>
      <c r="CJC113" s="30"/>
      <c r="CJD113" s="30"/>
      <c r="CJE113" s="30"/>
      <c r="CJF113" s="30"/>
      <c r="CJG113" s="30"/>
      <c r="CJH113" s="30"/>
      <c r="CJI113" s="30"/>
      <c r="CJJ113" s="30"/>
      <c r="CJK113" s="30"/>
      <c r="CJL113" s="30"/>
      <c r="CJM113" s="30"/>
      <c r="CJN113" s="30"/>
      <c r="CJO113" s="30"/>
      <c r="CJP113" s="30"/>
      <c r="CJQ113" s="30"/>
      <c r="CJR113" s="30"/>
      <c r="CJS113" s="30"/>
      <c r="CJT113" s="30"/>
      <c r="CJU113" s="30"/>
      <c r="CJV113" s="30"/>
      <c r="CJW113" s="30"/>
      <c r="CJX113" s="30"/>
      <c r="CJY113" s="30"/>
      <c r="CJZ113" s="30"/>
      <c r="CKA113" s="30"/>
      <c r="CKB113" s="30"/>
      <c r="CKC113" s="30"/>
      <c r="CKD113" s="30"/>
      <c r="CKE113" s="30"/>
      <c r="CKF113" s="30"/>
      <c r="CKG113" s="30"/>
      <c r="CKH113" s="30"/>
      <c r="CKI113" s="30"/>
      <c r="CKJ113" s="30"/>
      <c r="CKK113" s="30"/>
      <c r="CKL113" s="30"/>
      <c r="CKM113" s="30"/>
      <c r="CKN113" s="30"/>
      <c r="CKO113" s="30"/>
      <c r="CKP113" s="30"/>
      <c r="CKQ113" s="30"/>
      <c r="CKR113" s="30"/>
      <c r="CKS113" s="30"/>
      <c r="CKT113" s="30"/>
      <c r="CKU113" s="30"/>
      <c r="CKV113" s="30"/>
      <c r="CKW113" s="30"/>
      <c r="CKX113" s="30"/>
      <c r="CKY113" s="30"/>
      <c r="CKZ113" s="30"/>
      <c r="CLA113" s="30"/>
      <c r="CLB113" s="30"/>
      <c r="CLC113" s="30"/>
      <c r="CLD113" s="30"/>
      <c r="CLE113" s="30"/>
      <c r="CLF113" s="30"/>
      <c r="CLG113" s="30"/>
      <c r="CLH113" s="30"/>
      <c r="CLI113" s="30"/>
      <c r="CLJ113" s="30"/>
      <c r="CLK113" s="30"/>
      <c r="CLL113" s="30"/>
      <c r="CLM113" s="30"/>
      <c r="CLN113" s="30"/>
      <c r="CLO113" s="30"/>
      <c r="CLP113" s="30"/>
      <c r="CLQ113" s="30"/>
      <c r="CLR113" s="30"/>
      <c r="CLS113" s="30"/>
      <c r="CLT113" s="30"/>
      <c r="CLU113" s="30"/>
      <c r="CLV113" s="30"/>
      <c r="CLW113" s="30"/>
      <c r="CLX113" s="30"/>
      <c r="CLY113" s="30"/>
      <c r="CLZ113" s="30"/>
      <c r="CMA113" s="30"/>
      <c r="CMB113" s="30"/>
      <c r="CMC113" s="30"/>
      <c r="CMD113" s="30"/>
      <c r="CME113" s="30"/>
      <c r="CMF113" s="30"/>
      <c r="CMG113" s="30"/>
      <c r="CMH113" s="30"/>
      <c r="CMI113" s="30"/>
      <c r="CMJ113" s="30"/>
      <c r="CMK113" s="30"/>
      <c r="CML113" s="30"/>
      <c r="CMM113" s="30"/>
      <c r="CMN113" s="30"/>
      <c r="CMO113" s="30"/>
      <c r="CMP113" s="30"/>
      <c r="CMQ113" s="30"/>
      <c r="CMR113" s="30"/>
      <c r="CMS113" s="30"/>
      <c r="CMT113" s="30"/>
      <c r="CMU113" s="30"/>
      <c r="CMV113" s="30"/>
      <c r="CMW113" s="30"/>
      <c r="CMX113" s="30"/>
      <c r="CMY113" s="30"/>
      <c r="CMZ113" s="30"/>
      <c r="CNA113" s="30"/>
      <c r="CNB113" s="30"/>
      <c r="CNC113" s="30"/>
      <c r="CND113" s="30"/>
      <c r="CNE113" s="30"/>
      <c r="CNF113" s="30"/>
      <c r="CNG113" s="30"/>
      <c r="CNH113" s="30"/>
      <c r="CNI113" s="30"/>
      <c r="CNJ113" s="30"/>
      <c r="CNK113" s="30"/>
      <c r="CNL113" s="30"/>
      <c r="CNM113" s="30"/>
      <c r="CNN113" s="30"/>
      <c r="CNO113" s="30"/>
      <c r="CNP113" s="30"/>
      <c r="CNQ113" s="30"/>
      <c r="CNR113" s="30"/>
      <c r="CNS113" s="30"/>
      <c r="CNT113" s="30"/>
      <c r="CNU113" s="30"/>
      <c r="CNV113" s="30"/>
      <c r="CNW113" s="30"/>
      <c r="CNX113" s="30"/>
      <c r="CNY113" s="30"/>
      <c r="CNZ113" s="30"/>
      <c r="COA113" s="30"/>
      <c r="COB113" s="30"/>
      <c r="COC113" s="30"/>
      <c r="COD113" s="30"/>
      <c r="COE113" s="30"/>
      <c r="COF113" s="30"/>
      <c r="COG113" s="30"/>
      <c r="COH113" s="30"/>
      <c r="COI113" s="30"/>
      <c r="COJ113" s="30"/>
      <c r="COK113" s="30"/>
      <c r="COL113" s="30"/>
      <c r="COM113" s="30"/>
      <c r="CON113" s="30"/>
      <c r="COO113" s="30"/>
      <c r="COP113" s="30"/>
      <c r="COQ113" s="30"/>
      <c r="COR113" s="30"/>
      <c r="COS113" s="30"/>
      <c r="COT113" s="30"/>
      <c r="COU113" s="30"/>
      <c r="COV113" s="30"/>
      <c r="COW113" s="30"/>
      <c r="COX113" s="30"/>
      <c r="COY113" s="30"/>
      <c r="COZ113" s="30"/>
      <c r="CPA113" s="30"/>
      <c r="CPB113" s="30"/>
      <c r="CPC113" s="30"/>
      <c r="CPD113" s="30"/>
      <c r="CPE113" s="30"/>
      <c r="CPF113" s="30"/>
      <c r="CPG113" s="30"/>
      <c r="CPH113" s="30"/>
      <c r="CPI113" s="30"/>
      <c r="CPJ113" s="30"/>
      <c r="CPK113" s="30"/>
      <c r="CPL113" s="30"/>
      <c r="CPM113" s="30"/>
      <c r="CPN113" s="30"/>
      <c r="CPO113" s="30"/>
      <c r="CPP113" s="30"/>
      <c r="CPQ113" s="30"/>
      <c r="CPR113" s="30"/>
      <c r="CPS113" s="30"/>
      <c r="CPT113" s="30"/>
      <c r="CPU113" s="30"/>
      <c r="CPV113" s="30"/>
      <c r="CPW113" s="30"/>
      <c r="CPX113" s="30"/>
      <c r="CPY113" s="30"/>
      <c r="CPZ113" s="30"/>
      <c r="CQA113" s="30"/>
      <c r="CQB113" s="30"/>
      <c r="CQC113" s="30"/>
      <c r="CQD113" s="30"/>
      <c r="CQE113" s="30"/>
      <c r="CQF113" s="30"/>
      <c r="CQG113" s="30"/>
      <c r="CQH113" s="30"/>
      <c r="CQI113" s="30"/>
      <c r="CQJ113" s="30"/>
      <c r="CQK113" s="30"/>
      <c r="CQL113" s="30"/>
      <c r="CQM113" s="30"/>
      <c r="CQN113" s="30"/>
      <c r="CQO113" s="30"/>
      <c r="CQP113" s="30"/>
      <c r="CQQ113" s="30"/>
      <c r="CQR113" s="30"/>
      <c r="CQS113" s="30"/>
      <c r="CQT113" s="30"/>
      <c r="CQU113" s="30"/>
      <c r="CQV113" s="30"/>
      <c r="CQW113" s="30"/>
      <c r="CQX113" s="30"/>
      <c r="CQY113" s="30"/>
      <c r="CQZ113" s="30"/>
      <c r="CRA113" s="30"/>
      <c r="CRB113" s="30"/>
      <c r="CRC113" s="30"/>
      <c r="CRD113" s="30"/>
      <c r="CRE113" s="30"/>
      <c r="CRF113" s="30"/>
      <c r="CRG113" s="30"/>
      <c r="CRH113" s="30"/>
      <c r="CRI113" s="30"/>
      <c r="CRJ113" s="30"/>
      <c r="CRK113" s="30"/>
      <c r="CRL113" s="30"/>
      <c r="CRM113" s="30"/>
      <c r="CRN113" s="30"/>
      <c r="CRO113" s="30"/>
      <c r="CRP113" s="30"/>
      <c r="CRQ113" s="30"/>
      <c r="CRR113" s="30"/>
      <c r="CRS113" s="30"/>
      <c r="CRT113" s="30"/>
      <c r="CRU113" s="30"/>
      <c r="CRV113" s="30"/>
      <c r="CRW113" s="30"/>
      <c r="CRX113" s="30"/>
      <c r="CRY113" s="30"/>
      <c r="CRZ113" s="30"/>
      <c r="CSA113" s="30"/>
      <c r="CSB113" s="30"/>
      <c r="CSC113" s="30"/>
      <c r="CSD113" s="30"/>
      <c r="CSE113" s="30"/>
      <c r="CSF113" s="30"/>
      <c r="CSG113" s="30"/>
      <c r="CSH113" s="30"/>
      <c r="CSI113" s="30"/>
      <c r="CSJ113" s="30"/>
      <c r="CSK113" s="30"/>
      <c r="CSL113" s="30"/>
      <c r="CSM113" s="30"/>
      <c r="CSN113" s="30"/>
      <c r="CSO113" s="30"/>
      <c r="CSP113" s="30"/>
      <c r="CSQ113" s="30"/>
      <c r="CSR113" s="30"/>
      <c r="CSS113" s="30"/>
      <c r="CST113" s="30"/>
      <c r="CSU113" s="30"/>
      <c r="CSV113" s="30"/>
      <c r="CSW113" s="30"/>
      <c r="CSX113" s="30"/>
      <c r="CSY113" s="30"/>
      <c r="CSZ113" s="30"/>
      <c r="CTA113" s="30"/>
      <c r="CTB113" s="30"/>
      <c r="CTC113" s="30"/>
      <c r="CTD113" s="30"/>
      <c r="CTE113" s="30"/>
      <c r="CTF113" s="30"/>
      <c r="CTG113" s="30"/>
      <c r="CTH113" s="30"/>
      <c r="CTI113" s="30"/>
      <c r="CTJ113" s="30"/>
      <c r="CTK113" s="30"/>
      <c r="CTL113" s="30"/>
      <c r="CTM113" s="30"/>
      <c r="CTN113" s="30"/>
      <c r="CTO113" s="30"/>
      <c r="CTP113" s="30"/>
      <c r="CTQ113" s="30"/>
      <c r="CTR113" s="30"/>
      <c r="CTS113" s="30"/>
      <c r="CTT113" s="30"/>
      <c r="CTU113" s="30"/>
      <c r="CTV113" s="30"/>
      <c r="CTW113" s="30"/>
      <c r="CTX113" s="30"/>
      <c r="CTY113" s="30"/>
      <c r="CTZ113" s="30"/>
      <c r="CUA113" s="30"/>
    </row>
    <row r="114" s="267" customFormat="1" ht="27" customHeight="1" spans="1:2575">
      <c r="A114" s="268">
        <v>120</v>
      </c>
      <c r="B114" s="268" t="s">
        <v>15</v>
      </c>
      <c r="C114" s="268" t="s">
        <v>37</v>
      </c>
      <c r="D114" s="311" t="s">
        <v>675</v>
      </c>
      <c r="E114" s="29" t="s">
        <v>936</v>
      </c>
      <c r="F114" s="259"/>
      <c r="G114" s="144" t="s">
        <v>937</v>
      </c>
      <c r="H114" s="312" t="s">
        <v>938</v>
      </c>
      <c r="I114" s="278"/>
      <c r="J114" s="144"/>
      <c r="K114" s="140"/>
      <c r="L114" s="144" t="s">
        <v>939</v>
      </c>
      <c r="M114" s="29" t="s">
        <v>674</v>
      </c>
      <c r="N114" s="94">
        <v>45818</v>
      </c>
      <c r="O114" s="94">
        <v>46182</v>
      </c>
      <c r="P114" s="142">
        <v>2600</v>
      </c>
      <c r="Q114" s="251"/>
      <c r="R114" s="118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30"/>
      <c r="GT114" s="30"/>
      <c r="GU114" s="30"/>
      <c r="GV114" s="30"/>
      <c r="GW114" s="30"/>
      <c r="GX114" s="30"/>
      <c r="GY114" s="30"/>
      <c r="GZ114" s="30"/>
      <c r="HA114" s="30"/>
      <c r="HB114" s="30"/>
      <c r="HC114" s="30"/>
      <c r="HD114" s="30"/>
      <c r="HE114" s="30"/>
      <c r="HF114" s="30"/>
      <c r="HG114" s="30"/>
      <c r="HH114" s="30"/>
      <c r="HI114" s="30"/>
      <c r="HJ114" s="30"/>
      <c r="HK114" s="30"/>
      <c r="HL114" s="30"/>
      <c r="HM114" s="30"/>
      <c r="HN114" s="30"/>
      <c r="HO114" s="30"/>
      <c r="HP114" s="30"/>
      <c r="HQ114" s="30"/>
      <c r="HR114" s="30"/>
      <c r="HS114" s="30"/>
      <c r="HT114" s="30"/>
      <c r="HU114" s="30"/>
      <c r="HV114" s="30"/>
      <c r="HW114" s="30"/>
      <c r="HX114" s="30"/>
      <c r="HY114" s="30"/>
      <c r="HZ114" s="30"/>
      <c r="IA114" s="30"/>
      <c r="IB114" s="30"/>
      <c r="IC114" s="30"/>
      <c r="ID114" s="30"/>
      <c r="IE114" s="30"/>
      <c r="IF114" s="30"/>
      <c r="IG114" s="30"/>
      <c r="IH114" s="30"/>
      <c r="II114" s="30"/>
      <c r="IJ114" s="30"/>
      <c r="IK114" s="30"/>
      <c r="IL114" s="30"/>
      <c r="IM114" s="30"/>
      <c r="IN114" s="30"/>
      <c r="IO114" s="30"/>
      <c r="IP114" s="30"/>
      <c r="IQ114" s="30"/>
      <c r="IR114" s="30"/>
      <c r="IS114" s="30"/>
      <c r="IT114" s="30"/>
      <c r="IU114" s="30"/>
      <c r="IV114" s="30"/>
      <c r="IW114" s="30"/>
      <c r="IX114" s="30"/>
      <c r="IY114" s="30"/>
      <c r="IZ114" s="30"/>
      <c r="JA114" s="30"/>
      <c r="JB114" s="30"/>
      <c r="JC114" s="30"/>
      <c r="JD114" s="30"/>
      <c r="JE114" s="30"/>
      <c r="JF114" s="30"/>
      <c r="JG114" s="30"/>
      <c r="JH114" s="30"/>
      <c r="JI114" s="30"/>
      <c r="JJ114" s="30"/>
      <c r="JK114" s="30"/>
      <c r="JL114" s="30"/>
      <c r="JM114" s="30"/>
      <c r="JN114" s="30"/>
      <c r="JO114" s="30"/>
      <c r="JP114" s="30"/>
      <c r="JQ114" s="30"/>
      <c r="JR114" s="30"/>
      <c r="JS114" s="30"/>
      <c r="JT114" s="30"/>
      <c r="JU114" s="30"/>
      <c r="JV114" s="30"/>
      <c r="JW114" s="30"/>
      <c r="JX114" s="30"/>
      <c r="JY114" s="30"/>
      <c r="JZ114" s="30"/>
      <c r="KA114" s="30"/>
      <c r="KB114" s="30"/>
      <c r="KC114" s="30"/>
      <c r="KD114" s="30"/>
      <c r="KE114" s="30"/>
      <c r="KF114" s="30"/>
      <c r="KG114" s="30"/>
      <c r="KH114" s="30"/>
      <c r="KI114" s="30"/>
      <c r="KJ114" s="30"/>
      <c r="KK114" s="30"/>
      <c r="KL114" s="30"/>
      <c r="KM114" s="30"/>
      <c r="KN114" s="30"/>
      <c r="KO114" s="30"/>
      <c r="KP114" s="30"/>
      <c r="KQ114" s="30"/>
      <c r="KR114" s="30"/>
      <c r="KS114" s="30"/>
      <c r="KT114" s="30"/>
      <c r="KU114" s="30"/>
      <c r="KV114" s="30"/>
      <c r="KW114" s="30"/>
      <c r="KX114" s="30"/>
      <c r="KY114" s="30"/>
      <c r="KZ114" s="30"/>
      <c r="LA114" s="30"/>
      <c r="LB114" s="30"/>
      <c r="LC114" s="30"/>
      <c r="LD114" s="30"/>
      <c r="LE114" s="30"/>
      <c r="LF114" s="30"/>
      <c r="LG114" s="30"/>
      <c r="LH114" s="30"/>
      <c r="LI114" s="30"/>
      <c r="LJ114" s="30"/>
      <c r="LK114" s="30"/>
      <c r="LL114" s="30"/>
      <c r="LM114" s="30"/>
      <c r="LN114" s="30"/>
      <c r="LO114" s="30"/>
      <c r="LP114" s="30"/>
      <c r="LQ114" s="30"/>
      <c r="LR114" s="30"/>
      <c r="LS114" s="30"/>
      <c r="LT114" s="30"/>
      <c r="LU114" s="30"/>
      <c r="LV114" s="30"/>
      <c r="LW114" s="30"/>
      <c r="LX114" s="30"/>
      <c r="LY114" s="30"/>
      <c r="LZ114" s="30"/>
      <c r="MA114" s="30"/>
      <c r="MB114" s="30"/>
      <c r="MC114" s="30"/>
      <c r="MD114" s="30"/>
      <c r="ME114" s="30"/>
      <c r="MF114" s="30"/>
      <c r="MG114" s="30"/>
      <c r="MH114" s="30"/>
      <c r="MI114" s="30"/>
      <c r="MJ114" s="30"/>
      <c r="MK114" s="30"/>
      <c r="ML114" s="30"/>
      <c r="MM114" s="30"/>
      <c r="MN114" s="30"/>
      <c r="MO114" s="30"/>
      <c r="MP114" s="30"/>
      <c r="MQ114" s="30"/>
      <c r="MR114" s="30"/>
      <c r="MS114" s="30"/>
      <c r="MT114" s="30"/>
      <c r="MU114" s="30"/>
      <c r="MV114" s="30"/>
      <c r="MW114" s="30"/>
      <c r="MX114" s="30"/>
      <c r="MY114" s="30"/>
      <c r="MZ114" s="30"/>
      <c r="NA114" s="30"/>
      <c r="NB114" s="30"/>
      <c r="NC114" s="30"/>
      <c r="ND114" s="30"/>
      <c r="NE114" s="30"/>
      <c r="NF114" s="30"/>
      <c r="NG114" s="30"/>
      <c r="NH114" s="30"/>
      <c r="NI114" s="30"/>
      <c r="NJ114" s="30"/>
      <c r="NK114" s="30"/>
      <c r="NL114" s="30"/>
      <c r="NM114" s="30"/>
      <c r="NN114" s="30"/>
      <c r="NO114" s="30"/>
      <c r="NP114" s="30"/>
      <c r="NQ114" s="30"/>
      <c r="NR114" s="30"/>
      <c r="NS114" s="30"/>
      <c r="NT114" s="30"/>
      <c r="NU114" s="30"/>
      <c r="NV114" s="30"/>
      <c r="NW114" s="30"/>
      <c r="NX114" s="30"/>
      <c r="NY114" s="30"/>
      <c r="NZ114" s="30"/>
      <c r="OA114" s="30"/>
      <c r="OB114" s="30"/>
      <c r="OC114" s="30"/>
      <c r="OD114" s="30"/>
      <c r="OE114" s="30"/>
      <c r="OF114" s="30"/>
      <c r="OG114" s="30"/>
      <c r="OH114" s="30"/>
      <c r="OI114" s="30"/>
      <c r="OJ114" s="30"/>
      <c r="OK114" s="30"/>
      <c r="OL114" s="30"/>
      <c r="OM114" s="30"/>
      <c r="ON114" s="30"/>
      <c r="OO114" s="30"/>
      <c r="OP114" s="30"/>
      <c r="OQ114" s="30"/>
      <c r="OR114" s="30"/>
      <c r="OS114" s="30"/>
      <c r="OT114" s="30"/>
      <c r="OU114" s="30"/>
      <c r="OV114" s="30"/>
      <c r="OW114" s="30"/>
      <c r="OX114" s="30"/>
      <c r="OY114" s="30"/>
      <c r="OZ114" s="30"/>
      <c r="PA114" s="30"/>
      <c r="PB114" s="30"/>
      <c r="PC114" s="30"/>
      <c r="PD114" s="30"/>
      <c r="PE114" s="30"/>
      <c r="PF114" s="30"/>
      <c r="PG114" s="30"/>
      <c r="PH114" s="30"/>
      <c r="PI114" s="30"/>
      <c r="PJ114" s="30"/>
      <c r="PK114" s="30"/>
      <c r="PL114" s="30"/>
      <c r="PM114" s="30"/>
      <c r="PN114" s="30"/>
      <c r="PO114" s="30"/>
      <c r="PP114" s="30"/>
      <c r="PQ114" s="30"/>
      <c r="PR114" s="30"/>
      <c r="PS114" s="30"/>
      <c r="PT114" s="30"/>
      <c r="PU114" s="30"/>
      <c r="PV114" s="30"/>
      <c r="PW114" s="30"/>
      <c r="PX114" s="30"/>
      <c r="PY114" s="30"/>
      <c r="PZ114" s="30"/>
      <c r="QA114" s="30"/>
      <c r="QB114" s="30"/>
      <c r="QC114" s="30"/>
      <c r="QD114" s="30"/>
      <c r="QE114" s="30"/>
      <c r="QF114" s="30"/>
      <c r="QG114" s="30"/>
      <c r="QH114" s="30"/>
      <c r="QI114" s="30"/>
      <c r="QJ114" s="30"/>
      <c r="QK114" s="30"/>
      <c r="QL114" s="30"/>
      <c r="QM114" s="30"/>
      <c r="QN114" s="30"/>
      <c r="QO114" s="30"/>
      <c r="QP114" s="30"/>
      <c r="QQ114" s="30"/>
      <c r="QR114" s="30"/>
      <c r="QS114" s="30"/>
      <c r="QT114" s="30"/>
      <c r="QU114" s="30"/>
      <c r="QV114" s="30"/>
      <c r="QW114" s="30"/>
      <c r="QX114" s="30"/>
      <c r="QY114" s="30"/>
      <c r="QZ114" s="30"/>
      <c r="RA114" s="30"/>
      <c r="RB114" s="30"/>
      <c r="RC114" s="30"/>
      <c r="RD114" s="30"/>
      <c r="RE114" s="30"/>
      <c r="RF114" s="30"/>
      <c r="RG114" s="30"/>
      <c r="RH114" s="30"/>
      <c r="RI114" s="30"/>
      <c r="RJ114" s="30"/>
      <c r="RK114" s="30"/>
      <c r="RL114" s="30"/>
      <c r="RM114" s="30"/>
      <c r="RN114" s="30"/>
      <c r="RO114" s="30"/>
      <c r="RP114" s="30"/>
      <c r="RQ114" s="30"/>
      <c r="RR114" s="30"/>
      <c r="RS114" s="30"/>
      <c r="RT114" s="30"/>
      <c r="RU114" s="30"/>
      <c r="RV114" s="30"/>
      <c r="RW114" s="30"/>
      <c r="RX114" s="30"/>
      <c r="RY114" s="30"/>
      <c r="RZ114" s="30"/>
      <c r="SA114" s="30"/>
      <c r="SB114" s="30"/>
      <c r="SC114" s="30"/>
      <c r="SD114" s="30"/>
      <c r="SE114" s="30"/>
      <c r="SF114" s="30"/>
      <c r="SG114" s="30"/>
      <c r="SH114" s="30"/>
      <c r="SI114" s="30"/>
      <c r="SJ114" s="30"/>
      <c r="SK114" s="30"/>
      <c r="SL114" s="30"/>
      <c r="SM114" s="30"/>
      <c r="SN114" s="30"/>
      <c r="SO114" s="30"/>
      <c r="SP114" s="30"/>
      <c r="SQ114" s="30"/>
      <c r="SR114" s="30"/>
      <c r="SS114" s="30"/>
      <c r="ST114" s="30"/>
      <c r="SU114" s="30"/>
      <c r="SV114" s="30"/>
      <c r="SW114" s="30"/>
      <c r="SX114" s="30"/>
      <c r="SY114" s="30"/>
      <c r="SZ114" s="30"/>
      <c r="TA114" s="30"/>
      <c r="TB114" s="30"/>
      <c r="TC114" s="30"/>
      <c r="TD114" s="30"/>
      <c r="TE114" s="30"/>
      <c r="TF114" s="30"/>
      <c r="TG114" s="30"/>
      <c r="TH114" s="30"/>
      <c r="TI114" s="30"/>
      <c r="TJ114" s="30"/>
      <c r="TK114" s="30"/>
      <c r="TL114" s="30"/>
      <c r="TM114" s="30"/>
      <c r="TN114" s="30"/>
      <c r="TO114" s="30"/>
      <c r="TP114" s="30"/>
      <c r="TQ114" s="30"/>
      <c r="TR114" s="30"/>
      <c r="TS114" s="30"/>
      <c r="TT114" s="30"/>
      <c r="TU114" s="30"/>
      <c r="TV114" s="30"/>
      <c r="TW114" s="30"/>
      <c r="TX114" s="30"/>
      <c r="TY114" s="30"/>
      <c r="TZ114" s="30"/>
      <c r="UA114" s="30"/>
      <c r="UB114" s="30"/>
      <c r="UC114" s="30"/>
      <c r="UD114" s="30"/>
      <c r="UE114" s="30"/>
      <c r="UF114" s="30"/>
      <c r="UG114" s="30"/>
      <c r="UH114" s="30"/>
      <c r="UI114" s="30"/>
      <c r="UJ114" s="30"/>
      <c r="UK114" s="30"/>
      <c r="UL114" s="30"/>
      <c r="UM114" s="30"/>
      <c r="UN114" s="30"/>
      <c r="UO114" s="30"/>
      <c r="UP114" s="30"/>
      <c r="UQ114" s="30"/>
      <c r="UR114" s="30"/>
      <c r="US114" s="30"/>
      <c r="UT114" s="30"/>
      <c r="UU114" s="30"/>
      <c r="UV114" s="30"/>
      <c r="UW114" s="30"/>
      <c r="UX114" s="30"/>
      <c r="UY114" s="30"/>
      <c r="UZ114" s="30"/>
      <c r="VA114" s="30"/>
      <c r="VB114" s="30"/>
      <c r="VC114" s="30"/>
      <c r="VD114" s="30"/>
      <c r="VE114" s="30"/>
      <c r="VF114" s="30"/>
      <c r="VG114" s="30"/>
      <c r="VH114" s="30"/>
      <c r="VI114" s="30"/>
      <c r="VJ114" s="30"/>
      <c r="VK114" s="30"/>
      <c r="VL114" s="30"/>
      <c r="VM114" s="30"/>
      <c r="VN114" s="30"/>
      <c r="VO114" s="30"/>
      <c r="VP114" s="30"/>
      <c r="VQ114" s="30"/>
      <c r="VR114" s="30"/>
      <c r="VS114" s="30"/>
      <c r="VT114" s="30"/>
      <c r="VU114" s="30"/>
      <c r="VV114" s="30"/>
      <c r="VW114" s="30"/>
      <c r="VX114" s="30"/>
      <c r="VY114" s="30"/>
      <c r="VZ114" s="30"/>
      <c r="WA114" s="30"/>
      <c r="WB114" s="30"/>
      <c r="WC114" s="30"/>
      <c r="WD114" s="30"/>
      <c r="WE114" s="30"/>
      <c r="WF114" s="30"/>
      <c r="WG114" s="30"/>
      <c r="WH114" s="30"/>
      <c r="WI114" s="30"/>
      <c r="WJ114" s="30"/>
      <c r="WK114" s="30"/>
      <c r="WL114" s="30"/>
      <c r="WM114" s="30"/>
      <c r="WN114" s="30"/>
      <c r="WO114" s="30"/>
      <c r="WP114" s="30"/>
      <c r="WQ114" s="30"/>
      <c r="WR114" s="30"/>
      <c r="WS114" s="30"/>
      <c r="WT114" s="30"/>
      <c r="WU114" s="30"/>
      <c r="WV114" s="30"/>
      <c r="WW114" s="30"/>
      <c r="WX114" s="30"/>
      <c r="WY114" s="30"/>
      <c r="WZ114" s="30"/>
      <c r="XA114" s="30"/>
      <c r="XB114" s="30"/>
      <c r="XC114" s="30"/>
      <c r="XD114" s="30"/>
      <c r="XE114" s="30"/>
      <c r="XF114" s="30"/>
      <c r="XG114" s="30"/>
      <c r="XH114" s="30"/>
      <c r="XI114" s="30"/>
      <c r="XJ114" s="30"/>
      <c r="XK114" s="30"/>
      <c r="XL114" s="30"/>
      <c r="XM114" s="30"/>
      <c r="XN114" s="30"/>
      <c r="XO114" s="30"/>
      <c r="XP114" s="30"/>
      <c r="XQ114" s="30"/>
      <c r="XR114" s="30"/>
      <c r="XS114" s="30"/>
      <c r="XT114" s="30"/>
      <c r="XU114" s="30"/>
      <c r="XV114" s="30"/>
      <c r="XW114" s="30"/>
      <c r="XX114" s="30"/>
      <c r="XY114" s="30"/>
      <c r="XZ114" s="30"/>
      <c r="YA114" s="30"/>
      <c r="YB114" s="30"/>
      <c r="YC114" s="30"/>
      <c r="YD114" s="30"/>
      <c r="YE114" s="30"/>
      <c r="YF114" s="30"/>
      <c r="YG114" s="30"/>
      <c r="YH114" s="30"/>
      <c r="YI114" s="30"/>
      <c r="YJ114" s="30"/>
      <c r="YK114" s="30"/>
      <c r="YL114" s="30"/>
      <c r="YM114" s="30"/>
      <c r="YN114" s="30"/>
      <c r="YO114" s="30"/>
      <c r="YP114" s="30"/>
      <c r="YQ114" s="30"/>
      <c r="YR114" s="30"/>
      <c r="YS114" s="30"/>
      <c r="YT114" s="30"/>
      <c r="YU114" s="30"/>
      <c r="YV114" s="30"/>
      <c r="YW114" s="30"/>
      <c r="YX114" s="30"/>
      <c r="YY114" s="30"/>
      <c r="YZ114" s="30"/>
      <c r="ZA114" s="30"/>
      <c r="ZB114" s="30"/>
      <c r="ZC114" s="30"/>
      <c r="ZD114" s="30"/>
      <c r="ZE114" s="30"/>
      <c r="ZF114" s="30"/>
      <c r="ZG114" s="30"/>
      <c r="ZH114" s="30"/>
      <c r="ZI114" s="30"/>
      <c r="ZJ114" s="30"/>
      <c r="ZK114" s="30"/>
      <c r="ZL114" s="30"/>
      <c r="ZM114" s="30"/>
      <c r="ZN114" s="30"/>
      <c r="ZO114" s="30"/>
      <c r="ZP114" s="30"/>
      <c r="ZQ114" s="30"/>
      <c r="ZR114" s="30"/>
      <c r="ZS114" s="30"/>
      <c r="ZT114" s="30"/>
      <c r="ZU114" s="30"/>
      <c r="ZV114" s="30"/>
      <c r="ZW114" s="30"/>
      <c r="ZX114" s="30"/>
      <c r="ZY114" s="30"/>
      <c r="ZZ114" s="30"/>
      <c r="AAA114" s="30"/>
      <c r="AAB114" s="30"/>
      <c r="AAC114" s="30"/>
      <c r="AAD114" s="30"/>
      <c r="AAE114" s="30"/>
      <c r="AAF114" s="30"/>
      <c r="AAG114" s="30"/>
      <c r="AAH114" s="30"/>
      <c r="AAI114" s="30"/>
      <c r="AAJ114" s="30"/>
      <c r="AAK114" s="30"/>
      <c r="AAL114" s="30"/>
      <c r="AAM114" s="30"/>
      <c r="AAN114" s="30"/>
      <c r="AAO114" s="30"/>
      <c r="AAP114" s="30"/>
      <c r="AAQ114" s="30"/>
      <c r="AAR114" s="30"/>
      <c r="AAS114" s="30"/>
      <c r="AAT114" s="30"/>
      <c r="AAU114" s="30"/>
      <c r="AAV114" s="30"/>
      <c r="AAW114" s="30"/>
      <c r="AAX114" s="30"/>
      <c r="AAY114" s="30"/>
      <c r="AAZ114" s="30"/>
      <c r="ABA114" s="30"/>
      <c r="ABB114" s="30"/>
      <c r="ABC114" s="30"/>
      <c r="ABD114" s="30"/>
      <c r="ABE114" s="30"/>
      <c r="ABF114" s="30"/>
      <c r="ABG114" s="30"/>
      <c r="ABH114" s="30"/>
      <c r="ABI114" s="30"/>
      <c r="ABJ114" s="30"/>
      <c r="ABK114" s="30"/>
      <c r="ABL114" s="30"/>
      <c r="ABM114" s="30"/>
      <c r="ABN114" s="30"/>
      <c r="ABO114" s="30"/>
      <c r="ABP114" s="30"/>
      <c r="ABQ114" s="30"/>
      <c r="ABR114" s="30"/>
      <c r="ABS114" s="30"/>
      <c r="ABT114" s="30"/>
      <c r="ABU114" s="30"/>
      <c r="ABV114" s="30"/>
      <c r="ABW114" s="30"/>
      <c r="ABX114" s="30"/>
      <c r="ABY114" s="30"/>
      <c r="ABZ114" s="30"/>
      <c r="ACA114" s="30"/>
      <c r="ACB114" s="30"/>
      <c r="ACC114" s="30"/>
      <c r="ACD114" s="30"/>
      <c r="ACE114" s="30"/>
      <c r="ACF114" s="30"/>
      <c r="ACG114" s="30"/>
      <c r="ACH114" s="30"/>
      <c r="ACI114" s="30"/>
      <c r="ACJ114" s="30"/>
      <c r="ACK114" s="30"/>
      <c r="ACL114" s="30"/>
      <c r="ACM114" s="30"/>
      <c r="ACN114" s="30"/>
      <c r="ACO114" s="30"/>
      <c r="ACP114" s="30"/>
      <c r="ACQ114" s="30"/>
      <c r="ACR114" s="30"/>
      <c r="ACS114" s="30"/>
      <c r="ACT114" s="30"/>
      <c r="ACU114" s="30"/>
      <c r="ACV114" s="30"/>
      <c r="ACW114" s="30"/>
      <c r="ACX114" s="30"/>
      <c r="ACY114" s="30"/>
      <c r="ACZ114" s="30"/>
      <c r="ADA114" s="30"/>
      <c r="ADB114" s="30"/>
      <c r="ADC114" s="30"/>
      <c r="ADD114" s="30"/>
      <c r="ADE114" s="30"/>
      <c r="ADF114" s="30"/>
      <c r="ADG114" s="30"/>
      <c r="ADH114" s="30"/>
      <c r="ADI114" s="30"/>
      <c r="ADJ114" s="30"/>
      <c r="ADK114" s="30"/>
      <c r="ADL114" s="30"/>
      <c r="ADM114" s="30"/>
      <c r="ADN114" s="30"/>
      <c r="ADO114" s="30"/>
      <c r="ADP114" s="30"/>
      <c r="ADQ114" s="30"/>
      <c r="ADR114" s="30"/>
      <c r="ADS114" s="30"/>
      <c r="ADT114" s="30"/>
      <c r="ADU114" s="30"/>
      <c r="ADV114" s="30"/>
      <c r="ADW114" s="30"/>
      <c r="ADX114" s="30"/>
      <c r="ADY114" s="30"/>
      <c r="ADZ114" s="30"/>
      <c r="AEA114" s="30"/>
      <c r="AEB114" s="30"/>
      <c r="AEC114" s="30"/>
      <c r="AED114" s="30"/>
      <c r="AEE114" s="30"/>
      <c r="AEF114" s="30"/>
      <c r="AEG114" s="30"/>
      <c r="AEH114" s="30"/>
      <c r="AEI114" s="30"/>
      <c r="AEJ114" s="30"/>
      <c r="AEK114" s="30"/>
      <c r="AEL114" s="30"/>
      <c r="AEM114" s="30"/>
      <c r="AEN114" s="30"/>
      <c r="AEO114" s="30"/>
      <c r="AEP114" s="30"/>
      <c r="AEQ114" s="30"/>
      <c r="AER114" s="30"/>
      <c r="AES114" s="30"/>
      <c r="AET114" s="30"/>
      <c r="AEU114" s="30"/>
      <c r="AEV114" s="30"/>
      <c r="AEW114" s="30"/>
      <c r="AEX114" s="30"/>
      <c r="AEY114" s="30"/>
      <c r="AEZ114" s="30"/>
      <c r="AFA114" s="30"/>
      <c r="AFB114" s="30"/>
      <c r="AFC114" s="30"/>
      <c r="AFD114" s="30"/>
      <c r="AFE114" s="30"/>
      <c r="AFF114" s="30"/>
      <c r="AFG114" s="30"/>
      <c r="AFH114" s="30"/>
      <c r="AFI114" s="30"/>
      <c r="AFJ114" s="30"/>
      <c r="AFK114" s="30"/>
      <c r="AFL114" s="30"/>
      <c r="AFM114" s="30"/>
      <c r="AFN114" s="30"/>
      <c r="AFO114" s="30"/>
      <c r="AFP114" s="30"/>
      <c r="AFQ114" s="30"/>
      <c r="AFR114" s="30"/>
      <c r="AFS114" s="30"/>
      <c r="AFT114" s="30"/>
      <c r="AFU114" s="30"/>
      <c r="AFV114" s="30"/>
      <c r="AFW114" s="30"/>
      <c r="AFX114" s="30"/>
      <c r="AFY114" s="30"/>
      <c r="AFZ114" s="30"/>
      <c r="AGA114" s="30"/>
      <c r="AGB114" s="30"/>
      <c r="AGC114" s="30"/>
      <c r="AGD114" s="30"/>
      <c r="AGE114" s="30"/>
      <c r="AGF114" s="30"/>
      <c r="AGG114" s="30"/>
      <c r="AGH114" s="30"/>
      <c r="AGI114" s="30"/>
      <c r="AGJ114" s="30"/>
      <c r="AGK114" s="30"/>
      <c r="AGL114" s="30"/>
      <c r="AGM114" s="30"/>
      <c r="AGN114" s="30"/>
      <c r="AGO114" s="30"/>
      <c r="AGP114" s="30"/>
      <c r="AGQ114" s="30"/>
      <c r="AGR114" s="30"/>
      <c r="AGS114" s="30"/>
      <c r="AGT114" s="30"/>
      <c r="AGU114" s="30"/>
      <c r="AGV114" s="30"/>
      <c r="AGW114" s="30"/>
      <c r="AGX114" s="30"/>
      <c r="AGY114" s="30"/>
      <c r="AGZ114" s="30"/>
      <c r="AHA114" s="30"/>
      <c r="AHB114" s="30"/>
      <c r="AHC114" s="30"/>
      <c r="AHD114" s="30"/>
      <c r="AHE114" s="30"/>
      <c r="AHF114" s="30"/>
      <c r="AHG114" s="30"/>
      <c r="AHH114" s="30"/>
      <c r="AHI114" s="30"/>
      <c r="AHJ114" s="30"/>
      <c r="AHK114" s="30"/>
      <c r="AHL114" s="30"/>
      <c r="AHM114" s="30"/>
      <c r="AHN114" s="30"/>
      <c r="AHO114" s="30"/>
      <c r="AHP114" s="30"/>
      <c r="AHQ114" s="30"/>
      <c r="AHR114" s="30"/>
      <c r="AHS114" s="30"/>
      <c r="AHT114" s="30"/>
      <c r="AHU114" s="30"/>
      <c r="AHV114" s="30"/>
      <c r="AHW114" s="30"/>
      <c r="AHX114" s="30"/>
      <c r="AHY114" s="30"/>
      <c r="AHZ114" s="30"/>
      <c r="AIA114" s="30"/>
      <c r="AIB114" s="30"/>
      <c r="AIC114" s="30"/>
      <c r="AID114" s="30"/>
      <c r="AIE114" s="30"/>
      <c r="AIF114" s="30"/>
      <c r="AIG114" s="30"/>
      <c r="AIH114" s="30"/>
      <c r="AII114" s="30"/>
      <c r="AIJ114" s="30"/>
      <c r="AIK114" s="30"/>
      <c r="AIL114" s="30"/>
      <c r="AIM114" s="30"/>
      <c r="AIN114" s="30"/>
      <c r="AIO114" s="30"/>
      <c r="AIP114" s="30"/>
      <c r="AIQ114" s="30"/>
      <c r="AIR114" s="30"/>
      <c r="AIS114" s="30"/>
      <c r="AIT114" s="30"/>
      <c r="AIU114" s="30"/>
      <c r="AIV114" s="30"/>
      <c r="AIW114" s="30"/>
      <c r="AIX114" s="30"/>
      <c r="AIY114" s="30"/>
      <c r="AIZ114" s="30"/>
      <c r="AJA114" s="30"/>
      <c r="AJB114" s="30"/>
      <c r="AJC114" s="30"/>
      <c r="AJD114" s="30"/>
      <c r="AJE114" s="30"/>
      <c r="AJF114" s="30"/>
      <c r="AJG114" s="30"/>
      <c r="AJH114" s="30"/>
      <c r="AJI114" s="30"/>
      <c r="AJJ114" s="30"/>
      <c r="AJK114" s="30"/>
      <c r="AJL114" s="30"/>
      <c r="AJM114" s="30"/>
      <c r="AJN114" s="30"/>
      <c r="AJO114" s="30"/>
      <c r="AJP114" s="30"/>
      <c r="AJQ114" s="30"/>
      <c r="AJR114" s="30"/>
      <c r="AJS114" s="30"/>
      <c r="AJT114" s="30"/>
      <c r="AJU114" s="30"/>
      <c r="AJV114" s="30"/>
      <c r="AJW114" s="30"/>
      <c r="AJX114" s="30"/>
      <c r="AJY114" s="30"/>
      <c r="AJZ114" s="30"/>
      <c r="AKA114" s="30"/>
      <c r="AKB114" s="30"/>
      <c r="AKC114" s="30"/>
      <c r="AKD114" s="30"/>
      <c r="AKE114" s="30"/>
      <c r="AKF114" s="30"/>
      <c r="AKG114" s="30"/>
      <c r="AKH114" s="30"/>
      <c r="AKI114" s="30"/>
      <c r="AKJ114" s="30"/>
      <c r="AKK114" s="30"/>
      <c r="AKL114" s="30"/>
      <c r="AKM114" s="30"/>
      <c r="AKN114" s="30"/>
      <c r="AKO114" s="30"/>
      <c r="AKP114" s="30"/>
      <c r="AKQ114" s="30"/>
      <c r="AKR114" s="30"/>
      <c r="AKS114" s="30"/>
      <c r="AKT114" s="30"/>
      <c r="AKU114" s="30"/>
      <c r="AKV114" s="30"/>
      <c r="AKW114" s="30"/>
      <c r="AKX114" s="30"/>
      <c r="AKY114" s="30"/>
      <c r="AKZ114" s="30"/>
      <c r="ALA114" s="30"/>
      <c r="ALB114" s="30"/>
      <c r="ALC114" s="30"/>
      <c r="ALD114" s="30"/>
      <c r="ALE114" s="30"/>
      <c r="ALF114" s="30"/>
      <c r="ALG114" s="30"/>
      <c r="ALH114" s="30"/>
      <c r="ALI114" s="30"/>
      <c r="ALJ114" s="30"/>
      <c r="ALK114" s="30"/>
      <c r="ALL114" s="30"/>
      <c r="ALM114" s="30"/>
      <c r="ALN114" s="30"/>
      <c r="ALO114" s="30"/>
      <c r="ALP114" s="30"/>
      <c r="ALQ114" s="30"/>
      <c r="ALR114" s="30"/>
      <c r="ALS114" s="30"/>
      <c r="ALT114" s="30"/>
      <c r="ALU114" s="30"/>
      <c r="ALV114" s="30"/>
      <c r="ALW114" s="30"/>
      <c r="ALX114" s="30"/>
      <c r="ALY114" s="30"/>
      <c r="ALZ114" s="30"/>
      <c r="AMA114" s="30"/>
      <c r="AMB114" s="30"/>
      <c r="AMC114" s="30"/>
      <c r="AMD114" s="30"/>
      <c r="AME114" s="30"/>
      <c r="AMF114" s="30"/>
      <c r="AMG114" s="30"/>
      <c r="AMH114" s="30"/>
      <c r="AMI114" s="30"/>
      <c r="AMJ114" s="30"/>
      <c r="AMK114" s="30"/>
      <c r="AML114" s="30"/>
      <c r="AMM114" s="30"/>
      <c r="AMN114" s="30"/>
      <c r="AMO114" s="30"/>
      <c r="AMP114" s="30"/>
      <c r="AMQ114" s="30"/>
      <c r="AMR114" s="30"/>
      <c r="AMS114" s="30"/>
      <c r="AMT114" s="30"/>
      <c r="AMU114" s="30"/>
      <c r="AMV114" s="30"/>
      <c r="AMW114" s="30"/>
      <c r="AMX114" s="30"/>
      <c r="AMY114" s="30"/>
      <c r="AMZ114" s="30"/>
      <c r="ANA114" s="30"/>
      <c r="ANB114" s="30"/>
      <c r="ANC114" s="30"/>
      <c r="AND114" s="30"/>
      <c r="ANE114" s="30"/>
      <c r="ANF114" s="30"/>
      <c r="ANG114" s="30"/>
      <c r="ANH114" s="30"/>
      <c r="ANI114" s="30"/>
      <c r="ANJ114" s="30"/>
      <c r="ANK114" s="30"/>
      <c r="ANL114" s="30"/>
      <c r="ANM114" s="30"/>
      <c r="ANN114" s="30"/>
      <c r="ANO114" s="30"/>
      <c r="ANP114" s="30"/>
      <c r="ANQ114" s="30"/>
      <c r="ANR114" s="30"/>
      <c r="ANS114" s="30"/>
      <c r="ANT114" s="30"/>
      <c r="ANU114" s="30"/>
      <c r="ANV114" s="30"/>
      <c r="ANW114" s="30"/>
      <c r="ANX114" s="30"/>
      <c r="ANY114" s="30"/>
      <c r="ANZ114" s="30"/>
      <c r="AOA114" s="30"/>
      <c r="AOB114" s="30"/>
      <c r="AOC114" s="30"/>
      <c r="AOD114" s="30"/>
      <c r="AOE114" s="30"/>
      <c r="AOF114" s="30"/>
      <c r="AOG114" s="30"/>
      <c r="AOH114" s="30"/>
      <c r="AOI114" s="30"/>
      <c r="AOJ114" s="30"/>
      <c r="AOK114" s="30"/>
      <c r="AOL114" s="30"/>
      <c r="AOM114" s="30"/>
      <c r="AON114" s="30"/>
      <c r="AOO114" s="30"/>
      <c r="AOP114" s="30"/>
      <c r="AOQ114" s="30"/>
      <c r="AOR114" s="30"/>
      <c r="AOS114" s="30"/>
      <c r="AOT114" s="30"/>
      <c r="AOU114" s="30"/>
      <c r="AOV114" s="30"/>
      <c r="AOW114" s="30"/>
      <c r="AOX114" s="30"/>
      <c r="AOY114" s="30"/>
      <c r="AOZ114" s="30"/>
      <c r="APA114" s="30"/>
      <c r="APB114" s="30"/>
      <c r="APC114" s="30"/>
      <c r="APD114" s="30"/>
      <c r="APE114" s="30"/>
      <c r="APF114" s="30"/>
      <c r="APG114" s="30"/>
      <c r="APH114" s="30"/>
      <c r="API114" s="30"/>
      <c r="APJ114" s="30"/>
      <c r="APK114" s="30"/>
      <c r="APL114" s="30"/>
      <c r="APM114" s="30"/>
      <c r="APN114" s="30"/>
      <c r="APO114" s="30"/>
      <c r="APP114" s="30"/>
      <c r="APQ114" s="30"/>
      <c r="APR114" s="30"/>
      <c r="APS114" s="30"/>
      <c r="APT114" s="30"/>
      <c r="APU114" s="30"/>
      <c r="APV114" s="30"/>
      <c r="APW114" s="30"/>
      <c r="APX114" s="30"/>
      <c r="APY114" s="30"/>
      <c r="APZ114" s="30"/>
      <c r="AQA114" s="30"/>
      <c r="AQB114" s="30"/>
      <c r="AQC114" s="30"/>
      <c r="AQD114" s="30"/>
      <c r="AQE114" s="30"/>
      <c r="AQF114" s="30"/>
      <c r="AQG114" s="30"/>
      <c r="AQH114" s="30"/>
      <c r="AQI114" s="30"/>
      <c r="AQJ114" s="30"/>
      <c r="AQK114" s="30"/>
      <c r="AQL114" s="30"/>
      <c r="AQM114" s="30"/>
      <c r="AQN114" s="30"/>
      <c r="AQO114" s="30"/>
      <c r="AQP114" s="30"/>
      <c r="AQQ114" s="30"/>
      <c r="AQR114" s="30"/>
      <c r="AQS114" s="30"/>
      <c r="AQT114" s="30"/>
      <c r="AQU114" s="30"/>
      <c r="AQV114" s="30"/>
      <c r="AQW114" s="30"/>
      <c r="AQX114" s="30"/>
      <c r="AQY114" s="30"/>
      <c r="AQZ114" s="30"/>
      <c r="ARA114" s="30"/>
      <c r="ARB114" s="30"/>
      <c r="ARC114" s="30"/>
      <c r="ARD114" s="30"/>
      <c r="ARE114" s="30"/>
      <c r="ARF114" s="30"/>
      <c r="ARG114" s="30"/>
      <c r="ARH114" s="30"/>
      <c r="ARI114" s="30"/>
      <c r="ARJ114" s="30"/>
      <c r="ARK114" s="30"/>
      <c r="ARL114" s="30"/>
      <c r="ARM114" s="30"/>
      <c r="ARN114" s="30"/>
      <c r="ARO114" s="30"/>
      <c r="ARP114" s="30"/>
      <c r="ARQ114" s="30"/>
      <c r="ARR114" s="30"/>
      <c r="ARS114" s="30"/>
      <c r="ART114" s="30"/>
      <c r="ARU114" s="30"/>
      <c r="ARV114" s="30"/>
      <c r="ARW114" s="30"/>
      <c r="ARX114" s="30"/>
      <c r="ARY114" s="30"/>
      <c r="ARZ114" s="30"/>
      <c r="ASA114" s="30"/>
      <c r="ASB114" s="30"/>
      <c r="ASC114" s="30"/>
      <c r="ASD114" s="30"/>
      <c r="ASE114" s="30"/>
      <c r="ASF114" s="30"/>
      <c r="ASG114" s="30"/>
      <c r="ASH114" s="30"/>
      <c r="ASI114" s="30"/>
      <c r="ASJ114" s="30"/>
      <c r="ASK114" s="30"/>
      <c r="ASL114" s="30"/>
      <c r="ASM114" s="30"/>
      <c r="ASN114" s="30"/>
      <c r="ASO114" s="30"/>
      <c r="ASP114" s="30"/>
      <c r="ASQ114" s="30"/>
      <c r="ASR114" s="30"/>
      <c r="ASS114" s="30"/>
      <c r="AST114" s="30"/>
      <c r="ASU114" s="30"/>
      <c r="ASV114" s="30"/>
      <c r="ASW114" s="30"/>
      <c r="ASX114" s="30"/>
      <c r="ASY114" s="30"/>
      <c r="ASZ114" s="30"/>
      <c r="ATA114" s="30"/>
      <c r="ATB114" s="30"/>
      <c r="ATC114" s="30"/>
      <c r="ATD114" s="30"/>
      <c r="ATE114" s="30"/>
      <c r="ATF114" s="30"/>
      <c r="ATG114" s="30"/>
      <c r="ATH114" s="30"/>
      <c r="ATI114" s="30"/>
      <c r="ATJ114" s="30"/>
      <c r="ATK114" s="30"/>
      <c r="ATL114" s="30"/>
      <c r="ATM114" s="30"/>
      <c r="ATN114" s="30"/>
      <c r="ATO114" s="30"/>
      <c r="ATP114" s="30"/>
      <c r="ATQ114" s="30"/>
      <c r="ATR114" s="30"/>
      <c r="ATS114" s="30"/>
      <c r="ATT114" s="30"/>
      <c r="ATU114" s="30"/>
      <c r="ATV114" s="30"/>
      <c r="ATW114" s="30"/>
      <c r="ATX114" s="30"/>
      <c r="ATY114" s="30"/>
      <c r="ATZ114" s="30"/>
      <c r="AUA114" s="30"/>
      <c r="AUB114" s="30"/>
      <c r="AUC114" s="30"/>
      <c r="AUD114" s="30"/>
      <c r="AUE114" s="30"/>
      <c r="AUF114" s="30"/>
      <c r="AUG114" s="30"/>
      <c r="AUH114" s="30"/>
      <c r="AUI114" s="30"/>
      <c r="AUJ114" s="30"/>
      <c r="AUK114" s="30"/>
      <c r="AUL114" s="30"/>
      <c r="AUM114" s="30"/>
      <c r="AUN114" s="30"/>
      <c r="AUO114" s="30"/>
      <c r="AUP114" s="30"/>
      <c r="AUQ114" s="30"/>
      <c r="AUR114" s="30"/>
      <c r="AUS114" s="30"/>
      <c r="AUT114" s="30"/>
      <c r="AUU114" s="30"/>
      <c r="AUV114" s="30"/>
      <c r="AUW114" s="30"/>
      <c r="AUX114" s="30"/>
      <c r="AUY114" s="30"/>
      <c r="AUZ114" s="30"/>
      <c r="AVA114" s="30"/>
      <c r="AVB114" s="30"/>
      <c r="AVC114" s="30"/>
      <c r="AVD114" s="30"/>
      <c r="AVE114" s="30"/>
      <c r="AVF114" s="30"/>
      <c r="AVG114" s="30"/>
      <c r="AVH114" s="30"/>
      <c r="AVI114" s="30"/>
      <c r="AVJ114" s="30"/>
      <c r="AVK114" s="30"/>
      <c r="AVL114" s="30"/>
      <c r="AVM114" s="30"/>
      <c r="AVN114" s="30"/>
      <c r="AVO114" s="30"/>
      <c r="AVP114" s="30"/>
      <c r="AVQ114" s="30"/>
      <c r="AVR114" s="30"/>
      <c r="AVS114" s="30"/>
      <c r="AVT114" s="30"/>
      <c r="AVU114" s="30"/>
      <c r="AVV114" s="30"/>
      <c r="AVW114" s="30"/>
      <c r="AVX114" s="30"/>
      <c r="AVY114" s="30"/>
      <c r="AVZ114" s="30"/>
      <c r="AWA114" s="30"/>
      <c r="AWB114" s="30"/>
      <c r="AWC114" s="30"/>
      <c r="AWD114" s="30"/>
      <c r="AWE114" s="30"/>
      <c r="AWF114" s="30"/>
      <c r="AWG114" s="30"/>
      <c r="AWH114" s="30"/>
      <c r="AWI114" s="30"/>
      <c r="AWJ114" s="30"/>
      <c r="AWK114" s="30"/>
      <c r="AWL114" s="30"/>
      <c r="AWM114" s="30"/>
      <c r="AWN114" s="30"/>
      <c r="AWO114" s="30"/>
      <c r="AWP114" s="30"/>
      <c r="AWQ114" s="30"/>
      <c r="AWR114" s="30"/>
      <c r="AWS114" s="30"/>
      <c r="AWT114" s="30"/>
      <c r="AWU114" s="30"/>
      <c r="AWV114" s="30"/>
      <c r="AWW114" s="30"/>
      <c r="AWX114" s="30"/>
      <c r="AWY114" s="30"/>
      <c r="AWZ114" s="30"/>
      <c r="AXA114" s="30"/>
      <c r="AXB114" s="30"/>
      <c r="AXC114" s="30"/>
      <c r="AXD114" s="30"/>
      <c r="AXE114" s="30"/>
      <c r="AXF114" s="30"/>
      <c r="AXG114" s="30"/>
      <c r="AXH114" s="30"/>
      <c r="AXI114" s="30"/>
      <c r="AXJ114" s="30"/>
      <c r="AXK114" s="30"/>
      <c r="AXL114" s="30"/>
      <c r="AXM114" s="30"/>
      <c r="AXN114" s="30"/>
      <c r="AXO114" s="30"/>
      <c r="AXP114" s="30"/>
      <c r="AXQ114" s="30"/>
      <c r="AXR114" s="30"/>
      <c r="AXS114" s="30"/>
      <c r="AXT114" s="30"/>
      <c r="AXU114" s="30"/>
      <c r="AXV114" s="30"/>
      <c r="AXW114" s="30"/>
      <c r="AXX114" s="30"/>
      <c r="AXY114" s="30"/>
      <c r="AXZ114" s="30"/>
      <c r="AYA114" s="30"/>
      <c r="AYB114" s="30"/>
      <c r="AYC114" s="30"/>
      <c r="AYD114" s="30"/>
      <c r="AYE114" s="30"/>
      <c r="AYF114" s="30"/>
      <c r="AYG114" s="30"/>
      <c r="AYH114" s="30"/>
      <c r="AYI114" s="30"/>
      <c r="AYJ114" s="30"/>
      <c r="AYK114" s="30"/>
      <c r="AYL114" s="30"/>
      <c r="AYM114" s="30"/>
      <c r="AYN114" s="30"/>
      <c r="AYO114" s="30"/>
      <c r="AYP114" s="30"/>
      <c r="AYQ114" s="30"/>
      <c r="AYR114" s="30"/>
      <c r="AYS114" s="30"/>
      <c r="AYT114" s="30"/>
      <c r="AYU114" s="30"/>
      <c r="AYV114" s="30"/>
      <c r="AYW114" s="30"/>
      <c r="AYX114" s="30"/>
      <c r="AYY114" s="30"/>
      <c r="AYZ114" s="30"/>
      <c r="AZA114" s="30"/>
      <c r="AZB114" s="30"/>
      <c r="AZC114" s="30"/>
      <c r="AZD114" s="30"/>
      <c r="AZE114" s="30"/>
      <c r="AZF114" s="30"/>
      <c r="AZG114" s="30"/>
      <c r="AZH114" s="30"/>
      <c r="AZI114" s="30"/>
      <c r="AZJ114" s="30"/>
      <c r="AZK114" s="30"/>
      <c r="AZL114" s="30"/>
      <c r="AZM114" s="30"/>
      <c r="AZN114" s="30"/>
      <c r="AZO114" s="30"/>
      <c r="AZP114" s="30"/>
      <c r="AZQ114" s="30"/>
      <c r="AZR114" s="30"/>
      <c r="AZS114" s="30"/>
      <c r="AZT114" s="30"/>
      <c r="AZU114" s="30"/>
      <c r="AZV114" s="30"/>
      <c r="AZW114" s="30"/>
      <c r="AZX114" s="30"/>
      <c r="AZY114" s="30"/>
      <c r="AZZ114" s="30"/>
      <c r="BAA114" s="30"/>
      <c r="BAB114" s="30"/>
      <c r="BAC114" s="30"/>
      <c r="BAD114" s="30"/>
      <c r="BAE114" s="30"/>
      <c r="BAF114" s="30"/>
      <c r="BAG114" s="30"/>
      <c r="BAH114" s="30"/>
      <c r="BAI114" s="30"/>
      <c r="BAJ114" s="30"/>
      <c r="BAK114" s="30"/>
      <c r="BAL114" s="30"/>
      <c r="BAM114" s="30"/>
      <c r="BAN114" s="30"/>
      <c r="BAO114" s="30"/>
      <c r="BAP114" s="30"/>
      <c r="BAQ114" s="30"/>
      <c r="BAR114" s="30"/>
      <c r="BAS114" s="30"/>
      <c r="BAT114" s="30"/>
      <c r="BAU114" s="30"/>
      <c r="BAV114" s="30"/>
      <c r="BAW114" s="30"/>
      <c r="BAX114" s="30"/>
      <c r="BAY114" s="30"/>
      <c r="BAZ114" s="30"/>
      <c r="BBA114" s="30"/>
      <c r="BBB114" s="30"/>
      <c r="BBC114" s="30"/>
      <c r="BBD114" s="30"/>
      <c r="BBE114" s="30"/>
      <c r="BBF114" s="30"/>
      <c r="BBG114" s="30"/>
      <c r="BBH114" s="30"/>
      <c r="BBI114" s="30"/>
      <c r="BBJ114" s="30"/>
      <c r="BBK114" s="30"/>
      <c r="BBL114" s="30"/>
      <c r="BBM114" s="30"/>
      <c r="BBN114" s="30"/>
      <c r="BBO114" s="30"/>
      <c r="BBP114" s="30"/>
      <c r="BBQ114" s="30"/>
      <c r="BBR114" s="30"/>
      <c r="BBS114" s="30"/>
      <c r="BBT114" s="30"/>
      <c r="BBU114" s="30"/>
      <c r="BBV114" s="30"/>
      <c r="BBW114" s="30"/>
      <c r="BBX114" s="30"/>
      <c r="BBY114" s="30"/>
      <c r="BBZ114" s="30"/>
      <c r="BCA114" s="30"/>
      <c r="BCB114" s="30"/>
      <c r="BCC114" s="30"/>
      <c r="BCD114" s="30"/>
      <c r="BCE114" s="30"/>
      <c r="BCF114" s="30"/>
      <c r="BCG114" s="30"/>
      <c r="BCH114" s="30"/>
      <c r="BCI114" s="30"/>
      <c r="BCJ114" s="30"/>
      <c r="BCK114" s="30"/>
      <c r="BCL114" s="30"/>
      <c r="BCM114" s="30"/>
      <c r="BCN114" s="30"/>
      <c r="BCO114" s="30"/>
      <c r="BCP114" s="30"/>
      <c r="BCQ114" s="30"/>
      <c r="BCR114" s="30"/>
      <c r="BCS114" s="30"/>
      <c r="BCT114" s="30"/>
      <c r="BCU114" s="30"/>
      <c r="BCV114" s="30"/>
      <c r="BCW114" s="30"/>
      <c r="BCX114" s="30"/>
      <c r="BCY114" s="30"/>
      <c r="BCZ114" s="30"/>
      <c r="BDA114" s="30"/>
      <c r="BDB114" s="30"/>
      <c r="BDC114" s="30"/>
      <c r="BDD114" s="30"/>
      <c r="BDE114" s="30"/>
      <c r="BDF114" s="30"/>
      <c r="BDG114" s="30"/>
      <c r="BDH114" s="30"/>
      <c r="BDI114" s="30"/>
      <c r="BDJ114" s="30"/>
      <c r="BDK114" s="30"/>
      <c r="BDL114" s="30"/>
      <c r="BDM114" s="30"/>
      <c r="BDN114" s="30"/>
      <c r="BDO114" s="30"/>
      <c r="BDP114" s="30"/>
      <c r="BDQ114" s="30"/>
      <c r="BDR114" s="30"/>
      <c r="BDS114" s="30"/>
      <c r="BDT114" s="30"/>
      <c r="BDU114" s="30"/>
      <c r="BDV114" s="30"/>
      <c r="BDW114" s="30"/>
      <c r="BDX114" s="30"/>
      <c r="BDY114" s="30"/>
      <c r="BDZ114" s="30"/>
      <c r="BEA114" s="30"/>
      <c r="BEB114" s="30"/>
      <c r="BEC114" s="30"/>
      <c r="BED114" s="30"/>
      <c r="BEE114" s="30"/>
      <c r="BEF114" s="30"/>
      <c r="BEG114" s="30"/>
      <c r="BEH114" s="30"/>
      <c r="BEI114" s="30"/>
      <c r="BEJ114" s="30"/>
      <c r="BEK114" s="30"/>
      <c r="BEL114" s="30"/>
      <c r="BEM114" s="30"/>
      <c r="BEN114" s="30"/>
      <c r="BEO114" s="30"/>
      <c r="BEP114" s="30"/>
      <c r="BEQ114" s="30"/>
      <c r="BER114" s="30"/>
      <c r="BES114" s="30"/>
      <c r="BET114" s="30"/>
      <c r="BEU114" s="30"/>
      <c r="BEV114" s="30"/>
      <c r="BEW114" s="30"/>
      <c r="BEX114" s="30"/>
      <c r="BEY114" s="30"/>
      <c r="BEZ114" s="30"/>
      <c r="BFA114" s="30"/>
      <c r="BFB114" s="30"/>
      <c r="BFC114" s="30"/>
      <c r="BFD114" s="30"/>
      <c r="BFE114" s="30"/>
      <c r="BFF114" s="30"/>
      <c r="BFG114" s="30"/>
      <c r="BFH114" s="30"/>
      <c r="BFI114" s="30"/>
      <c r="BFJ114" s="30"/>
      <c r="BFK114" s="30"/>
      <c r="BFL114" s="30"/>
      <c r="BFM114" s="30"/>
      <c r="BFN114" s="30"/>
      <c r="BFO114" s="30"/>
      <c r="BFP114" s="30"/>
      <c r="BFQ114" s="30"/>
      <c r="BFR114" s="30"/>
      <c r="BFS114" s="30"/>
      <c r="BFT114" s="30"/>
      <c r="BFU114" s="30"/>
      <c r="BFV114" s="30"/>
      <c r="BFW114" s="30"/>
      <c r="BFX114" s="30"/>
      <c r="BFY114" s="30"/>
      <c r="BFZ114" s="30"/>
      <c r="BGA114" s="30"/>
      <c r="BGB114" s="30"/>
      <c r="BGC114" s="30"/>
      <c r="BGD114" s="30"/>
      <c r="BGE114" s="30"/>
      <c r="BGF114" s="30"/>
      <c r="BGG114" s="30"/>
      <c r="BGH114" s="30"/>
      <c r="BGI114" s="30"/>
      <c r="BGJ114" s="30"/>
      <c r="BGK114" s="30"/>
      <c r="BGL114" s="30"/>
      <c r="BGM114" s="30"/>
      <c r="BGN114" s="30"/>
      <c r="BGO114" s="30"/>
      <c r="BGP114" s="30"/>
      <c r="BGQ114" s="30"/>
      <c r="BGR114" s="30"/>
      <c r="BGS114" s="30"/>
      <c r="BGT114" s="30"/>
      <c r="BGU114" s="30"/>
      <c r="BGV114" s="30"/>
      <c r="BGW114" s="30"/>
      <c r="BGX114" s="30"/>
      <c r="BGY114" s="30"/>
      <c r="BGZ114" s="30"/>
      <c r="BHA114" s="30"/>
      <c r="BHB114" s="30"/>
      <c r="BHC114" s="30"/>
      <c r="BHD114" s="30"/>
      <c r="BHE114" s="30"/>
      <c r="BHF114" s="30"/>
      <c r="BHG114" s="30"/>
      <c r="BHH114" s="30"/>
      <c r="BHI114" s="30"/>
      <c r="BHJ114" s="30"/>
      <c r="BHK114" s="30"/>
      <c r="BHL114" s="30"/>
      <c r="BHM114" s="30"/>
      <c r="BHN114" s="30"/>
      <c r="BHO114" s="30"/>
      <c r="BHP114" s="30"/>
      <c r="BHQ114" s="30"/>
      <c r="BHR114" s="30"/>
      <c r="BHS114" s="30"/>
      <c r="BHT114" s="30"/>
      <c r="BHU114" s="30"/>
      <c r="BHV114" s="30"/>
      <c r="BHW114" s="30"/>
      <c r="BHX114" s="30"/>
      <c r="BHY114" s="30"/>
      <c r="BHZ114" s="30"/>
      <c r="BIA114" s="30"/>
      <c r="BIB114" s="30"/>
      <c r="BIC114" s="30"/>
      <c r="BID114" s="30"/>
      <c r="BIE114" s="30"/>
      <c r="BIF114" s="30"/>
      <c r="BIG114" s="30"/>
      <c r="BIH114" s="30"/>
      <c r="BII114" s="30"/>
      <c r="BIJ114" s="30"/>
      <c r="BIK114" s="30"/>
      <c r="BIL114" s="30"/>
      <c r="BIM114" s="30"/>
      <c r="BIN114" s="30"/>
      <c r="BIO114" s="30"/>
      <c r="BIP114" s="30"/>
      <c r="BIQ114" s="30"/>
      <c r="BIR114" s="30"/>
      <c r="BIS114" s="30"/>
      <c r="BIT114" s="30"/>
      <c r="BIU114" s="30"/>
      <c r="BIV114" s="30"/>
      <c r="BIW114" s="30"/>
      <c r="BIX114" s="30"/>
      <c r="BIY114" s="30"/>
      <c r="BIZ114" s="30"/>
      <c r="BJA114" s="30"/>
      <c r="BJB114" s="30"/>
      <c r="BJC114" s="30"/>
      <c r="BJD114" s="30"/>
      <c r="BJE114" s="30"/>
      <c r="BJF114" s="30"/>
      <c r="BJG114" s="30"/>
      <c r="BJH114" s="30"/>
      <c r="BJI114" s="30"/>
      <c r="BJJ114" s="30"/>
      <c r="BJK114" s="30"/>
      <c r="BJL114" s="30"/>
      <c r="BJM114" s="30"/>
      <c r="BJN114" s="30"/>
      <c r="BJO114" s="30"/>
      <c r="BJP114" s="30"/>
      <c r="BJQ114" s="30"/>
      <c r="BJR114" s="30"/>
      <c r="BJS114" s="30"/>
      <c r="BJT114" s="30"/>
      <c r="BJU114" s="30"/>
      <c r="BJV114" s="30"/>
      <c r="BJW114" s="30"/>
      <c r="BJX114" s="30"/>
      <c r="BJY114" s="30"/>
      <c r="BJZ114" s="30"/>
      <c r="BKA114" s="30"/>
      <c r="BKB114" s="30"/>
      <c r="BKC114" s="30"/>
      <c r="BKD114" s="30"/>
      <c r="BKE114" s="30"/>
      <c r="BKF114" s="30"/>
      <c r="BKG114" s="30"/>
      <c r="BKH114" s="30"/>
      <c r="BKI114" s="30"/>
      <c r="BKJ114" s="30"/>
      <c r="BKK114" s="30"/>
      <c r="BKL114" s="30"/>
      <c r="BKM114" s="30"/>
      <c r="BKN114" s="30"/>
      <c r="BKO114" s="30"/>
      <c r="BKP114" s="30"/>
      <c r="BKQ114" s="30"/>
      <c r="BKR114" s="30"/>
      <c r="BKS114" s="30"/>
      <c r="BKT114" s="30"/>
      <c r="BKU114" s="30"/>
      <c r="BKV114" s="30"/>
      <c r="BKW114" s="30"/>
      <c r="BKX114" s="30"/>
      <c r="BKY114" s="30"/>
      <c r="BKZ114" s="30"/>
      <c r="BLA114" s="30"/>
      <c r="BLB114" s="30"/>
      <c r="BLC114" s="30"/>
      <c r="BLD114" s="30"/>
      <c r="BLE114" s="30"/>
      <c r="BLF114" s="30"/>
      <c r="BLG114" s="30"/>
      <c r="BLH114" s="30"/>
      <c r="BLI114" s="30"/>
      <c r="BLJ114" s="30"/>
      <c r="BLK114" s="30"/>
      <c r="BLL114" s="30"/>
      <c r="BLM114" s="30"/>
      <c r="BLN114" s="30"/>
      <c r="BLO114" s="30"/>
      <c r="BLP114" s="30"/>
      <c r="BLQ114" s="30"/>
      <c r="BLR114" s="30"/>
      <c r="BLS114" s="30"/>
      <c r="BLT114" s="30"/>
      <c r="BLU114" s="30"/>
      <c r="BLV114" s="30"/>
      <c r="BLW114" s="30"/>
      <c r="BLX114" s="30"/>
      <c r="BLY114" s="30"/>
      <c r="BLZ114" s="30"/>
      <c r="BMA114" s="30"/>
      <c r="BMB114" s="30"/>
      <c r="BMC114" s="30"/>
      <c r="BMD114" s="30"/>
      <c r="BME114" s="30"/>
      <c r="BMF114" s="30"/>
      <c r="BMG114" s="30"/>
      <c r="BMH114" s="30"/>
      <c r="BMI114" s="30"/>
      <c r="BMJ114" s="30"/>
      <c r="BMK114" s="30"/>
      <c r="BML114" s="30"/>
      <c r="BMM114" s="30"/>
      <c r="BMN114" s="30"/>
      <c r="BMO114" s="30"/>
      <c r="BMP114" s="30"/>
      <c r="BMQ114" s="30"/>
      <c r="BMR114" s="30"/>
      <c r="BMS114" s="30"/>
      <c r="BMT114" s="30"/>
      <c r="BMU114" s="30"/>
      <c r="BMV114" s="30"/>
      <c r="BMW114" s="30"/>
      <c r="BMX114" s="30"/>
      <c r="BMY114" s="30"/>
      <c r="BMZ114" s="30"/>
      <c r="BNA114" s="30"/>
      <c r="BNB114" s="30"/>
      <c r="BNC114" s="30"/>
      <c r="BND114" s="30"/>
      <c r="BNE114" s="30"/>
      <c r="BNF114" s="30"/>
      <c r="BNG114" s="30"/>
      <c r="BNH114" s="30"/>
      <c r="BNI114" s="30"/>
      <c r="BNJ114" s="30"/>
      <c r="BNK114" s="30"/>
      <c r="BNL114" s="30"/>
      <c r="BNM114" s="30"/>
      <c r="BNN114" s="30"/>
      <c r="BNO114" s="30"/>
      <c r="BNP114" s="30"/>
      <c r="BNQ114" s="30"/>
      <c r="BNR114" s="30"/>
      <c r="BNS114" s="30"/>
      <c r="BNT114" s="30"/>
      <c r="BNU114" s="30"/>
      <c r="BNV114" s="30"/>
      <c r="BNW114" s="30"/>
      <c r="BNX114" s="30"/>
      <c r="BNY114" s="30"/>
      <c r="BNZ114" s="30"/>
      <c r="BOA114" s="30"/>
      <c r="BOB114" s="30"/>
      <c r="BOC114" s="30"/>
      <c r="BOD114" s="30"/>
      <c r="BOE114" s="30"/>
      <c r="BOF114" s="30"/>
      <c r="BOG114" s="30"/>
      <c r="BOH114" s="30"/>
      <c r="BOI114" s="30"/>
      <c r="BOJ114" s="30"/>
      <c r="BOK114" s="30"/>
      <c r="BOL114" s="30"/>
      <c r="BOM114" s="30"/>
      <c r="BON114" s="30"/>
      <c r="BOO114" s="30"/>
      <c r="BOP114" s="30"/>
      <c r="BOQ114" s="30"/>
      <c r="BOR114" s="30"/>
      <c r="BOS114" s="30"/>
      <c r="BOT114" s="30"/>
      <c r="BOU114" s="30"/>
      <c r="BOV114" s="30"/>
      <c r="BOW114" s="30"/>
      <c r="BOX114" s="30"/>
      <c r="BOY114" s="30"/>
      <c r="BOZ114" s="30"/>
      <c r="BPA114" s="30"/>
      <c r="BPB114" s="30"/>
      <c r="BPC114" s="30"/>
      <c r="BPD114" s="30"/>
      <c r="BPE114" s="30"/>
      <c r="BPF114" s="30"/>
      <c r="BPG114" s="30"/>
      <c r="BPH114" s="30"/>
      <c r="BPI114" s="30"/>
      <c r="BPJ114" s="30"/>
      <c r="BPK114" s="30"/>
      <c r="BPL114" s="30"/>
      <c r="BPM114" s="30"/>
      <c r="BPN114" s="30"/>
      <c r="BPO114" s="30"/>
      <c r="BPP114" s="30"/>
      <c r="BPQ114" s="30"/>
      <c r="BPR114" s="30"/>
      <c r="BPS114" s="30"/>
      <c r="BPT114" s="30"/>
      <c r="BPU114" s="30"/>
      <c r="BPV114" s="30"/>
      <c r="BPW114" s="30"/>
      <c r="BPX114" s="30"/>
      <c r="BPY114" s="30"/>
      <c r="BPZ114" s="30"/>
      <c r="BQA114" s="30"/>
      <c r="BQB114" s="30"/>
      <c r="BQC114" s="30"/>
      <c r="BQD114" s="30"/>
      <c r="BQE114" s="30"/>
      <c r="BQF114" s="30"/>
      <c r="BQG114" s="30"/>
      <c r="BQH114" s="30"/>
      <c r="BQI114" s="30"/>
      <c r="BQJ114" s="30"/>
      <c r="BQK114" s="30"/>
      <c r="BQL114" s="30"/>
      <c r="BQM114" s="30"/>
      <c r="BQN114" s="30"/>
      <c r="BQO114" s="30"/>
      <c r="BQP114" s="30"/>
      <c r="BQQ114" s="30"/>
      <c r="BQR114" s="30"/>
      <c r="BQS114" s="30"/>
      <c r="BQT114" s="30"/>
      <c r="BQU114" s="30"/>
      <c r="BQV114" s="30"/>
      <c r="BQW114" s="30"/>
      <c r="BQX114" s="30"/>
      <c r="BQY114" s="30"/>
      <c r="BQZ114" s="30"/>
      <c r="BRA114" s="30"/>
      <c r="BRB114" s="30"/>
      <c r="BRC114" s="30"/>
      <c r="BRD114" s="30"/>
      <c r="BRE114" s="30"/>
      <c r="BRF114" s="30"/>
      <c r="BRG114" s="30"/>
      <c r="BRH114" s="30"/>
      <c r="BRI114" s="30"/>
      <c r="BRJ114" s="30"/>
      <c r="BRK114" s="30"/>
      <c r="BRL114" s="30"/>
      <c r="BRM114" s="30"/>
      <c r="BRN114" s="30"/>
      <c r="BRO114" s="30"/>
      <c r="BRP114" s="30"/>
      <c r="BRQ114" s="30"/>
      <c r="BRR114" s="30"/>
      <c r="BRS114" s="30"/>
      <c r="BRT114" s="30"/>
      <c r="BRU114" s="30"/>
      <c r="BRV114" s="30"/>
      <c r="BRW114" s="30"/>
      <c r="BRX114" s="30"/>
      <c r="BRY114" s="30"/>
      <c r="BRZ114" s="30"/>
      <c r="BSA114" s="30"/>
      <c r="BSB114" s="30"/>
      <c r="BSC114" s="30"/>
      <c r="BSD114" s="30"/>
      <c r="BSE114" s="30"/>
      <c r="BSF114" s="30"/>
      <c r="BSG114" s="30"/>
      <c r="BSH114" s="30"/>
      <c r="BSI114" s="30"/>
      <c r="BSJ114" s="30"/>
      <c r="BSK114" s="30"/>
      <c r="BSL114" s="30"/>
      <c r="BSM114" s="30"/>
      <c r="BSN114" s="30"/>
      <c r="BSO114" s="30"/>
      <c r="BSP114" s="30"/>
      <c r="BSQ114" s="30"/>
      <c r="BSR114" s="30"/>
      <c r="BSS114" s="30"/>
      <c r="BST114" s="30"/>
      <c r="BSU114" s="30"/>
      <c r="BSV114" s="30"/>
      <c r="BSW114" s="30"/>
      <c r="BSX114" s="30"/>
      <c r="BSY114" s="30"/>
      <c r="BSZ114" s="30"/>
      <c r="BTA114" s="30"/>
      <c r="BTB114" s="30"/>
      <c r="BTC114" s="30"/>
      <c r="BTD114" s="30"/>
      <c r="BTE114" s="30"/>
      <c r="BTF114" s="30"/>
      <c r="BTG114" s="30"/>
      <c r="BTH114" s="30"/>
      <c r="BTI114" s="30"/>
      <c r="BTJ114" s="30"/>
      <c r="BTK114" s="30"/>
      <c r="BTL114" s="30"/>
      <c r="BTM114" s="30"/>
      <c r="BTN114" s="30"/>
      <c r="BTO114" s="30"/>
      <c r="BTP114" s="30"/>
      <c r="BTQ114" s="30"/>
      <c r="BTR114" s="30"/>
      <c r="BTS114" s="30"/>
      <c r="BTT114" s="30"/>
      <c r="BTU114" s="30"/>
      <c r="BTV114" s="30"/>
      <c r="BTW114" s="30"/>
      <c r="BTX114" s="30"/>
      <c r="BTY114" s="30"/>
      <c r="BTZ114" s="30"/>
      <c r="BUA114" s="30"/>
      <c r="BUB114" s="30"/>
      <c r="BUC114" s="30"/>
      <c r="BUD114" s="30"/>
      <c r="BUE114" s="30"/>
      <c r="BUF114" s="30"/>
      <c r="BUG114" s="30"/>
      <c r="BUH114" s="30"/>
      <c r="BUI114" s="30"/>
      <c r="BUJ114" s="30"/>
      <c r="BUK114" s="30"/>
      <c r="BUL114" s="30"/>
      <c r="BUM114" s="30"/>
      <c r="BUN114" s="30"/>
      <c r="BUO114" s="30"/>
      <c r="BUP114" s="30"/>
      <c r="BUQ114" s="30"/>
      <c r="BUR114" s="30"/>
      <c r="BUS114" s="30"/>
      <c r="BUT114" s="30"/>
      <c r="BUU114" s="30"/>
      <c r="BUV114" s="30"/>
      <c r="BUW114" s="30"/>
      <c r="BUX114" s="30"/>
      <c r="BUY114" s="30"/>
      <c r="BUZ114" s="30"/>
      <c r="BVA114" s="30"/>
      <c r="BVB114" s="30"/>
      <c r="BVC114" s="30"/>
      <c r="BVD114" s="30"/>
      <c r="BVE114" s="30"/>
      <c r="BVF114" s="30"/>
      <c r="BVG114" s="30"/>
      <c r="BVH114" s="30"/>
      <c r="BVI114" s="30"/>
      <c r="BVJ114" s="30"/>
      <c r="BVK114" s="30"/>
      <c r="BVL114" s="30"/>
      <c r="BVM114" s="30"/>
      <c r="BVN114" s="30"/>
      <c r="BVO114" s="30"/>
      <c r="BVP114" s="30"/>
      <c r="BVQ114" s="30"/>
      <c r="BVR114" s="30"/>
      <c r="BVS114" s="30"/>
      <c r="BVT114" s="30"/>
      <c r="BVU114" s="30"/>
      <c r="BVV114" s="30"/>
      <c r="BVW114" s="30"/>
      <c r="BVX114" s="30"/>
      <c r="BVY114" s="30"/>
      <c r="BVZ114" s="30"/>
      <c r="BWA114" s="30"/>
      <c r="BWB114" s="30"/>
      <c r="BWC114" s="30"/>
      <c r="BWD114" s="30"/>
      <c r="BWE114" s="30"/>
      <c r="BWF114" s="30"/>
      <c r="BWG114" s="30"/>
      <c r="BWH114" s="30"/>
      <c r="BWI114" s="30"/>
      <c r="BWJ114" s="30"/>
      <c r="BWK114" s="30"/>
      <c r="BWL114" s="30"/>
      <c r="BWM114" s="30"/>
      <c r="BWN114" s="30"/>
      <c r="BWO114" s="30"/>
      <c r="BWP114" s="30"/>
      <c r="BWQ114" s="30"/>
      <c r="BWR114" s="30"/>
      <c r="BWS114" s="30"/>
      <c r="BWT114" s="30"/>
      <c r="BWU114" s="30"/>
      <c r="BWV114" s="30"/>
      <c r="BWW114" s="30"/>
      <c r="BWX114" s="30"/>
      <c r="BWY114" s="30"/>
      <c r="BWZ114" s="30"/>
      <c r="BXA114" s="30"/>
      <c r="BXB114" s="30"/>
      <c r="BXC114" s="30"/>
      <c r="BXD114" s="30"/>
      <c r="BXE114" s="30"/>
      <c r="BXF114" s="30"/>
      <c r="BXG114" s="30"/>
      <c r="BXH114" s="30"/>
      <c r="BXI114" s="30"/>
      <c r="BXJ114" s="30"/>
      <c r="BXK114" s="30"/>
      <c r="BXL114" s="30"/>
      <c r="BXM114" s="30"/>
      <c r="BXN114" s="30"/>
      <c r="BXO114" s="30"/>
      <c r="BXP114" s="30"/>
      <c r="BXQ114" s="30"/>
      <c r="BXR114" s="30"/>
      <c r="BXS114" s="30"/>
      <c r="BXT114" s="30"/>
      <c r="BXU114" s="30"/>
      <c r="BXV114" s="30"/>
      <c r="BXW114" s="30"/>
      <c r="BXX114" s="30"/>
      <c r="BXY114" s="30"/>
      <c r="BXZ114" s="30"/>
      <c r="BYA114" s="30"/>
      <c r="BYB114" s="30"/>
      <c r="BYC114" s="30"/>
      <c r="BYD114" s="30"/>
      <c r="BYE114" s="30"/>
      <c r="BYF114" s="30"/>
      <c r="BYG114" s="30"/>
      <c r="BYH114" s="30"/>
      <c r="BYI114" s="30"/>
      <c r="BYJ114" s="30"/>
      <c r="BYK114" s="30"/>
      <c r="BYL114" s="30"/>
      <c r="BYM114" s="30"/>
      <c r="BYN114" s="30"/>
      <c r="BYO114" s="30"/>
      <c r="BYP114" s="30"/>
      <c r="BYQ114" s="30"/>
      <c r="BYR114" s="30"/>
      <c r="BYS114" s="30"/>
      <c r="BYT114" s="30"/>
      <c r="BYU114" s="30"/>
      <c r="BYV114" s="30"/>
      <c r="BYW114" s="30"/>
      <c r="BYX114" s="30"/>
      <c r="BYY114" s="30"/>
      <c r="BYZ114" s="30"/>
      <c r="BZA114" s="30"/>
      <c r="BZB114" s="30"/>
      <c r="BZC114" s="30"/>
      <c r="BZD114" s="30"/>
      <c r="BZE114" s="30"/>
      <c r="BZF114" s="30"/>
      <c r="BZG114" s="30"/>
      <c r="BZH114" s="30"/>
      <c r="BZI114" s="30"/>
      <c r="BZJ114" s="30"/>
      <c r="BZK114" s="30"/>
      <c r="BZL114" s="30"/>
      <c r="BZM114" s="30"/>
      <c r="BZN114" s="30"/>
      <c r="BZO114" s="30"/>
      <c r="BZP114" s="30"/>
      <c r="BZQ114" s="30"/>
      <c r="BZR114" s="30"/>
      <c r="BZS114" s="30"/>
      <c r="BZT114" s="30"/>
      <c r="BZU114" s="30"/>
      <c r="BZV114" s="30"/>
      <c r="BZW114" s="30"/>
      <c r="BZX114" s="30"/>
      <c r="BZY114" s="30"/>
      <c r="BZZ114" s="30"/>
      <c r="CAA114" s="30"/>
      <c r="CAB114" s="30"/>
      <c r="CAC114" s="30"/>
      <c r="CAD114" s="30"/>
      <c r="CAE114" s="30"/>
      <c r="CAF114" s="30"/>
      <c r="CAG114" s="30"/>
      <c r="CAH114" s="30"/>
      <c r="CAI114" s="30"/>
      <c r="CAJ114" s="30"/>
      <c r="CAK114" s="30"/>
      <c r="CAL114" s="30"/>
      <c r="CAM114" s="30"/>
      <c r="CAN114" s="30"/>
      <c r="CAO114" s="30"/>
      <c r="CAP114" s="30"/>
      <c r="CAQ114" s="30"/>
      <c r="CAR114" s="30"/>
      <c r="CAS114" s="30"/>
      <c r="CAT114" s="30"/>
      <c r="CAU114" s="30"/>
      <c r="CAV114" s="30"/>
      <c r="CAW114" s="30"/>
      <c r="CAX114" s="30"/>
      <c r="CAY114" s="30"/>
      <c r="CAZ114" s="30"/>
      <c r="CBA114" s="30"/>
      <c r="CBB114" s="30"/>
      <c r="CBC114" s="30"/>
      <c r="CBD114" s="30"/>
      <c r="CBE114" s="30"/>
      <c r="CBF114" s="30"/>
      <c r="CBG114" s="30"/>
      <c r="CBH114" s="30"/>
      <c r="CBI114" s="30"/>
      <c r="CBJ114" s="30"/>
      <c r="CBK114" s="30"/>
      <c r="CBL114" s="30"/>
      <c r="CBM114" s="30"/>
      <c r="CBN114" s="30"/>
      <c r="CBO114" s="30"/>
      <c r="CBP114" s="30"/>
      <c r="CBQ114" s="30"/>
      <c r="CBR114" s="30"/>
      <c r="CBS114" s="30"/>
      <c r="CBT114" s="30"/>
      <c r="CBU114" s="30"/>
      <c r="CBV114" s="30"/>
      <c r="CBW114" s="30"/>
      <c r="CBX114" s="30"/>
      <c r="CBY114" s="30"/>
      <c r="CBZ114" s="30"/>
      <c r="CCA114" s="30"/>
      <c r="CCB114" s="30"/>
      <c r="CCC114" s="30"/>
      <c r="CCD114" s="30"/>
      <c r="CCE114" s="30"/>
      <c r="CCF114" s="30"/>
      <c r="CCG114" s="30"/>
      <c r="CCH114" s="30"/>
      <c r="CCI114" s="30"/>
      <c r="CCJ114" s="30"/>
      <c r="CCK114" s="30"/>
      <c r="CCL114" s="30"/>
      <c r="CCM114" s="30"/>
      <c r="CCN114" s="30"/>
      <c r="CCO114" s="30"/>
      <c r="CCP114" s="30"/>
      <c r="CCQ114" s="30"/>
      <c r="CCR114" s="30"/>
      <c r="CCS114" s="30"/>
      <c r="CCT114" s="30"/>
      <c r="CCU114" s="30"/>
      <c r="CCV114" s="30"/>
      <c r="CCW114" s="30"/>
      <c r="CCX114" s="30"/>
      <c r="CCY114" s="30"/>
      <c r="CCZ114" s="30"/>
      <c r="CDA114" s="30"/>
      <c r="CDB114" s="30"/>
      <c r="CDC114" s="30"/>
      <c r="CDD114" s="30"/>
      <c r="CDE114" s="30"/>
      <c r="CDF114" s="30"/>
      <c r="CDG114" s="30"/>
      <c r="CDH114" s="30"/>
      <c r="CDI114" s="30"/>
      <c r="CDJ114" s="30"/>
      <c r="CDK114" s="30"/>
      <c r="CDL114" s="30"/>
      <c r="CDM114" s="30"/>
      <c r="CDN114" s="30"/>
      <c r="CDO114" s="30"/>
      <c r="CDP114" s="30"/>
      <c r="CDQ114" s="30"/>
      <c r="CDR114" s="30"/>
      <c r="CDS114" s="30"/>
      <c r="CDT114" s="30"/>
      <c r="CDU114" s="30"/>
      <c r="CDV114" s="30"/>
      <c r="CDW114" s="30"/>
      <c r="CDX114" s="30"/>
      <c r="CDY114" s="30"/>
      <c r="CDZ114" s="30"/>
      <c r="CEA114" s="30"/>
      <c r="CEB114" s="30"/>
      <c r="CEC114" s="30"/>
      <c r="CED114" s="30"/>
      <c r="CEE114" s="30"/>
      <c r="CEF114" s="30"/>
      <c r="CEG114" s="30"/>
      <c r="CEH114" s="30"/>
      <c r="CEI114" s="30"/>
      <c r="CEJ114" s="30"/>
      <c r="CEK114" s="30"/>
      <c r="CEL114" s="30"/>
      <c r="CEM114" s="30"/>
      <c r="CEN114" s="30"/>
      <c r="CEO114" s="30"/>
      <c r="CEP114" s="30"/>
      <c r="CEQ114" s="30"/>
      <c r="CER114" s="30"/>
      <c r="CES114" s="30"/>
      <c r="CET114" s="30"/>
      <c r="CEU114" s="30"/>
      <c r="CEV114" s="30"/>
      <c r="CEW114" s="30"/>
      <c r="CEX114" s="30"/>
      <c r="CEY114" s="30"/>
      <c r="CEZ114" s="30"/>
      <c r="CFA114" s="30"/>
      <c r="CFB114" s="30"/>
      <c r="CFC114" s="30"/>
      <c r="CFD114" s="30"/>
      <c r="CFE114" s="30"/>
      <c r="CFF114" s="30"/>
      <c r="CFG114" s="30"/>
      <c r="CFH114" s="30"/>
      <c r="CFI114" s="30"/>
      <c r="CFJ114" s="30"/>
      <c r="CFK114" s="30"/>
      <c r="CFL114" s="30"/>
      <c r="CFM114" s="30"/>
      <c r="CFN114" s="30"/>
      <c r="CFO114" s="30"/>
      <c r="CFP114" s="30"/>
      <c r="CFQ114" s="30"/>
      <c r="CFR114" s="30"/>
      <c r="CFS114" s="30"/>
      <c r="CFT114" s="30"/>
      <c r="CFU114" s="30"/>
      <c r="CFV114" s="30"/>
      <c r="CFW114" s="30"/>
      <c r="CFX114" s="30"/>
      <c r="CFY114" s="30"/>
      <c r="CFZ114" s="30"/>
      <c r="CGA114" s="30"/>
      <c r="CGB114" s="30"/>
      <c r="CGC114" s="30"/>
      <c r="CGD114" s="30"/>
      <c r="CGE114" s="30"/>
      <c r="CGF114" s="30"/>
      <c r="CGG114" s="30"/>
      <c r="CGH114" s="30"/>
      <c r="CGI114" s="30"/>
      <c r="CGJ114" s="30"/>
      <c r="CGK114" s="30"/>
      <c r="CGL114" s="30"/>
      <c r="CGM114" s="30"/>
      <c r="CGN114" s="30"/>
      <c r="CGO114" s="30"/>
      <c r="CGP114" s="30"/>
      <c r="CGQ114" s="30"/>
      <c r="CGR114" s="30"/>
      <c r="CGS114" s="30"/>
      <c r="CGT114" s="30"/>
      <c r="CGU114" s="30"/>
      <c r="CGV114" s="30"/>
      <c r="CGW114" s="30"/>
      <c r="CGX114" s="30"/>
      <c r="CGY114" s="30"/>
      <c r="CGZ114" s="30"/>
      <c r="CHA114" s="30"/>
      <c r="CHB114" s="30"/>
      <c r="CHC114" s="30"/>
      <c r="CHD114" s="30"/>
      <c r="CHE114" s="30"/>
      <c r="CHF114" s="30"/>
      <c r="CHG114" s="30"/>
      <c r="CHH114" s="30"/>
      <c r="CHI114" s="30"/>
      <c r="CHJ114" s="30"/>
      <c r="CHK114" s="30"/>
      <c r="CHL114" s="30"/>
      <c r="CHM114" s="30"/>
      <c r="CHN114" s="30"/>
      <c r="CHO114" s="30"/>
      <c r="CHP114" s="30"/>
      <c r="CHQ114" s="30"/>
      <c r="CHR114" s="30"/>
      <c r="CHS114" s="30"/>
      <c r="CHT114" s="30"/>
      <c r="CHU114" s="30"/>
      <c r="CHV114" s="30"/>
      <c r="CHW114" s="30"/>
      <c r="CHX114" s="30"/>
      <c r="CHY114" s="30"/>
      <c r="CHZ114" s="30"/>
      <c r="CIA114" s="30"/>
      <c r="CIB114" s="30"/>
      <c r="CIC114" s="30"/>
      <c r="CID114" s="30"/>
      <c r="CIE114" s="30"/>
      <c r="CIF114" s="30"/>
      <c r="CIG114" s="30"/>
      <c r="CIH114" s="30"/>
      <c r="CII114" s="30"/>
      <c r="CIJ114" s="30"/>
      <c r="CIK114" s="30"/>
      <c r="CIL114" s="30"/>
      <c r="CIM114" s="30"/>
      <c r="CIN114" s="30"/>
      <c r="CIO114" s="30"/>
      <c r="CIP114" s="30"/>
      <c r="CIQ114" s="30"/>
      <c r="CIR114" s="30"/>
      <c r="CIS114" s="30"/>
      <c r="CIT114" s="30"/>
      <c r="CIU114" s="30"/>
      <c r="CIV114" s="30"/>
      <c r="CIW114" s="30"/>
      <c r="CIX114" s="30"/>
      <c r="CIY114" s="30"/>
      <c r="CIZ114" s="30"/>
      <c r="CJA114" s="30"/>
      <c r="CJB114" s="30"/>
      <c r="CJC114" s="30"/>
      <c r="CJD114" s="30"/>
      <c r="CJE114" s="30"/>
      <c r="CJF114" s="30"/>
      <c r="CJG114" s="30"/>
      <c r="CJH114" s="30"/>
      <c r="CJI114" s="30"/>
      <c r="CJJ114" s="30"/>
      <c r="CJK114" s="30"/>
      <c r="CJL114" s="30"/>
      <c r="CJM114" s="30"/>
      <c r="CJN114" s="30"/>
      <c r="CJO114" s="30"/>
      <c r="CJP114" s="30"/>
      <c r="CJQ114" s="30"/>
      <c r="CJR114" s="30"/>
      <c r="CJS114" s="30"/>
      <c r="CJT114" s="30"/>
      <c r="CJU114" s="30"/>
      <c r="CJV114" s="30"/>
      <c r="CJW114" s="30"/>
      <c r="CJX114" s="30"/>
      <c r="CJY114" s="30"/>
      <c r="CJZ114" s="30"/>
      <c r="CKA114" s="30"/>
      <c r="CKB114" s="30"/>
      <c r="CKC114" s="30"/>
      <c r="CKD114" s="30"/>
      <c r="CKE114" s="30"/>
      <c r="CKF114" s="30"/>
      <c r="CKG114" s="30"/>
      <c r="CKH114" s="30"/>
      <c r="CKI114" s="30"/>
      <c r="CKJ114" s="30"/>
      <c r="CKK114" s="30"/>
      <c r="CKL114" s="30"/>
      <c r="CKM114" s="30"/>
      <c r="CKN114" s="30"/>
      <c r="CKO114" s="30"/>
      <c r="CKP114" s="30"/>
      <c r="CKQ114" s="30"/>
      <c r="CKR114" s="30"/>
      <c r="CKS114" s="30"/>
      <c r="CKT114" s="30"/>
      <c r="CKU114" s="30"/>
      <c r="CKV114" s="30"/>
      <c r="CKW114" s="30"/>
      <c r="CKX114" s="30"/>
      <c r="CKY114" s="30"/>
      <c r="CKZ114" s="30"/>
      <c r="CLA114" s="30"/>
      <c r="CLB114" s="30"/>
      <c r="CLC114" s="30"/>
      <c r="CLD114" s="30"/>
      <c r="CLE114" s="30"/>
      <c r="CLF114" s="30"/>
      <c r="CLG114" s="30"/>
      <c r="CLH114" s="30"/>
      <c r="CLI114" s="30"/>
      <c r="CLJ114" s="30"/>
      <c r="CLK114" s="30"/>
      <c r="CLL114" s="30"/>
      <c r="CLM114" s="30"/>
      <c r="CLN114" s="30"/>
      <c r="CLO114" s="30"/>
      <c r="CLP114" s="30"/>
      <c r="CLQ114" s="30"/>
      <c r="CLR114" s="30"/>
      <c r="CLS114" s="30"/>
      <c r="CLT114" s="30"/>
      <c r="CLU114" s="30"/>
      <c r="CLV114" s="30"/>
      <c r="CLW114" s="30"/>
      <c r="CLX114" s="30"/>
      <c r="CLY114" s="30"/>
      <c r="CLZ114" s="30"/>
      <c r="CMA114" s="30"/>
      <c r="CMB114" s="30"/>
      <c r="CMC114" s="30"/>
      <c r="CMD114" s="30"/>
      <c r="CME114" s="30"/>
      <c r="CMF114" s="30"/>
      <c r="CMG114" s="30"/>
      <c r="CMH114" s="30"/>
      <c r="CMI114" s="30"/>
      <c r="CMJ114" s="30"/>
      <c r="CMK114" s="30"/>
      <c r="CML114" s="30"/>
      <c r="CMM114" s="30"/>
      <c r="CMN114" s="30"/>
      <c r="CMO114" s="30"/>
      <c r="CMP114" s="30"/>
      <c r="CMQ114" s="30"/>
      <c r="CMR114" s="30"/>
      <c r="CMS114" s="30"/>
      <c r="CMT114" s="30"/>
      <c r="CMU114" s="30"/>
      <c r="CMV114" s="30"/>
      <c r="CMW114" s="30"/>
      <c r="CMX114" s="30"/>
      <c r="CMY114" s="30"/>
      <c r="CMZ114" s="30"/>
      <c r="CNA114" s="30"/>
      <c r="CNB114" s="30"/>
      <c r="CNC114" s="30"/>
      <c r="CND114" s="30"/>
      <c r="CNE114" s="30"/>
      <c r="CNF114" s="30"/>
      <c r="CNG114" s="30"/>
      <c r="CNH114" s="30"/>
      <c r="CNI114" s="30"/>
      <c r="CNJ114" s="30"/>
      <c r="CNK114" s="30"/>
      <c r="CNL114" s="30"/>
      <c r="CNM114" s="30"/>
      <c r="CNN114" s="30"/>
      <c r="CNO114" s="30"/>
      <c r="CNP114" s="30"/>
      <c r="CNQ114" s="30"/>
      <c r="CNR114" s="30"/>
      <c r="CNS114" s="30"/>
      <c r="CNT114" s="30"/>
      <c r="CNU114" s="30"/>
      <c r="CNV114" s="30"/>
      <c r="CNW114" s="30"/>
      <c r="CNX114" s="30"/>
      <c r="CNY114" s="30"/>
      <c r="CNZ114" s="30"/>
      <c r="COA114" s="30"/>
      <c r="COB114" s="30"/>
      <c r="COC114" s="30"/>
      <c r="COD114" s="30"/>
      <c r="COE114" s="30"/>
      <c r="COF114" s="30"/>
      <c r="COG114" s="30"/>
      <c r="COH114" s="30"/>
      <c r="COI114" s="30"/>
      <c r="COJ114" s="30"/>
      <c r="COK114" s="30"/>
      <c r="COL114" s="30"/>
      <c r="COM114" s="30"/>
      <c r="CON114" s="30"/>
      <c r="COO114" s="30"/>
      <c r="COP114" s="30"/>
      <c r="COQ114" s="30"/>
      <c r="COR114" s="30"/>
      <c r="COS114" s="30"/>
      <c r="COT114" s="30"/>
      <c r="COU114" s="30"/>
      <c r="COV114" s="30"/>
      <c r="COW114" s="30"/>
      <c r="COX114" s="30"/>
      <c r="COY114" s="30"/>
      <c r="COZ114" s="30"/>
      <c r="CPA114" s="30"/>
      <c r="CPB114" s="30"/>
      <c r="CPC114" s="30"/>
      <c r="CPD114" s="30"/>
      <c r="CPE114" s="30"/>
      <c r="CPF114" s="30"/>
      <c r="CPG114" s="30"/>
      <c r="CPH114" s="30"/>
      <c r="CPI114" s="30"/>
      <c r="CPJ114" s="30"/>
      <c r="CPK114" s="30"/>
      <c r="CPL114" s="30"/>
      <c r="CPM114" s="30"/>
      <c r="CPN114" s="30"/>
      <c r="CPO114" s="30"/>
      <c r="CPP114" s="30"/>
      <c r="CPQ114" s="30"/>
      <c r="CPR114" s="30"/>
      <c r="CPS114" s="30"/>
      <c r="CPT114" s="30"/>
      <c r="CPU114" s="30"/>
      <c r="CPV114" s="30"/>
      <c r="CPW114" s="30"/>
      <c r="CPX114" s="30"/>
      <c r="CPY114" s="30"/>
      <c r="CPZ114" s="30"/>
      <c r="CQA114" s="30"/>
      <c r="CQB114" s="30"/>
      <c r="CQC114" s="30"/>
      <c r="CQD114" s="30"/>
      <c r="CQE114" s="30"/>
      <c r="CQF114" s="30"/>
      <c r="CQG114" s="30"/>
      <c r="CQH114" s="30"/>
      <c r="CQI114" s="30"/>
      <c r="CQJ114" s="30"/>
      <c r="CQK114" s="30"/>
      <c r="CQL114" s="30"/>
      <c r="CQM114" s="30"/>
      <c r="CQN114" s="30"/>
      <c r="CQO114" s="30"/>
      <c r="CQP114" s="30"/>
      <c r="CQQ114" s="30"/>
      <c r="CQR114" s="30"/>
      <c r="CQS114" s="30"/>
      <c r="CQT114" s="30"/>
      <c r="CQU114" s="30"/>
      <c r="CQV114" s="30"/>
      <c r="CQW114" s="30"/>
      <c r="CQX114" s="30"/>
      <c r="CQY114" s="30"/>
      <c r="CQZ114" s="30"/>
      <c r="CRA114" s="30"/>
      <c r="CRB114" s="30"/>
      <c r="CRC114" s="30"/>
      <c r="CRD114" s="30"/>
      <c r="CRE114" s="30"/>
      <c r="CRF114" s="30"/>
      <c r="CRG114" s="30"/>
      <c r="CRH114" s="30"/>
      <c r="CRI114" s="30"/>
      <c r="CRJ114" s="30"/>
      <c r="CRK114" s="30"/>
      <c r="CRL114" s="30"/>
      <c r="CRM114" s="30"/>
      <c r="CRN114" s="30"/>
      <c r="CRO114" s="30"/>
      <c r="CRP114" s="30"/>
      <c r="CRQ114" s="30"/>
      <c r="CRR114" s="30"/>
      <c r="CRS114" s="30"/>
      <c r="CRT114" s="30"/>
      <c r="CRU114" s="30"/>
      <c r="CRV114" s="30"/>
      <c r="CRW114" s="30"/>
      <c r="CRX114" s="30"/>
      <c r="CRY114" s="30"/>
      <c r="CRZ114" s="30"/>
      <c r="CSA114" s="30"/>
      <c r="CSB114" s="30"/>
      <c r="CSC114" s="30"/>
      <c r="CSD114" s="30"/>
      <c r="CSE114" s="30"/>
      <c r="CSF114" s="30"/>
      <c r="CSG114" s="30"/>
      <c r="CSH114" s="30"/>
      <c r="CSI114" s="30"/>
      <c r="CSJ114" s="30"/>
      <c r="CSK114" s="30"/>
      <c r="CSL114" s="30"/>
      <c r="CSM114" s="30"/>
      <c r="CSN114" s="30"/>
      <c r="CSO114" s="30"/>
      <c r="CSP114" s="30"/>
      <c r="CSQ114" s="30"/>
      <c r="CSR114" s="30"/>
      <c r="CSS114" s="30"/>
      <c r="CST114" s="30"/>
      <c r="CSU114" s="30"/>
      <c r="CSV114" s="30"/>
      <c r="CSW114" s="30"/>
      <c r="CSX114" s="30"/>
      <c r="CSY114" s="30"/>
      <c r="CSZ114" s="30"/>
      <c r="CTA114" s="30"/>
      <c r="CTB114" s="30"/>
      <c r="CTC114" s="30"/>
      <c r="CTD114" s="30"/>
      <c r="CTE114" s="30"/>
      <c r="CTF114" s="30"/>
      <c r="CTG114" s="30"/>
      <c r="CTH114" s="30"/>
      <c r="CTI114" s="30"/>
      <c r="CTJ114" s="30"/>
      <c r="CTK114" s="30"/>
      <c r="CTL114" s="30"/>
      <c r="CTM114" s="30"/>
      <c r="CTN114" s="30"/>
      <c r="CTO114" s="30"/>
      <c r="CTP114" s="30"/>
      <c r="CTQ114" s="30"/>
      <c r="CTR114" s="30"/>
      <c r="CTS114" s="30"/>
      <c r="CTT114" s="30"/>
      <c r="CTU114" s="30"/>
      <c r="CTV114" s="30"/>
      <c r="CTW114" s="30"/>
      <c r="CTX114" s="30"/>
      <c r="CTY114" s="30"/>
      <c r="CTZ114" s="30"/>
      <c r="CUA114" s="30"/>
    </row>
    <row r="115" s="267" customFormat="1" ht="23" customHeight="1" spans="1:2575">
      <c r="A115" s="268">
        <v>121</v>
      </c>
      <c r="B115" s="268" t="s">
        <v>13</v>
      </c>
      <c r="C115" s="268" t="s">
        <v>37</v>
      </c>
      <c r="D115" s="311" t="s">
        <v>330</v>
      </c>
      <c r="E115" s="29" t="s">
        <v>720</v>
      </c>
      <c r="F115" s="31"/>
      <c r="G115" s="31" t="s">
        <v>866</v>
      </c>
      <c r="H115" s="32">
        <v>56150178</v>
      </c>
      <c r="I115" s="31"/>
      <c r="J115" s="31"/>
      <c r="K115" s="31"/>
      <c r="L115" s="248" t="s">
        <v>673</v>
      </c>
      <c r="M115" s="29" t="s">
        <v>674</v>
      </c>
      <c r="N115" s="94">
        <v>45820</v>
      </c>
      <c r="O115" s="94">
        <v>46184</v>
      </c>
      <c r="P115" s="142">
        <v>400</v>
      </c>
      <c r="Q115" s="251"/>
      <c r="R115" s="322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30"/>
      <c r="GX115" s="30"/>
      <c r="GY115" s="30"/>
      <c r="GZ115" s="30"/>
      <c r="HA115" s="30"/>
      <c r="HB115" s="30"/>
      <c r="HC115" s="30"/>
      <c r="HD115" s="30"/>
      <c r="HE115" s="30"/>
      <c r="HF115" s="30"/>
      <c r="HG115" s="30"/>
      <c r="HH115" s="30"/>
      <c r="HI115" s="30"/>
      <c r="HJ115" s="30"/>
      <c r="HK115" s="30"/>
      <c r="HL115" s="30"/>
      <c r="HM115" s="30"/>
      <c r="HN115" s="30"/>
      <c r="HO115" s="30"/>
      <c r="HP115" s="30"/>
      <c r="HQ115" s="30"/>
      <c r="HR115" s="30"/>
      <c r="HS115" s="30"/>
      <c r="HT115" s="30"/>
      <c r="HU115" s="30"/>
      <c r="HV115" s="30"/>
      <c r="HW115" s="30"/>
      <c r="HX115" s="30"/>
      <c r="HY115" s="30"/>
      <c r="HZ115" s="30"/>
      <c r="IA115" s="30"/>
      <c r="IB115" s="30"/>
      <c r="IC115" s="30"/>
      <c r="ID115" s="30"/>
      <c r="IE115" s="30"/>
      <c r="IF115" s="30"/>
      <c r="IG115" s="30"/>
      <c r="IH115" s="30"/>
      <c r="II115" s="30"/>
      <c r="IJ115" s="30"/>
      <c r="IK115" s="30"/>
      <c r="IL115" s="30"/>
      <c r="IM115" s="30"/>
      <c r="IN115" s="30"/>
      <c r="IO115" s="30"/>
      <c r="IP115" s="30"/>
      <c r="IQ115" s="30"/>
      <c r="IR115" s="30"/>
      <c r="IS115" s="30"/>
      <c r="IT115" s="30"/>
      <c r="IU115" s="30"/>
      <c r="IV115" s="30"/>
      <c r="IW115" s="30"/>
      <c r="IX115" s="30"/>
      <c r="IY115" s="30"/>
      <c r="IZ115" s="30"/>
      <c r="JA115" s="30"/>
      <c r="JB115" s="30"/>
      <c r="JC115" s="30"/>
      <c r="JD115" s="30"/>
      <c r="JE115" s="30"/>
      <c r="JF115" s="30"/>
      <c r="JG115" s="30"/>
      <c r="JH115" s="30"/>
      <c r="JI115" s="30"/>
      <c r="JJ115" s="30"/>
      <c r="JK115" s="30"/>
      <c r="JL115" s="30"/>
      <c r="JM115" s="30"/>
      <c r="JN115" s="30"/>
      <c r="JO115" s="30"/>
      <c r="JP115" s="30"/>
      <c r="JQ115" s="30"/>
      <c r="JR115" s="30"/>
      <c r="JS115" s="30"/>
      <c r="JT115" s="30"/>
      <c r="JU115" s="30"/>
      <c r="JV115" s="30"/>
      <c r="JW115" s="30"/>
      <c r="JX115" s="30"/>
      <c r="JY115" s="30"/>
      <c r="JZ115" s="30"/>
      <c r="KA115" s="30"/>
      <c r="KB115" s="30"/>
      <c r="KC115" s="30"/>
      <c r="KD115" s="30"/>
      <c r="KE115" s="30"/>
      <c r="KF115" s="30"/>
      <c r="KG115" s="30"/>
      <c r="KH115" s="30"/>
      <c r="KI115" s="30"/>
      <c r="KJ115" s="30"/>
      <c r="KK115" s="30"/>
      <c r="KL115" s="30"/>
      <c r="KM115" s="30"/>
      <c r="KN115" s="30"/>
      <c r="KO115" s="30"/>
      <c r="KP115" s="30"/>
      <c r="KQ115" s="30"/>
      <c r="KR115" s="30"/>
      <c r="KS115" s="30"/>
      <c r="KT115" s="30"/>
      <c r="KU115" s="30"/>
      <c r="KV115" s="30"/>
      <c r="KW115" s="30"/>
      <c r="KX115" s="30"/>
      <c r="KY115" s="30"/>
      <c r="KZ115" s="30"/>
      <c r="LA115" s="30"/>
      <c r="LB115" s="30"/>
      <c r="LC115" s="30"/>
      <c r="LD115" s="30"/>
      <c r="LE115" s="30"/>
      <c r="LF115" s="30"/>
      <c r="LG115" s="30"/>
      <c r="LH115" s="30"/>
      <c r="LI115" s="30"/>
      <c r="LJ115" s="30"/>
      <c r="LK115" s="30"/>
      <c r="LL115" s="30"/>
      <c r="LM115" s="30"/>
      <c r="LN115" s="30"/>
      <c r="LO115" s="30"/>
      <c r="LP115" s="30"/>
      <c r="LQ115" s="30"/>
      <c r="LR115" s="30"/>
      <c r="LS115" s="30"/>
      <c r="LT115" s="30"/>
      <c r="LU115" s="30"/>
      <c r="LV115" s="30"/>
      <c r="LW115" s="30"/>
      <c r="LX115" s="30"/>
      <c r="LY115" s="30"/>
      <c r="LZ115" s="30"/>
      <c r="MA115" s="30"/>
      <c r="MB115" s="30"/>
      <c r="MC115" s="30"/>
      <c r="MD115" s="30"/>
      <c r="ME115" s="30"/>
      <c r="MF115" s="30"/>
      <c r="MG115" s="30"/>
      <c r="MH115" s="30"/>
      <c r="MI115" s="30"/>
      <c r="MJ115" s="30"/>
      <c r="MK115" s="30"/>
      <c r="ML115" s="30"/>
      <c r="MM115" s="30"/>
      <c r="MN115" s="30"/>
      <c r="MO115" s="30"/>
      <c r="MP115" s="30"/>
      <c r="MQ115" s="30"/>
      <c r="MR115" s="30"/>
      <c r="MS115" s="30"/>
      <c r="MT115" s="30"/>
      <c r="MU115" s="30"/>
      <c r="MV115" s="30"/>
      <c r="MW115" s="30"/>
      <c r="MX115" s="30"/>
      <c r="MY115" s="30"/>
      <c r="MZ115" s="30"/>
      <c r="NA115" s="30"/>
      <c r="NB115" s="30"/>
      <c r="NC115" s="30"/>
      <c r="ND115" s="30"/>
      <c r="NE115" s="30"/>
      <c r="NF115" s="30"/>
      <c r="NG115" s="30"/>
      <c r="NH115" s="30"/>
      <c r="NI115" s="30"/>
      <c r="NJ115" s="30"/>
      <c r="NK115" s="30"/>
      <c r="NL115" s="30"/>
      <c r="NM115" s="30"/>
      <c r="NN115" s="30"/>
      <c r="NO115" s="30"/>
      <c r="NP115" s="30"/>
      <c r="NQ115" s="30"/>
      <c r="NR115" s="30"/>
      <c r="NS115" s="30"/>
      <c r="NT115" s="30"/>
      <c r="NU115" s="30"/>
      <c r="NV115" s="30"/>
      <c r="NW115" s="30"/>
      <c r="NX115" s="30"/>
      <c r="NY115" s="30"/>
      <c r="NZ115" s="30"/>
      <c r="OA115" s="30"/>
      <c r="OB115" s="30"/>
      <c r="OC115" s="30"/>
      <c r="OD115" s="30"/>
      <c r="OE115" s="30"/>
      <c r="OF115" s="30"/>
      <c r="OG115" s="30"/>
      <c r="OH115" s="30"/>
      <c r="OI115" s="30"/>
      <c r="OJ115" s="30"/>
      <c r="OK115" s="30"/>
      <c r="OL115" s="30"/>
      <c r="OM115" s="30"/>
      <c r="ON115" s="30"/>
      <c r="OO115" s="30"/>
      <c r="OP115" s="30"/>
      <c r="OQ115" s="30"/>
      <c r="OR115" s="30"/>
      <c r="OS115" s="30"/>
      <c r="OT115" s="30"/>
      <c r="OU115" s="30"/>
      <c r="OV115" s="30"/>
      <c r="OW115" s="30"/>
      <c r="OX115" s="30"/>
      <c r="OY115" s="30"/>
      <c r="OZ115" s="30"/>
      <c r="PA115" s="30"/>
      <c r="PB115" s="30"/>
      <c r="PC115" s="30"/>
      <c r="PD115" s="30"/>
      <c r="PE115" s="30"/>
      <c r="PF115" s="30"/>
      <c r="PG115" s="30"/>
      <c r="PH115" s="30"/>
      <c r="PI115" s="30"/>
      <c r="PJ115" s="30"/>
      <c r="PK115" s="30"/>
      <c r="PL115" s="30"/>
      <c r="PM115" s="30"/>
      <c r="PN115" s="30"/>
      <c r="PO115" s="30"/>
      <c r="PP115" s="30"/>
      <c r="PQ115" s="30"/>
      <c r="PR115" s="30"/>
      <c r="PS115" s="30"/>
      <c r="PT115" s="30"/>
      <c r="PU115" s="30"/>
      <c r="PV115" s="30"/>
      <c r="PW115" s="30"/>
      <c r="PX115" s="30"/>
      <c r="PY115" s="30"/>
      <c r="PZ115" s="30"/>
      <c r="QA115" s="30"/>
      <c r="QB115" s="30"/>
      <c r="QC115" s="30"/>
      <c r="QD115" s="30"/>
      <c r="QE115" s="30"/>
      <c r="QF115" s="30"/>
      <c r="QG115" s="30"/>
      <c r="QH115" s="30"/>
      <c r="QI115" s="30"/>
      <c r="QJ115" s="30"/>
      <c r="QK115" s="30"/>
      <c r="QL115" s="30"/>
      <c r="QM115" s="30"/>
      <c r="QN115" s="30"/>
      <c r="QO115" s="30"/>
      <c r="QP115" s="30"/>
      <c r="QQ115" s="30"/>
      <c r="QR115" s="30"/>
      <c r="QS115" s="30"/>
      <c r="QT115" s="30"/>
      <c r="QU115" s="30"/>
      <c r="QV115" s="30"/>
      <c r="QW115" s="30"/>
      <c r="QX115" s="30"/>
      <c r="QY115" s="30"/>
      <c r="QZ115" s="30"/>
      <c r="RA115" s="30"/>
      <c r="RB115" s="30"/>
      <c r="RC115" s="30"/>
      <c r="RD115" s="30"/>
      <c r="RE115" s="30"/>
      <c r="RF115" s="30"/>
      <c r="RG115" s="30"/>
      <c r="RH115" s="30"/>
      <c r="RI115" s="30"/>
      <c r="RJ115" s="30"/>
      <c r="RK115" s="30"/>
      <c r="RL115" s="30"/>
      <c r="RM115" s="30"/>
      <c r="RN115" s="30"/>
      <c r="RO115" s="30"/>
      <c r="RP115" s="30"/>
      <c r="RQ115" s="30"/>
      <c r="RR115" s="30"/>
      <c r="RS115" s="30"/>
      <c r="RT115" s="30"/>
      <c r="RU115" s="30"/>
      <c r="RV115" s="30"/>
      <c r="RW115" s="30"/>
      <c r="RX115" s="30"/>
      <c r="RY115" s="30"/>
      <c r="RZ115" s="30"/>
      <c r="SA115" s="30"/>
      <c r="SB115" s="30"/>
      <c r="SC115" s="30"/>
      <c r="SD115" s="30"/>
      <c r="SE115" s="30"/>
      <c r="SF115" s="30"/>
      <c r="SG115" s="30"/>
      <c r="SH115" s="30"/>
      <c r="SI115" s="30"/>
      <c r="SJ115" s="30"/>
      <c r="SK115" s="30"/>
      <c r="SL115" s="30"/>
      <c r="SM115" s="30"/>
      <c r="SN115" s="30"/>
      <c r="SO115" s="30"/>
      <c r="SP115" s="30"/>
      <c r="SQ115" s="30"/>
      <c r="SR115" s="30"/>
      <c r="SS115" s="30"/>
      <c r="ST115" s="30"/>
      <c r="SU115" s="30"/>
      <c r="SV115" s="30"/>
      <c r="SW115" s="30"/>
      <c r="SX115" s="30"/>
      <c r="SY115" s="30"/>
      <c r="SZ115" s="30"/>
      <c r="TA115" s="30"/>
      <c r="TB115" s="30"/>
      <c r="TC115" s="30"/>
      <c r="TD115" s="30"/>
      <c r="TE115" s="30"/>
      <c r="TF115" s="30"/>
      <c r="TG115" s="30"/>
      <c r="TH115" s="30"/>
      <c r="TI115" s="30"/>
      <c r="TJ115" s="30"/>
      <c r="TK115" s="30"/>
      <c r="TL115" s="30"/>
      <c r="TM115" s="30"/>
      <c r="TN115" s="30"/>
      <c r="TO115" s="30"/>
      <c r="TP115" s="30"/>
      <c r="TQ115" s="30"/>
      <c r="TR115" s="30"/>
      <c r="TS115" s="30"/>
      <c r="TT115" s="30"/>
      <c r="TU115" s="30"/>
      <c r="TV115" s="30"/>
      <c r="TW115" s="30"/>
      <c r="TX115" s="30"/>
      <c r="TY115" s="30"/>
      <c r="TZ115" s="30"/>
      <c r="UA115" s="30"/>
      <c r="UB115" s="30"/>
      <c r="UC115" s="30"/>
      <c r="UD115" s="30"/>
      <c r="UE115" s="30"/>
      <c r="UF115" s="30"/>
      <c r="UG115" s="30"/>
      <c r="UH115" s="30"/>
      <c r="UI115" s="30"/>
      <c r="UJ115" s="30"/>
      <c r="UK115" s="30"/>
      <c r="UL115" s="30"/>
      <c r="UM115" s="30"/>
      <c r="UN115" s="30"/>
      <c r="UO115" s="30"/>
      <c r="UP115" s="30"/>
      <c r="UQ115" s="30"/>
      <c r="UR115" s="30"/>
      <c r="US115" s="30"/>
      <c r="UT115" s="30"/>
      <c r="UU115" s="30"/>
      <c r="UV115" s="30"/>
      <c r="UW115" s="30"/>
      <c r="UX115" s="30"/>
      <c r="UY115" s="30"/>
      <c r="UZ115" s="30"/>
      <c r="VA115" s="30"/>
      <c r="VB115" s="30"/>
      <c r="VC115" s="30"/>
      <c r="VD115" s="30"/>
      <c r="VE115" s="30"/>
      <c r="VF115" s="30"/>
      <c r="VG115" s="30"/>
      <c r="VH115" s="30"/>
      <c r="VI115" s="30"/>
      <c r="VJ115" s="30"/>
      <c r="VK115" s="30"/>
      <c r="VL115" s="30"/>
      <c r="VM115" s="30"/>
      <c r="VN115" s="30"/>
      <c r="VO115" s="30"/>
      <c r="VP115" s="30"/>
      <c r="VQ115" s="30"/>
      <c r="VR115" s="30"/>
      <c r="VS115" s="30"/>
      <c r="VT115" s="30"/>
      <c r="VU115" s="30"/>
      <c r="VV115" s="30"/>
      <c r="VW115" s="30"/>
      <c r="VX115" s="30"/>
      <c r="VY115" s="30"/>
      <c r="VZ115" s="30"/>
      <c r="WA115" s="30"/>
      <c r="WB115" s="30"/>
      <c r="WC115" s="30"/>
      <c r="WD115" s="30"/>
      <c r="WE115" s="30"/>
      <c r="WF115" s="30"/>
      <c r="WG115" s="30"/>
      <c r="WH115" s="30"/>
      <c r="WI115" s="30"/>
      <c r="WJ115" s="30"/>
      <c r="WK115" s="30"/>
      <c r="WL115" s="30"/>
      <c r="WM115" s="30"/>
      <c r="WN115" s="30"/>
      <c r="WO115" s="30"/>
      <c r="WP115" s="30"/>
      <c r="WQ115" s="30"/>
      <c r="WR115" s="30"/>
      <c r="WS115" s="30"/>
      <c r="WT115" s="30"/>
      <c r="WU115" s="30"/>
      <c r="WV115" s="30"/>
      <c r="WW115" s="30"/>
      <c r="WX115" s="30"/>
      <c r="WY115" s="30"/>
      <c r="WZ115" s="30"/>
      <c r="XA115" s="30"/>
      <c r="XB115" s="30"/>
      <c r="XC115" s="30"/>
      <c r="XD115" s="30"/>
      <c r="XE115" s="30"/>
      <c r="XF115" s="30"/>
      <c r="XG115" s="30"/>
      <c r="XH115" s="30"/>
      <c r="XI115" s="30"/>
      <c r="XJ115" s="30"/>
      <c r="XK115" s="30"/>
      <c r="XL115" s="30"/>
      <c r="XM115" s="30"/>
      <c r="XN115" s="30"/>
      <c r="XO115" s="30"/>
      <c r="XP115" s="30"/>
      <c r="XQ115" s="30"/>
      <c r="XR115" s="30"/>
      <c r="XS115" s="30"/>
      <c r="XT115" s="30"/>
      <c r="XU115" s="30"/>
      <c r="XV115" s="30"/>
      <c r="XW115" s="30"/>
      <c r="XX115" s="30"/>
      <c r="XY115" s="30"/>
      <c r="XZ115" s="30"/>
      <c r="YA115" s="30"/>
      <c r="YB115" s="30"/>
      <c r="YC115" s="30"/>
      <c r="YD115" s="30"/>
      <c r="YE115" s="30"/>
      <c r="YF115" s="30"/>
      <c r="YG115" s="30"/>
      <c r="YH115" s="30"/>
      <c r="YI115" s="30"/>
      <c r="YJ115" s="30"/>
      <c r="YK115" s="30"/>
      <c r="YL115" s="30"/>
      <c r="YM115" s="30"/>
      <c r="YN115" s="30"/>
      <c r="YO115" s="30"/>
      <c r="YP115" s="30"/>
      <c r="YQ115" s="30"/>
      <c r="YR115" s="30"/>
      <c r="YS115" s="30"/>
      <c r="YT115" s="30"/>
      <c r="YU115" s="30"/>
      <c r="YV115" s="30"/>
      <c r="YW115" s="30"/>
      <c r="YX115" s="30"/>
      <c r="YY115" s="30"/>
      <c r="YZ115" s="30"/>
      <c r="ZA115" s="30"/>
      <c r="ZB115" s="30"/>
      <c r="ZC115" s="30"/>
      <c r="ZD115" s="30"/>
      <c r="ZE115" s="30"/>
      <c r="ZF115" s="30"/>
      <c r="ZG115" s="30"/>
      <c r="ZH115" s="30"/>
      <c r="ZI115" s="30"/>
      <c r="ZJ115" s="30"/>
      <c r="ZK115" s="30"/>
      <c r="ZL115" s="30"/>
      <c r="ZM115" s="30"/>
      <c r="ZN115" s="30"/>
      <c r="ZO115" s="30"/>
      <c r="ZP115" s="30"/>
      <c r="ZQ115" s="30"/>
      <c r="ZR115" s="30"/>
      <c r="ZS115" s="30"/>
      <c r="ZT115" s="30"/>
      <c r="ZU115" s="30"/>
      <c r="ZV115" s="30"/>
      <c r="ZW115" s="30"/>
      <c r="ZX115" s="30"/>
      <c r="ZY115" s="30"/>
      <c r="ZZ115" s="30"/>
      <c r="AAA115" s="30"/>
      <c r="AAB115" s="30"/>
      <c r="AAC115" s="30"/>
      <c r="AAD115" s="30"/>
      <c r="AAE115" s="30"/>
      <c r="AAF115" s="30"/>
      <c r="AAG115" s="30"/>
      <c r="AAH115" s="30"/>
      <c r="AAI115" s="30"/>
      <c r="AAJ115" s="30"/>
      <c r="AAK115" s="30"/>
      <c r="AAL115" s="30"/>
      <c r="AAM115" s="30"/>
      <c r="AAN115" s="30"/>
      <c r="AAO115" s="30"/>
      <c r="AAP115" s="30"/>
      <c r="AAQ115" s="30"/>
      <c r="AAR115" s="30"/>
      <c r="AAS115" s="30"/>
      <c r="AAT115" s="30"/>
      <c r="AAU115" s="30"/>
      <c r="AAV115" s="30"/>
      <c r="AAW115" s="30"/>
      <c r="AAX115" s="30"/>
      <c r="AAY115" s="30"/>
      <c r="AAZ115" s="30"/>
      <c r="ABA115" s="30"/>
      <c r="ABB115" s="30"/>
      <c r="ABC115" s="30"/>
      <c r="ABD115" s="30"/>
      <c r="ABE115" s="30"/>
      <c r="ABF115" s="30"/>
      <c r="ABG115" s="30"/>
      <c r="ABH115" s="30"/>
      <c r="ABI115" s="30"/>
      <c r="ABJ115" s="30"/>
      <c r="ABK115" s="30"/>
      <c r="ABL115" s="30"/>
      <c r="ABM115" s="30"/>
      <c r="ABN115" s="30"/>
      <c r="ABO115" s="30"/>
      <c r="ABP115" s="30"/>
      <c r="ABQ115" s="30"/>
      <c r="ABR115" s="30"/>
      <c r="ABS115" s="30"/>
      <c r="ABT115" s="30"/>
      <c r="ABU115" s="30"/>
      <c r="ABV115" s="30"/>
      <c r="ABW115" s="30"/>
      <c r="ABX115" s="30"/>
      <c r="ABY115" s="30"/>
      <c r="ABZ115" s="30"/>
      <c r="ACA115" s="30"/>
      <c r="ACB115" s="30"/>
      <c r="ACC115" s="30"/>
      <c r="ACD115" s="30"/>
      <c r="ACE115" s="30"/>
      <c r="ACF115" s="30"/>
      <c r="ACG115" s="30"/>
      <c r="ACH115" s="30"/>
      <c r="ACI115" s="30"/>
      <c r="ACJ115" s="30"/>
      <c r="ACK115" s="30"/>
      <c r="ACL115" s="30"/>
      <c r="ACM115" s="30"/>
      <c r="ACN115" s="30"/>
      <c r="ACO115" s="30"/>
      <c r="ACP115" s="30"/>
      <c r="ACQ115" s="30"/>
      <c r="ACR115" s="30"/>
      <c r="ACS115" s="30"/>
      <c r="ACT115" s="30"/>
      <c r="ACU115" s="30"/>
      <c r="ACV115" s="30"/>
      <c r="ACW115" s="30"/>
      <c r="ACX115" s="30"/>
      <c r="ACY115" s="30"/>
      <c r="ACZ115" s="30"/>
      <c r="ADA115" s="30"/>
      <c r="ADB115" s="30"/>
      <c r="ADC115" s="30"/>
      <c r="ADD115" s="30"/>
      <c r="ADE115" s="30"/>
      <c r="ADF115" s="30"/>
      <c r="ADG115" s="30"/>
      <c r="ADH115" s="30"/>
      <c r="ADI115" s="30"/>
      <c r="ADJ115" s="30"/>
      <c r="ADK115" s="30"/>
      <c r="ADL115" s="30"/>
      <c r="ADM115" s="30"/>
      <c r="ADN115" s="30"/>
      <c r="ADO115" s="30"/>
      <c r="ADP115" s="30"/>
      <c r="ADQ115" s="30"/>
      <c r="ADR115" s="30"/>
      <c r="ADS115" s="30"/>
      <c r="ADT115" s="30"/>
      <c r="ADU115" s="30"/>
      <c r="ADV115" s="30"/>
      <c r="ADW115" s="30"/>
      <c r="ADX115" s="30"/>
      <c r="ADY115" s="30"/>
      <c r="ADZ115" s="30"/>
      <c r="AEA115" s="30"/>
      <c r="AEB115" s="30"/>
      <c r="AEC115" s="30"/>
      <c r="AED115" s="30"/>
      <c r="AEE115" s="30"/>
      <c r="AEF115" s="30"/>
      <c r="AEG115" s="30"/>
      <c r="AEH115" s="30"/>
      <c r="AEI115" s="30"/>
      <c r="AEJ115" s="30"/>
      <c r="AEK115" s="30"/>
      <c r="AEL115" s="30"/>
      <c r="AEM115" s="30"/>
      <c r="AEN115" s="30"/>
      <c r="AEO115" s="30"/>
      <c r="AEP115" s="30"/>
      <c r="AEQ115" s="30"/>
      <c r="AER115" s="30"/>
      <c r="AES115" s="30"/>
      <c r="AET115" s="30"/>
      <c r="AEU115" s="30"/>
      <c r="AEV115" s="30"/>
      <c r="AEW115" s="30"/>
      <c r="AEX115" s="30"/>
      <c r="AEY115" s="30"/>
      <c r="AEZ115" s="30"/>
      <c r="AFA115" s="30"/>
      <c r="AFB115" s="30"/>
      <c r="AFC115" s="30"/>
      <c r="AFD115" s="30"/>
      <c r="AFE115" s="30"/>
      <c r="AFF115" s="30"/>
      <c r="AFG115" s="30"/>
      <c r="AFH115" s="30"/>
      <c r="AFI115" s="30"/>
      <c r="AFJ115" s="30"/>
      <c r="AFK115" s="30"/>
      <c r="AFL115" s="30"/>
      <c r="AFM115" s="30"/>
      <c r="AFN115" s="30"/>
      <c r="AFO115" s="30"/>
      <c r="AFP115" s="30"/>
      <c r="AFQ115" s="30"/>
      <c r="AFR115" s="30"/>
      <c r="AFS115" s="30"/>
      <c r="AFT115" s="30"/>
      <c r="AFU115" s="30"/>
      <c r="AFV115" s="30"/>
      <c r="AFW115" s="30"/>
      <c r="AFX115" s="30"/>
      <c r="AFY115" s="30"/>
      <c r="AFZ115" s="30"/>
      <c r="AGA115" s="30"/>
      <c r="AGB115" s="30"/>
      <c r="AGC115" s="30"/>
      <c r="AGD115" s="30"/>
      <c r="AGE115" s="30"/>
      <c r="AGF115" s="30"/>
      <c r="AGG115" s="30"/>
      <c r="AGH115" s="30"/>
      <c r="AGI115" s="30"/>
      <c r="AGJ115" s="30"/>
      <c r="AGK115" s="30"/>
      <c r="AGL115" s="30"/>
      <c r="AGM115" s="30"/>
      <c r="AGN115" s="30"/>
      <c r="AGO115" s="30"/>
      <c r="AGP115" s="30"/>
      <c r="AGQ115" s="30"/>
      <c r="AGR115" s="30"/>
      <c r="AGS115" s="30"/>
      <c r="AGT115" s="30"/>
      <c r="AGU115" s="30"/>
      <c r="AGV115" s="30"/>
      <c r="AGW115" s="30"/>
      <c r="AGX115" s="30"/>
      <c r="AGY115" s="30"/>
      <c r="AGZ115" s="30"/>
      <c r="AHA115" s="30"/>
      <c r="AHB115" s="30"/>
      <c r="AHC115" s="30"/>
      <c r="AHD115" s="30"/>
      <c r="AHE115" s="30"/>
      <c r="AHF115" s="30"/>
      <c r="AHG115" s="30"/>
      <c r="AHH115" s="30"/>
      <c r="AHI115" s="30"/>
      <c r="AHJ115" s="30"/>
      <c r="AHK115" s="30"/>
      <c r="AHL115" s="30"/>
      <c r="AHM115" s="30"/>
      <c r="AHN115" s="30"/>
      <c r="AHO115" s="30"/>
      <c r="AHP115" s="30"/>
      <c r="AHQ115" s="30"/>
      <c r="AHR115" s="30"/>
      <c r="AHS115" s="30"/>
      <c r="AHT115" s="30"/>
      <c r="AHU115" s="30"/>
      <c r="AHV115" s="30"/>
      <c r="AHW115" s="30"/>
      <c r="AHX115" s="30"/>
      <c r="AHY115" s="30"/>
      <c r="AHZ115" s="30"/>
      <c r="AIA115" s="30"/>
      <c r="AIB115" s="30"/>
      <c r="AIC115" s="30"/>
      <c r="AID115" s="30"/>
      <c r="AIE115" s="30"/>
      <c r="AIF115" s="30"/>
      <c r="AIG115" s="30"/>
      <c r="AIH115" s="30"/>
      <c r="AII115" s="30"/>
      <c r="AIJ115" s="30"/>
      <c r="AIK115" s="30"/>
      <c r="AIL115" s="30"/>
      <c r="AIM115" s="30"/>
      <c r="AIN115" s="30"/>
      <c r="AIO115" s="30"/>
      <c r="AIP115" s="30"/>
      <c r="AIQ115" s="30"/>
      <c r="AIR115" s="30"/>
      <c r="AIS115" s="30"/>
      <c r="AIT115" s="30"/>
      <c r="AIU115" s="30"/>
      <c r="AIV115" s="30"/>
      <c r="AIW115" s="30"/>
      <c r="AIX115" s="30"/>
      <c r="AIY115" s="30"/>
      <c r="AIZ115" s="30"/>
      <c r="AJA115" s="30"/>
      <c r="AJB115" s="30"/>
      <c r="AJC115" s="30"/>
      <c r="AJD115" s="30"/>
      <c r="AJE115" s="30"/>
      <c r="AJF115" s="30"/>
      <c r="AJG115" s="30"/>
      <c r="AJH115" s="30"/>
      <c r="AJI115" s="30"/>
      <c r="AJJ115" s="30"/>
      <c r="AJK115" s="30"/>
      <c r="AJL115" s="30"/>
      <c r="AJM115" s="30"/>
      <c r="AJN115" s="30"/>
      <c r="AJO115" s="30"/>
      <c r="AJP115" s="30"/>
      <c r="AJQ115" s="30"/>
      <c r="AJR115" s="30"/>
      <c r="AJS115" s="30"/>
      <c r="AJT115" s="30"/>
      <c r="AJU115" s="30"/>
      <c r="AJV115" s="30"/>
      <c r="AJW115" s="30"/>
      <c r="AJX115" s="30"/>
      <c r="AJY115" s="30"/>
      <c r="AJZ115" s="30"/>
      <c r="AKA115" s="30"/>
      <c r="AKB115" s="30"/>
      <c r="AKC115" s="30"/>
      <c r="AKD115" s="30"/>
      <c r="AKE115" s="30"/>
      <c r="AKF115" s="30"/>
      <c r="AKG115" s="30"/>
      <c r="AKH115" s="30"/>
      <c r="AKI115" s="30"/>
      <c r="AKJ115" s="30"/>
      <c r="AKK115" s="30"/>
      <c r="AKL115" s="30"/>
      <c r="AKM115" s="30"/>
      <c r="AKN115" s="30"/>
      <c r="AKO115" s="30"/>
      <c r="AKP115" s="30"/>
      <c r="AKQ115" s="30"/>
      <c r="AKR115" s="30"/>
      <c r="AKS115" s="30"/>
      <c r="AKT115" s="30"/>
      <c r="AKU115" s="30"/>
      <c r="AKV115" s="30"/>
      <c r="AKW115" s="30"/>
      <c r="AKX115" s="30"/>
      <c r="AKY115" s="30"/>
      <c r="AKZ115" s="30"/>
      <c r="ALA115" s="30"/>
      <c r="ALB115" s="30"/>
      <c r="ALC115" s="30"/>
      <c r="ALD115" s="30"/>
      <c r="ALE115" s="30"/>
      <c r="ALF115" s="30"/>
      <c r="ALG115" s="30"/>
      <c r="ALH115" s="30"/>
      <c r="ALI115" s="30"/>
      <c r="ALJ115" s="30"/>
      <c r="ALK115" s="30"/>
      <c r="ALL115" s="30"/>
      <c r="ALM115" s="30"/>
      <c r="ALN115" s="30"/>
      <c r="ALO115" s="30"/>
      <c r="ALP115" s="30"/>
      <c r="ALQ115" s="30"/>
      <c r="ALR115" s="30"/>
      <c r="ALS115" s="30"/>
      <c r="ALT115" s="30"/>
      <c r="ALU115" s="30"/>
      <c r="ALV115" s="30"/>
      <c r="ALW115" s="30"/>
      <c r="ALX115" s="30"/>
      <c r="ALY115" s="30"/>
      <c r="ALZ115" s="30"/>
      <c r="AMA115" s="30"/>
      <c r="AMB115" s="30"/>
      <c r="AMC115" s="30"/>
      <c r="AMD115" s="30"/>
      <c r="AME115" s="30"/>
      <c r="AMF115" s="30"/>
      <c r="AMG115" s="30"/>
      <c r="AMH115" s="30"/>
      <c r="AMI115" s="30"/>
      <c r="AMJ115" s="30"/>
      <c r="AMK115" s="30"/>
      <c r="AML115" s="30"/>
      <c r="AMM115" s="30"/>
      <c r="AMN115" s="30"/>
      <c r="AMO115" s="30"/>
      <c r="AMP115" s="30"/>
      <c r="AMQ115" s="30"/>
      <c r="AMR115" s="30"/>
      <c r="AMS115" s="30"/>
      <c r="AMT115" s="30"/>
      <c r="AMU115" s="30"/>
      <c r="AMV115" s="30"/>
      <c r="AMW115" s="30"/>
      <c r="AMX115" s="30"/>
      <c r="AMY115" s="30"/>
      <c r="AMZ115" s="30"/>
      <c r="ANA115" s="30"/>
      <c r="ANB115" s="30"/>
      <c r="ANC115" s="30"/>
      <c r="AND115" s="30"/>
      <c r="ANE115" s="30"/>
      <c r="ANF115" s="30"/>
      <c r="ANG115" s="30"/>
      <c r="ANH115" s="30"/>
      <c r="ANI115" s="30"/>
      <c r="ANJ115" s="30"/>
      <c r="ANK115" s="30"/>
      <c r="ANL115" s="30"/>
      <c r="ANM115" s="30"/>
      <c r="ANN115" s="30"/>
      <c r="ANO115" s="30"/>
      <c r="ANP115" s="30"/>
      <c r="ANQ115" s="30"/>
      <c r="ANR115" s="30"/>
      <c r="ANS115" s="30"/>
      <c r="ANT115" s="30"/>
      <c r="ANU115" s="30"/>
      <c r="ANV115" s="30"/>
      <c r="ANW115" s="30"/>
      <c r="ANX115" s="30"/>
      <c r="ANY115" s="30"/>
      <c r="ANZ115" s="30"/>
      <c r="AOA115" s="30"/>
      <c r="AOB115" s="30"/>
      <c r="AOC115" s="30"/>
      <c r="AOD115" s="30"/>
      <c r="AOE115" s="30"/>
      <c r="AOF115" s="30"/>
      <c r="AOG115" s="30"/>
      <c r="AOH115" s="30"/>
      <c r="AOI115" s="30"/>
      <c r="AOJ115" s="30"/>
      <c r="AOK115" s="30"/>
      <c r="AOL115" s="30"/>
      <c r="AOM115" s="30"/>
      <c r="AON115" s="30"/>
      <c r="AOO115" s="30"/>
      <c r="AOP115" s="30"/>
      <c r="AOQ115" s="30"/>
      <c r="AOR115" s="30"/>
      <c r="AOS115" s="30"/>
      <c r="AOT115" s="30"/>
      <c r="AOU115" s="30"/>
      <c r="AOV115" s="30"/>
      <c r="AOW115" s="30"/>
      <c r="AOX115" s="30"/>
      <c r="AOY115" s="30"/>
      <c r="AOZ115" s="30"/>
      <c r="APA115" s="30"/>
      <c r="APB115" s="30"/>
      <c r="APC115" s="30"/>
      <c r="APD115" s="30"/>
      <c r="APE115" s="30"/>
      <c r="APF115" s="30"/>
      <c r="APG115" s="30"/>
      <c r="APH115" s="30"/>
      <c r="API115" s="30"/>
      <c r="APJ115" s="30"/>
      <c r="APK115" s="30"/>
      <c r="APL115" s="30"/>
      <c r="APM115" s="30"/>
      <c r="APN115" s="30"/>
      <c r="APO115" s="30"/>
      <c r="APP115" s="30"/>
      <c r="APQ115" s="30"/>
      <c r="APR115" s="30"/>
      <c r="APS115" s="30"/>
      <c r="APT115" s="30"/>
      <c r="APU115" s="30"/>
      <c r="APV115" s="30"/>
      <c r="APW115" s="30"/>
      <c r="APX115" s="30"/>
      <c r="APY115" s="30"/>
      <c r="APZ115" s="30"/>
      <c r="AQA115" s="30"/>
      <c r="AQB115" s="30"/>
      <c r="AQC115" s="30"/>
      <c r="AQD115" s="30"/>
      <c r="AQE115" s="30"/>
      <c r="AQF115" s="30"/>
      <c r="AQG115" s="30"/>
      <c r="AQH115" s="30"/>
      <c r="AQI115" s="30"/>
      <c r="AQJ115" s="30"/>
      <c r="AQK115" s="30"/>
      <c r="AQL115" s="30"/>
      <c r="AQM115" s="30"/>
      <c r="AQN115" s="30"/>
      <c r="AQO115" s="30"/>
      <c r="AQP115" s="30"/>
      <c r="AQQ115" s="30"/>
      <c r="AQR115" s="30"/>
      <c r="AQS115" s="30"/>
      <c r="AQT115" s="30"/>
      <c r="AQU115" s="30"/>
      <c r="AQV115" s="30"/>
      <c r="AQW115" s="30"/>
      <c r="AQX115" s="30"/>
      <c r="AQY115" s="30"/>
      <c r="AQZ115" s="30"/>
      <c r="ARA115" s="30"/>
      <c r="ARB115" s="30"/>
      <c r="ARC115" s="30"/>
      <c r="ARD115" s="30"/>
      <c r="ARE115" s="30"/>
      <c r="ARF115" s="30"/>
      <c r="ARG115" s="30"/>
      <c r="ARH115" s="30"/>
      <c r="ARI115" s="30"/>
      <c r="ARJ115" s="30"/>
      <c r="ARK115" s="30"/>
      <c r="ARL115" s="30"/>
      <c r="ARM115" s="30"/>
      <c r="ARN115" s="30"/>
      <c r="ARO115" s="30"/>
      <c r="ARP115" s="30"/>
      <c r="ARQ115" s="30"/>
      <c r="ARR115" s="30"/>
      <c r="ARS115" s="30"/>
      <c r="ART115" s="30"/>
      <c r="ARU115" s="30"/>
      <c r="ARV115" s="30"/>
      <c r="ARW115" s="30"/>
      <c r="ARX115" s="30"/>
      <c r="ARY115" s="30"/>
      <c r="ARZ115" s="30"/>
      <c r="ASA115" s="30"/>
      <c r="ASB115" s="30"/>
      <c r="ASC115" s="30"/>
      <c r="ASD115" s="30"/>
      <c r="ASE115" s="30"/>
      <c r="ASF115" s="30"/>
      <c r="ASG115" s="30"/>
      <c r="ASH115" s="30"/>
      <c r="ASI115" s="30"/>
      <c r="ASJ115" s="30"/>
      <c r="ASK115" s="30"/>
      <c r="ASL115" s="30"/>
      <c r="ASM115" s="30"/>
      <c r="ASN115" s="30"/>
      <c r="ASO115" s="30"/>
      <c r="ASP115" s="30"/>
      <c r="ASQ115" s="30"/>
      <c r="ASR115" s="30"/>
      <c r="ASS115" s="30"/>
      <c r="AST115" s="30"/>
      <c r="ASU115" s="30"/>
      <c r="ASV115" s="30"/>
      <c r="ASW115" s="30"/>
      <c r="ASX115" s="30"/>
      <c r="ASY115" s="30"/>
      <c r="ASZ115" s="30"/>
      <c r="ATA115" s="30"/>
      <c r="ATB115" s="30"/>
      <c r="ATC115" s="30"/>
      <c r="ATD115" s="30"/>
      <c r="ATE115" s="30"/>
      <c r="ATF115" s="30"/>
      <c r="ATG115" s="30"/>
      <c r="ATH115" s="30"/>
      <c r="ATI115" s="30"/>
      <c r="ATJ115" s="30"/>
      <c r="ATK115" s="30"/>
      <c r="ATL115" s="30"/>
      <c r="ATM115" s="30"/>
      <c r="ATN115" s="30"/>
      <c r="ATO115" s="30"/>
      <c r="ATP115" s="30"/>
      <c r="ATQ115" s="30"/>
      <c r="ATR115" s="30"/>
      <c r="ATS115" s="30"/>
      <c r="ATT115" s="30"/>
      <c r="ATU115" s="30"/>
      <c r="ATV115" s="30"/>
      <c r="ATW115" s="30"/>
      <c r="ATX115" s="30"/>
      <c r="ATY115" s="30"/>
      <c r="ATZ115" s="30"/>
      <c r="AUA115" s="30"/>
      <c r="AUB115" s="30"/>
      <c r="AUC115" s="30"/>
      <c r="AUD115" s="30"/>
      <c r="AUE115" s="30"/>
      <c r="AUF115" s="30"/>
      <c r="AUG115" s="30"/>
      <c r="AUH115" s="30"/>
      <c r="AUI115" s="30"/>
      <c r="AUJ115" s="30"/>
      <c r="AUK115" s="30"/>
      <c r="AUL115" s="30"/>
      <c r="AUM115" s="30"/>
      <c r="AUN115" s="30"/>
      <c r="AUO115" s="30"/>
      <c r="AUP115" s="30"/>
      <c r="AUQ115" s="30"/>
      <c r="AUR115" s="30"/>
      <c r="AUS115" s="30"/>
      <c r="AUT115" s="30"/>
      <c r="AUU115" s="30"/>
      <c r="AUV115" s="30"/>
      <c r="AUW115" s="30"/>
      <c r="AUX115" s="30"/>
      <c r="AUY115" s="30"/>
      <c r="AUZ115" s="30"/>
      <c r="AVA115" s="30"/>
      <c r="AVB115" s="30"/>
      <c r="AVC115" s="30"/>
      <c r="AVD115" s="30"/>
      <c r="AVE115" s="30"/>
      <c r="AVF115" s="30"/>
      <c r="AVG115" s="30"/>
      <c r="AVH115" s="30"/>
      <c r="AVI115" s="30"/>
      <c r="AVJ115" s="30"/>
      <c r="AVK115" s="30"/>
      <c r="AVL115" s="30"/>
      <c r="AVM115" s="30"/>
      <c r="AVN115" s="30"/>
      <c r="AVO115" s="30"/>
      <c r="AVP115" s="30"/>
      <c r="AVQ115" s="30"/>
      <c r="AVR115" s="30"/>
      <c r="AVS115" s="30"/>
      <c r="AVT115" s="30"/>
      <c r="AVU115" s="30"/>
      <c r="AVV115" s="30"/>
      <c r="AVW115" s="30"/>
      <c r="AVX115" s="30"/>
      <c r="AVY115" s="30"/>
      <c r="AVZ115" s="30"/>
      <c r="AWA115" s="30"/>
      <c r="AWB115" s="30"/>
      <c r="AWC115" s="30"/>
      <c r="AWD115" s="30"/>
      <c r="AWE115" s="30"/>
      <c r="AWF115" s="30"/>
      <c r="AWG115" s="30"/>
      <c r="AWH115" s="30"/>
      <c r="AWI115" s="30"/>
      <c r="AWJ115" s="30"/>
      <c r="AWK115" s="30"/>
      <c r="AWL115" s="30"/>
      <c r="AWM115" s="30"/>
      <c r="AWN115" s="30"/>
      <c r="AWO115" s="30"/>
      <c r="AWP115" s="30"/>
      <c r="AWQ115" s="30"/>
      <c r="AWR115" s="30"/>
      <c r="AWS115" s="30"/>
      <c r="AWT115" s="30"/>
      <c r="AWU115" s="30"/>
      <c r="AWV115" s="30"/>
      <c r="AWW115" s="30"/>
      <c r="AWX115" s="30"/>
      <c r="AWY115" s="30"/>
      <c r="AWZ115" s="30"/>
      <c r="AXA115" s="30"/>
      <c r="AXB115" s="30"/>
      <c r="AXC115" s="30"/>
      <c r="AXD115" s="30"/>
      <c r="AXE115" s="30"/>
      <c r="AXF115" s="30"/>
      <c r="AXG115" s="30"/>
      <c r="AXH115" s="30"/>
      <c r="AXI115" s="30"/>
      <c r="AXJ115" s="30"/>
      <c r="AXK115" s="30"/>
      <c r="AXL115" s="30"/>
      <c r="AXM115" s="30"/>
      <c r="AXN115" s="30"/>
      <c r="AXO115" s="30"/>
      <c r="AXP115" s="30"/>
      <c r="AXQ115" s="30"/>
      <c r="AXR115" s="30"/>
      <c r="AXS115" s="30"/>
      <c r="AXT115" s="30"/>
      <c r="AXU115" s="30"/>
      <c r="AXV115" s="30"/>
      <c r="AXW115" s="30"/>
      <c r="AXX115" s="30"/>
      <c r="AXY115" s="30"/>
      <c r="AXZ115" s="30"/>
      <c r="AYA115" s="30"/>
      <c r="AYB115" s="30"/>
      <c r="AYC115" s="30"/>
      <c r="AYD115" s="30"/>
      <c r="AYE115" s="30"/>
      <c r="AYF115" s="30"/>
      <c r="AYG115" s="30"/>
      <c r="AYH115" s="30"/>
      <c r="AYI115" s="30"/>
      <c r="AYJ115" s="30"/>
      <c r="AYK115" s="30"/>
      <c r="AYL115" s="30"/>
      <c r="AYM115" s="30"/>
      <c r="AYN115" s="30"/>
      <c r="AYO115" s="30"/>
      <c r="AYP115" s="30"/>
      <c r="AYQ115" s="30"/>
      <c r="AYR115" s="30"/>
      <c r="AYS115" s="30"/>
      <c r="AYT115" s="30"/>
      <c r="AYU115" s="30"/>
      <c r="AYV115" s="30"/>
      <c r="AYW115" s="30"/>
      <c r="AYX115" s="30"/>
      <c r="AYY115" s="30"/>
      <c r="AYZ115" s="30"/>
      <c r="AZA115" s="30"/>
      <c r="AZB115" s="30"/>
      <c r="AZC115" s="30"/>
      <c r="AZD115" s="30"/>
      <c r="AZE115" s="30"/>
      <c r="AZF115" s="30"/>
      <c r="AZG115" s="30"/>
      <c r="AZH115" s="30"/>
      <c r="AZI115" s="30"/>
      <c r="AZJ115" s="30"/>
      <c r="AZK115" s="30"/>
      <c r="AZL115" s="30"/>
      <c r="AZM115" s="30"/>
      <c r="AZN115" s="30"/>
      <c r="AZO115" s="30"/>
      <c r="AZP115" s="30"/>
      <c r="AZQ115" s="30"/>
      <c r="AZR115" s="30"/>
      <c r="AZS115" s="30"/>
      <c r="AZT115" s="30"/>
      <c r="AZU115" s="30"/>
      <c r="AZV115" s="30"/>
      <c r="AZW115" s="30"/>
      <c r="AZX115" s="30"/>
      <c r="AZY115" s="30"/>
      <c r="AZZ115" s="30"/>
      <c r="BAA115" s="30"/>
      <c r="BAB115" s="30"/>
      <c r="BAC115" s="30"/>
      <c r="BAD115" s="30"/>
      <c r="BAE115" s="30"/>
      <c r="BAF115" s="30"/>
      <c r="BAG115" s="30"/>
      <c r="BAH115" s="30"/>
      <c r="BAI115" s="30"/>
      <c r="BAJ115" s="30"/>
      <c r="BAK115" s="30"/>
      <c r="BAL115" s="30"/>
      <c r="BAM115" s="30"/>
      <c r="BAN115" s="30"/>
      <c r="BAO115" s="30"/>
      <c r="BAP115" s="30"/>
      <c r="BAQ115" s="30"/>
      <c r="BAR115" s="30"/>
      <c r="BAS115" s="30"/>
      <c r="BAT115" s="30"/>
      <c r="BAU115" s="30"/>
      <c r="BAV115" s="30"/>
      <c r="BAW115" s="30"/>
      <c r="BAX115" s="30"/>
      <c r="BAY115" s="30"/>
      <c r="BAZ115" s="30"/>
      <c r="BBA115" s="30"/>
      <c r="BBB115" s="30"/>
      <c r="BBC115" s="30"/>
      <c r="BBD115" s="30"/>
      <c r="BBE115" s="30"/>
      <c r="BBF115" s="30"/>
      <c r="BBG115" s="30"/>
      <c r="BBH115" s="30"/>
      <c r="BBI115" s="30"/>
      <c r="BBJ115" s="30"/>
      <c r="BBK115" s="30"/>
      <c r="BBL115" s="30"/>
      <c r="BBM115" s="30"/>
      <c r="BBN115" s="30"/>
      <c r="BBO115" s="30"/>
      <c r="BBP115" s="30"/>
      <c r="BBQ115" s="30"/>
      <c r="BBR115" s="30"/>
      <c r="BBS115" s="30"/>
      <c r="BBT115" s="30"/>
      <c r="BBU115" s="30"/>
      <c r="BBV115" s="30"/>
      <c r="BBW115" s="30"/>
      <c r="BBX115" s="30"/>
      <c r="BBY115" s="30"/>
      <c r="BBZ115" s="30"/>
      <c r="BCA115" s="30"/>
      <c r="BCB115" s="30"/>
      <c r="BCC115" s="30"/>
      <c r="BCD115" s="30"/>
      <c r="BCE115" s="30"/>
      <c r="BCF115" s="30"/>
      <c r="BCG115" s="30"/>
      <c r="BCH115" s="30"/>
      <c r="BCI115" s="30"/>
      <c r="BCJ115" s="30"/>
      <c r="BCK115" s="30"/>
      <c r="BCL115" s="30"/>
      <c r="BCM115" s="30"/>
      <c r="BCN115" s="30"/>
      <c r="BCO115" s="30"/>
      <c r="BCP115" s="30"/>
      <c r="BCQ115" s="30"/>
      <c r="BCR115" s="30"/>
      <c r="BCS115" s="30"/>
      <c r="BCT115" s="30"/>
      <c r="BCU115" s="30"/>
      <c r="BCV115" s="30"/>
      <c r="BCW115" s="30"/>
      <c r="BCX115" s="30"/>
      <c r="BCY115" s="30"/>
      <c r="BCZ115" s="30"/>
      <c r="BDA115" s="30"/>
      <c r="BDB115" s="30"/>
      <c r="BDC115" s="30"/>
      <c r="BDD115" s="30"/>
      <c r="BDE115" s="30"/>
      <c r="BDF115" s="30"/>
      <c r="BDG115" s="30"/>
      <c r="BDH115" s="30"/>
      <c r="BDI115" s="30"/>
      <c r="BDJ115" s="30"/>
      <c r="BDK115" s="30"/>
      <c r="BDL115" s="30"/>
      <c r="BDM115" s="30"/>
      <c r="BDN115" s="30"/>
      <c r="BDO115" s="30"/>
      <c r="BDP115" s="30"/>
      <c r="BDQ115" s="30"/>
      <c r="BDR115" s="30"/>
      <c r="BDS115" s="30"/>
      <c r="BDT115" s="30"/>
      <c r="BDU115" s="30"/>
      <c r="BDV115" s="30"/>
      <c r="BDW115" s="30"/>
      <c r="BDX115" s="30"/>
      <c r="BDY115" s="30"/>
      <c r="BDZ115" s="30"/>
      <c r="BEA115" s="30"/>
      <c r="BEB115" s="30"/>
      <c r="BEC115" s="30"/>
      <c r="BED115" s="30"/>
      <c r="BEE115" s="30"/>
      <c r="BEF115" s="30"/>
      <c r="BEG115" s="30"/>
      <c r="BEH115" s="30"/>
      <c r="BEI115" s="30"/>
      <c r="BEJ115" s="30"/>
      <c r="BEK115" s="30"/>
      <c r="BEL115" s="30"/>
      <c r="BEM115" s="30"/>
      <c r="BEN115" s="30"/>
      <c r="BEO115" s="30"/>
      <c r="BEP115" s="30"/>
      <c r="BEQ115" s="30"/>
      <c r="BER115" s="30"/>
      <c r="BES115" s="30"/>
      <c r="BET115" s="30"/>
      <c r="BEU115" s="30"/>
      <c r="BEV115" s="30"/>
      <c r="BEW115" s="30"/>
      <c r="BEX115" s="30"/>
      <c r="BEY115" s="30"/>
      <c r="BEZ115" s="30"/>
      <c r="BFA115" s="30"/>
      <c r="BFB115" s="30"/>
      <c r="BFC115" s="30"/>
      <c r="BFD115" s="30"/>
      <c r="BFE115" s="30"/>
      <c r="BFF115" s="30"/>
      <c r="BFG115" s="30"/>
      <c r="BFH115" s="30"/>
      <c r="BFI115" s="30"/>
      <c r="BFJ115" s="30"/>
      <c r="BFK115" s="30"/>
      <c r="BFL115" s="30"/>
      <c r="BFM115" s="30"/>
      <c r="BFN115" s="30"/>
      <c r="BFO115" s="30"/>
      <c r="BFP115" s="30"/>
      <c r="BFQ115" s="30"/>
      <c r="BFR115" s="30"/>
      <c r="BFS115" s="30"/>
      <c r="BFT115" s="30"/>
      <c r="BFU115" s="30"/>
      <c r="BFV115" s="30"/>
      <c r="BFW115" s="30"/>
      <c r="BFX115" s="30"/>
      <c r="BFY115" s="30"/>
      <c r="BFZ115" s="30"/>
      <c r="BGA115" s="30"/>
      <c r="BGB115" s="30"/>
      <c r="BGC115" s="30"/>
      <c r="BGD115" s="30"/>
      <c r="BGE115" s="30"/>
      <c r="BGF115" s="30"/>
      <c r="BGG115" s="30"/>
      <c r="BGH115" s="30"/>
      <c r="BGI115" s="30"/>
      <c r="BGJ115" s="30"/>
      <c r="BGK115" s="30"/>
      <c r="BGL115" s="30"/>
      <c r="BGM115" s="30"/>
      <c r="BGN115" s="30"/>
      <c r="BGO115" s="30"/>
      <c r="BGP115" s="30"/>
      <c r="BGQ115" s="30"/>
      <c r="BGR115" s="30"/>
      <c r="BGS115" s="30"/>
      <c r="BGT115" s="30"/>
      <c r="BGU115" s="30"/>
      <c r="BGV115" s="30"/>
      <c r="BGW115" s="30"/>
      <c r="BGX115" s="30"/>
      <c r="BGY115" s="30"/>
      <c r="BGZ115" s="30"/>
      <c r="BHA115" s="30"/>
      <c r="BHB115" s="30"/>
      <c r="BHC115" s="30"/>
      <c r="BHD115" s="30"/>
      <c r="BHE115" s="30"/>
      <c r="BHF115" s="30"/>
      <c r="BHG115" s="30"/>
      <c r="BHH115" s="30"/>
      <c r="BHI115" s="30"/>
      <c r="BHJ115" s="30"/>
      <c r="BHK115" s="30"/>
      <c r="BHL115" s="30"/>
      <c r="BHM115" s="30"/>
      <c r="BHN115" s="30"/>
      <c r="BHO115" s="30"/>
      <c r="BHP115" s="30"/>
      <c r="BHQ115" s="30"/>
      <c r="BHR115" s="30"/>
      <c r="BHS115" s="30"/>
      <c r="BHT115" s="30"/>
      <c r="BHU115" s="30"/>
      <c r="BHV115" s="30"/>
      <c r="BHW115" s="30"/>
      <c r="BHX115" s="30"/>
      <c r="BHY115" s="30"/>
      <c r="BHZ115" s="30"/>
      <c r="BIA115" s="30"/>
      <c r="BIB115" s="30"/>
      <c r="BIC115" s="30"/>
      <c r="BID115" s="30"/>
      <c r="BIE115" s="30"/>
      <c r="BIF115" s="30"/>
      <c r="BIG115" s="30"/>
      <c r="BIH115" s="30"/>
      <c r="BII115" s="30"/>
      <c r="BIJ115" s="30"/>
      <c r="BIK115" s="30"/>
      <c r="BIL115" s="30"/>
      <c r="BIM115" s="30"/>
      <c r="BIN115" s="30"/>
      <c r="BIO115" s="30"/>
      <c r="BIP115" s="30"/>
      <c r="BIQ115" s="30"/>
      <c r="BIR115" s="30"/>
      <c r="BIS115" s="30"/>
      <c r="BIT115" s="30"/>
      <c r="BIU115" s="30"/>
      <c r="BIV115" s="30"/>
      <c r="BIW115" s="30"/>
      <c r="BIX115" s="30"/>
      <c r="BIY115" s="30"/>
      <c r="BIZ115" s="30"/>
      <c r="BJA115" s="30"/>
      <c r="BJB115" s="30"/>
      <c r="BJC115" s="30"/>
      <c r="BJD115" s="30"/>
      <c r="BJE115" s="30"/>
      <c r="BJF115" s="30"/>
      <c r="BJG115" s="30"/>
      <c r="BJH115" s="30"/>
      <c r="BJI115" s="30"/>
      <c r="BJJ115" s="30"/>
      <c r="BJK115" s="30"/>
      <c r="BJL115" s="30"/>
      <c r="BJM115" s="30"/>
      <c r="BJN115" s="30"/>
      <c r="BJO115" s="30"/>
      <c r="BJP115" s="30"/>
      <c r="BJQ115" s="30"/>
      <c r="BJR115" s="30"/>
      <c r="BJS115" s="30"/>
      <c r="BJT115" s="30"/>
      <c r="BJU115" s="30"/>
      <c r="BJV115" s="30"/>
      <c r="BJW115" s="30"/>
      <c r="BJX115" s="30"/>
      <c r="BJY115" s="30"/>
      <c r="BJZ115" s="30"/>
      <c r="BKA115" s="30"/>
      <c r="BKB115" s="30"/>
      <c r="BKC115" s="30"/>
      <c r="BKD115" s="30"/>
      <c r="BKE115" s="30"/>
      <c r="BKF115" s="30"/>
      <c r="BKG115" s="30"/>
      <c r="BKH115" s="30"/>
      <c r="BKI115" s="30"/>
      <c r="BKJ115" s="30"/>
      <c r="BKK115" s="30"/>
      <c r="BKL115" s="30"/>
      <c r="BKM115" s="30"/>
      <c r="BKN115" s="30"/>
      <c r="BKO115" s="30"/>
      <c r="BKP115" s="30"/>
      <c r="BKQ115" s="30"/>
      <c r="BKR115" s="30"/>
      <c r="BKS115" s="30"/>
      <c r="BKT115" s="30"/>
      <c r="BKU115" s="30"/>
      <c r="BKV115" s="30"/>
      <c r="BKW115" s="30"/>
      <c r="BKX115" s="30"/>
      <c r="BKY115" s="30"/>
      <c r="BKZ115" s="30"/>
      <c r="BLA115" s="30"/>
      <c r="BLB115" s="30"/>
      <c r="BLC115" s="30"/>
      <c r="BLD115" s="30"/>
      <c r="BLE115" s="30"/>
      <c r="BLF115" s="30"/>
      <c r="BLG115" s="30"/>
      <c r="BLH115" s="30"/>
      <c r="BLI115" s="30"/>
      <c r="BLJ115" s="30"/>
      <c r="BLK115" s="30"/>
      <c r="BLL115" s="30"/>
      <c r="BLM115" s="30"/>
      <c r="BLN115" s="30"/>
      <c r="BLO115" s="30"/>
      <c r="BLP115" s="30"/>
      <c r="BLQ115" s="30"/>
      <c r="BLR115" s="30"/>
      <c r="BLS115" s="30"/>
      <c r="BLT115" s="30"/>
      <c r="BLU115" s="30"/>
      <c r="BLV115" s="30"/>
      <c r="BLW115" s="30"/>
      <c r="BLX115" s="30"/>
      <c r="BLY115" s="30"/>
      <c r="BLZ115" s="30"/>
      <c r="BMA115" s="30"/>
      <c r="BMB115" s="30"/>
      <c r="BMC115" s="30"/>
      <c r="BMD115" s="30"/>
      <c r="BME115" s="30"/>
      <c r="BMF115" s="30"/>
      <c r="BMG115" s="30"/>
      <c r="BMH115" s="30"/>
      <c r="BMI115" s="30"/>
      <c r="BMJ115" s="30"/>
      <c r="BMK115" s="30"/>
      <c r="BML115" s="30"/>
      <c r="BMM115" s="30"/>
      <c r="BMN115" s="30"/>
      <c r="BMO115" s="30"/>
      <c r="BMP115" s="30"/>
      <c r="BMQ115" s="30"/>
      <c r="BMR115" s="30"/>
      <c r="BMS115" s="30"/>
      <c r="BMT115" s="30"/>
      <c r="BMU115" s="30"/>
      <c r="BMV115" s="30"/>
      <c r="BMW115" s="30"/>
      <c r="BMX115" s="30"/>
      <c r="BMY115" s="30"/>
      <c r="BMZ115" s="30"/>
      <c r="BNA115" s="30"/>
      <c r="BNB115" s="30"/>
      <c r="BNC115" s="30"/>
      <c r="BND115" s="30"/>
      <c r="BNE115" s="30"/>
      <c r="BNF115" s="30"/>
      <c r="BNG115" s="30"/>
      <c r="BNH115" s="30"/>
      <c r="BNI115" s="30"/>
      <c r="BNJ115" s="30"/>
      <c r="BNK115" s="30"/>
      <c r="BNL115" s="30"/>
      <c r="BNM115" s="30"/>
      <c r="BNN115" s="30"/>
      <c r="BNO115" s="30"/>
      <c r="BNP115" s="30"/>
      <c r="BNQ115" s="30"/>
      <c r="BNR115" s="30"/>
      <c r="BNS115" s="30"/>
      <c r="BNT115" s="30"/>
      <c r="BNU115" s="30"/>
      <c r="BNV115" s="30"/>
      <c r="BNW115" s="30"/>
      <c r="BNX115" s="30"/>
      <c r="BNY115" s="30"/>
      <c r="BNZ115" s="30"/>
      <c r="BOA115" s="30"/>
      <c r="BOB115" s="30"/>
      <c r="BOC115" s="30"/>
      <c r="BOD115" s="30"/>
      <c r="BOE115" s="30"/>
      <c r="BOF115" s="30"/>
      <c r="BOG115" s="30"/>
      <c r="BOH115" s="30"/>
      <c r="BOI115" s="30"/>
      <c r="BOJ115" s="30"/>
      <c r="BOK115" s="30"/>
      <c r="BOL115" s="30"/>
      <c r="BOM115" s="30"/>
      <c r="BON115" s="30"/>
      <c r="BOO115" s="30"/>
      <c r="BOP115" s="30"/>
      <c r="BOQ115" s="30"/>
      <c r="BOR115" s="30"/>
      <c r="BOS115" s="30"/>
      <c r="BOT115" s="30"/>
      <c r="BOU115" s="30"/>
      <c r="BOV115" s="30"/>
      <c r="BOW115" s="30"/>
      <c r="BOX115" s="30"/>
      <c r="BOY115" s="30"/>
      <c r="BOZ115" s="30"/>
      <c r="BPA115" s="30"/>
      <c r="BPB115" s="30"/>
      <c r="BPC115" s="30"/>
      <c r="BPD115" s="30"/>
      <c r="BPE115" s="30"/>
      <c r="BPF115" s="30"/>
      <c r="BPG115" s="30"/>
      <c r="BPH115" s="30"/>
      <c r="BPI115" s="30"/>
      <c r="BPJ115" s="30"/>
      <c r="BPK115" s="30"/>
      <c r="BPL115" s="30"/>
      <c r="BPM115" s="30"/>
      <c r="BPN115" s="30"/>
      <c r="BPO115" s="30"/>
      <c r="BPP115" s="30"/>
      <c r="BPQ115" s="30"/>
      <c r="BPR115" s="30"/>
      <c r="BPS115" s="30"/>
      <c r="BPT115" s="30"/>
      <c r="BPU115" s="30"/>
      <c r="BPV115" s="30"/>
      <c r="BPW115" s="30"/>
      <c r="BPX115" s="30"/>
      <c r="BPY115" s="30"/>
      <c r="BPZ115" s="30"/>
      <c r="BQA115" s="30"/>
      <c r="BQB115" s="30"/>
      <c r="BQC115" s="30"/>
      <c r="BQD115" s="30"/>
      <c r="BQE115" s="30"/>
      <c r="BQF115" s="30"/>
      <c r="BQG115" s="30"/>
      <c r="BQH115" s="30"/>
      <c r="BQI115" s="30"/>
      <c r="BQJ115" s="30"/>
      <c r="BQK115" s="30"/>
      <c r="BQL115" s="30"/>
      <c r="BQM115" s="30"/>
      <c r="BQN115" s="30"/>
      <c r="BQO115" s="30"/>
      <c r="BQP115" s="30"/>
      <c r="BQQ115" s="30"/>
      <c r="BQR115" s="30"/>
      <c r="BQS115" s="30"/>
      <c r="BQT115" s="30"/>
      <c r="BQU115" s="30"/>
      <c r="BQV115" s="30"/>
      <c r="BQW115" s="30"/>
      <c r="BQX115" s="30"/>
      <c r="BQY115" s="30"/>
      <c r="BQZ115" s="30"/>
      <c r="BRA115" s="30"/>
      <c r="BRB115" s="30"/>
      <c r="BRC115" s="30"/>
      <c r="BRD115" s="30"/>
      <c r="BRE115" s="30"/>
      <c r="BRF115" s="30"/>
      <c r="BRG115" s="30"/>
      <c r="BRH115" s="30"/>
      <c r="BRI115" s="30"/>
      <c r="BRJ115" s="30"/>
      <c r="BRK115" s="30"/>
      <c r="BRL115" s="30"/>
      <c r="BRM115" s="30"/>
      <c r="BRN115" s="30"/>
      <c r="BRO115" s="30"/>
      <c r="BRP115" s="30"/>
      <c r="BRQ115" s="30"/>
      <c r="BRR115" s="30"/>
      <c r="BRS115" s="30"/>
      <c r="BRT115" s="30"/>
      <c r="BRU115" s="30"/>
      <c r="BRV115" s="30"/>
      <c r="BRW115" s="30"/>
      <c r="BRX115" s="30"/>
      <c r="BRY115" s="30"/>
      <c r="BRZ115" s="30"/>
      <c r="BSA115" s="30"/>
      <c r="BSB115" s="30"/>
      <c r="BSC115" s="30"/>
      <c r="BSD115" s="30"/>
      <c r="BSE115" s="30"/>
      <c r="BSF115" s="30"/>
      <c r="BSG115" s="30"/>
      <c r="BSH115" s="30"/>
      <c r="BSI115" s="30"/>
      <c r="BSJ115" s="30"/>
      <c r="BSK115" s="30"/>
      <c r="BSL115" s="30"/>
      <c r="BSM115" s="30"/>
      <c r="BSN115" s="30"/>
      <c r="BSO115" s="30"/>
      <c r="BSP115" s="30"/>
      <c r="BSQ115" s="30"/>
      <c r="BSR115" s="30"/>
      <c r="BSS115" s="30"/>
      <c r="BST115" s="30"/>
      <c r="BSU115" s="30"/>
      <c r="BSV115" s="30"/>
      <c r="BSW115" s="30"/>
      <c r="BSX115" s="30"/>
      <c r="BSY115" s="30"/>
      <c r="BSZ115" s="30"/>
      <c r="BTA115" s="30"/>
      <c r="BTB115" s="30"/>
      <c r="BTC115" s="30"/>
      <c r="BTD115" s="30"/>
      <c r="BTE115" s="30"/>
      <c r="BTF115" s="30"/>
      <c r="BTG115" s="30"/>
      <c r="BTH115" s="30"/>
      <c r="BTI115" s="30"/>
      <c r="BTJ115" s="30"/>
      <c r="BTK115" s="30"/>
      <c r="BTL115" s="30"/>
      <c r="BTM115" s="30"/>
      <c r="BTN115" s="30"/>
      <c r="BTO115" s="30"/>
      <c r="BTP115" s="30"/>
      <c r="BTQ115" s="30"/>
      <c r="BTR115" s="30"/>
      <c r="BTS115" s="30"/>
      <c r="BTT115" s="30"/>
      <c r="BTU115" s="30"/>
      <c r="BTV115" s="30"/>
      <c r="BTW115" s="30"/>
      <c r="BTX115" s="30"/>
      <c r="BTY115" s="30"/>
      <c r="BTZ115" s="30"/>
      <c r="BUA115" s="30"/>
      <c r="BUB115" s="30"/>
      <c r="BUC115" s="30"/>
      <c r="BUD115" s="30"/>
      <c r="BUE115" s="30"/>
      <c r="BUF115" s="30"/>
      <c r="BUG115" s="30"/>
      <c r="BUH115" s="30"/>
      <c r="BUI115" s="30"/>
      <c r="BUJ115" s="30"/>
      <c r="BUK115" s="30"/>
      <c r="BUL115" s="30"/>
      <c r="BUM115" s="30"/>
      <c r="BUN115" s="30"/>
      <c r="BUO115" s="30"/>
      <c r="BUP115" s="30"/>
      <c r="BUQ115" s="30"/>
      <c r="BUR115" s="30"/>
      <c r="BUS115" s="30"/>
      <c r="BUT115" s="30"/>
      <c r="BUU115" s="30"/>
      <c r="BUV115" s="30"/>
      <c r="BUW115" s="30"/>
      <c r="BUX115" s="30"/>
      <c r="BUY115" s="30"/>
      <c r="BUZ115" s="30"/>
      <c r="BVA115" s="30"/>
      <c r="BVB115" s="30"/>
      <c r="BVC115" s="30"/>
      <c r="BVD115" s="30"/>
      <c r="BVE115" s="30"/>
      <c r="BVF115" s="30"/>
      <c r="BVG115" s="30"/>
      <c r="BVH115" s="30"/>
      <c r="BVI115" s="30"/>
      <c r="BVJ115" s="30"/>
      <c r="BVK115" s="30"/>
      <c r="BVL115" s="30"/>
      <c r="BVM115" s="30"/>
      <c r="BVN115" s="30"/>
      <c r="BVO115" s="30"/>
      <c r="BVP115" s="30"/>
      <c r="BVQ115" s="30"/>
      <c r="BVR115" s="30"/>
      <c r="BVS115" s="30"/>
      <c r="BVT115" s="30"/>
      <c r="BVU115" s="30"/>
      <c r="BVV115" s="30"/>
      <c r="BVW115" s="30"/>
      <c r="BVX115" s="30"/>
      <c r="BVY115" s="30"/>
      <c r="BVZ115" s="30"/>
      <c r="BWA115" s="30"/>
      <c r="BWB115" s="30"/>
      <c r="BWC115" s="30"/>
      <c r="BWD115" s="30"/>
      <c r="BWE115" s="30"/>
      <c r="BWF115" s="30"/>
      <c r="BWG115" s="30"/>
      <c r="BWH115" s="30"/>
      <c r="BWI115" s="30"/>
      <c r="BWJ115" s="30"/>
      <c r="BWK115" s="30"/>
      <c r="BWL115" s="30"/>
      <c r="BWM115" s="30"/>
      <c r="BWN115" s="30"/>
      <c r="BWO115" s="30"/>
      <c r="BWP115" s="30"/>
      <c r="BWQ115" s="30"/>
      <c r="BWR115" s="30"/>
      <c r="BWS115" s="30"/>
      <c r="BWT115" s="30"/>
      <c r="BWU115" s="30"/>
      <c r="BWV115" s="30"/>
      <c r="BWW115" s="30"/>
      <c r="BWX115" s="30"/>
      <c r="BWY115" s="30"/>
      <c r="BWZ115" s="30"/>
      <c r="BXA115" s="30"/>
      <c r="BXB115" s="30"/>
      <c r="BXC115" s="30"/>
      <c r="BXD115" s="30"/>
      <c r="BXE115" s="30"/>
      <c r="BXF115" s="30"/>
      <c r="BXG115" s="30"/>
      <c r="BXH115" s="30"/>
      <c r="BXI115" s="30"/>
      <c r="BXJ115" s="30"/>
      <c r="BXK115" s="30"/>
      <c r="BXL115" s="30"/>
      <c r="BXM115" s="30"/>
      <c r="BXN115" s="30"/>
      <c r="BXO115" s="30"/>
      <c r="BXP115" s="30"/>
      <c r="BXQ115" s="30"/>
      <c r="BXR115" s="30"/>
      <c r="BXS115" s="30"/>
      <c r="BXT115" s="30"/>
      <c r="BXU115" s="30"/>
      <c r="BXV115" s="30"/>
      <c r="BXW115" s="30"/>
      <c r="BXX115" s="30"/>
      <c r="BXY115" s="30"/>
      <c r="BXZ115" s="30"/>
      <c r="BYA115" s="30"/>
      <c r="BYB115" s="30"/>
      <c r="BYC115" s="30"/>
      <c r="BYD115" s="30"/>
      <c r="BYE115" s="30"/>
      <c r="BYF115" s="30"/>
      <c r="BYG115" s="30"/>
      <c r="BYH115" s="30"/>
      <c r="BYI115" s="30"/>
      <c r="BYJ115" s="30"/>
      <c r="BYK115" s="30"/>
      <c r="BYL115" s="30"/>
      <c r="BYM115" s="30"/>
      <c r="BYN115" s="30"/>
      <c r="BYO115" s="30"/>
      <c r="BYP115" s="30"/>
      <c r="BYQ115" s="30"/>
      <c r="BYR115" s="30"/>
      <c r="BYS115" s="30"/>
      <c r="BYT115" s="30"/>
      <c r="BYU115" s="30"/>
      <c r="BYV115" s="30"/>
      <c r="BYW115" s="30"/>
      <c r="BYX115" s="30"/>
      <c r="BYY115" s="30"/>
      <c r="BYZ115" s="30"/>
      <c r="BZA115" s="30"/>
      <c r="BZB115" s="30"/>
      <c r="BZC115" s="30"/>
      <c r="BZD115" s="30"/>
      <c r="BZE115" s="30"/>
      <c r="BZF115" s="30"/>
      <c r="BZG115" s="30"/>
      <c r="BZH115" s="30"/>
      <c r="BZI115" s="30"/>
      <c r="BZJ115" s="30"/>
      <c r="BZK115" s="30"/>
      <c r="BZL115" s="30"/>
      <c r="BZM115" s="30"/>
      <c r="BZN115" s="30"/>
      <c r="BZO115" s="30"/>
      <c r="BZP115" s="30"/>
      <c r="BZQ115" s="30"/>
      <c r="BZR115" s="30"/>
      <c r="BZS115" s="30"/>
      <c r="BZT115" s="30"/>
      <c r="BZU115" s="30"/>
      <c r="BZV115" s="30"/>
      <c r="BZW115" s="30"/>
      <c r="BZX115" s="30"/>
      <c r="BZY115" s="30"/>
      <c r="BZZ115" s="30"/>
      <c r="CAA115" s="30"/>
      <c r="CAB115" s="30"/>
      <c r="CAC115" s="30"/>
      <c r="CAD115" s="30"/>
      <c r="CAE115" s="30"/>
      <c r="CAF115" s="30"/>
      <c r="CAG115" s="30"/>
      <c r="CAH115" s="30"/>
      <c r="CAI115" s="30"/>
      <c r="CAJ115" s="30"/>
      <c r="CAK115" s="30"/>
      <c r="CAL115" s="30"/>
      <c r="CAM115" s="30"/>
      <c r="CAN115" s="30"/>
      <c r="CAO115" s="30"/>
      <c r="CAP115" s="30"/>
      <c r="CAQ115" s="30"/>
      <c r="CAR115" s="30"/>
      <c r="CAS115" s="30"/>
      <c r="CAT115" s="30"/>
      <c r="CAU115" s="30"/>
      <c r="CAV115" s="30"/>
      <c r="CAW115" s="30"/>
      <c r="CAX115" s="30"/>
      <c r="CAY115" s="30"/>
      <c r="CAZ115" s="30"/>
      <c r="CBA115" s="30"/>
      <c r="CBB115" s="30"/>
      <c r="CBC115" s="30"/>
      <c r="CBD115" s="30"/>
      <c r="CBE115" s="30"/>
      <c r="CBF115" s="30"/>
      <c r="CBG115" s="30"/>
      <c r="CBH115" s="30"/>
      <c r="CBI115" s="30"/>
      <c r="CBJ115" s="30"/>
      <c r="CBK115" s="30"/>
      <c r="CBL115" s="30"/>
      <c r="CBM115" s="30"/>
      <c r="CBN115" s="30"/>
      <c r="CBO115" s="30"/>
      <c r="CBP115" s="30"/>
      <c r="CBQ115" s="30"/>
      <c r="CBR115" s="30"/>
      <c r="CBS115" s="30"/>
      <c r="CBT115" s="30"/>
      <c r="CBU115" s="30"/>
      <c r="CBV115" s="30"/>
      <c r="CBW115" s="30"/>
      <c r="CBX115" s="30"/>
      <c r="CBY115" s="30"/>
      <c r="CBZ115" s="30"/>
      <c r="CCA115" s="30"/>
      <c r="CCB115" s="30"/>
      <c r="CCC115" s="30"/>
      <c r="CCD115" s="30"/>
      <c r="CCE115" s="30"/>
      <c r="CCF115" s="30"/>
      <c r="CCG115" s="30"/>
      <c r="CCH115" s="30"/>
      <c r="CCI115" s="30"/>
      <c r="CCJ115" s="30"/>
      <c r="CCK115" s="30"/>
      <c r="CCL115" s="30"/>
      <c r="CCM115" s="30"/>
      <c r="CCN115" s="30"/>
      <c r="CCO115" s="30"/>
      <c r="CCP115" s="30"/>
      <c r="CCQ115" s="30"/>
      <c r="CCR115" s="30"/>
      <c r="CCS115" s="30"/>
      <c r="CCT115" s="30"/>
      <c r="CCU115" s="30"/>
      <c r="CCV115" s="30"/>
      <c r="CCW115" s="30"/>
      <c r="CCX115" s="30"/>
      <c r="CCY115" s="30"/>
      <c r="CCZ115" s="30"/>
      <c r="CDA115" s="30"/>
      <c r="CDB115" s="30"/>
      <c r="CDC115" s="30"/>
      <c r="CDD115" s="30"/>
      <c r="CDE115" s="30"/>
      <c r="CDF115" s="30"/>
      <c r="CDG115" s="30"/>
      <c r="CDH115" s="30"/>
      <c r="CDI115" s="30"/>
      <c r="CDJ115" s="30"/>
      <c r="CDK115" s="30"/>
      <c r="CDL115" s="30"/>
      <c r="CDM115" s="30"/>
      <c r="CDN115" s="30"/>
      <c r="CDO115" s="30"/>
      <c r="CDP115" s="30"/>
      <c r="CDQ115" s="30"/>
      <c r="CDR115" s="30"/>
      <c r="CDS115" s="30"/>
      <c r="CDT115" s="30"/>
      <c r="CDU115" s="30"/>
      <c r="CDV115" s="30"/>
      <c r="CDW115" s="30"/>
      <c r="CDX115" s="30"/>
      <c r="CDY115" s="30"/>
      <c r="CDZ115" s="30"/>
      <c r="CEA115" s="30"/>
      <c r="CEB115" s="30"/>
      <c r="CEC115" s="30"/>
      <c r="CED115" s="30"/>
      <c r="CEE115" s="30"/>
      <c r="CEF115" s="30"/>
      <c r="CEG115" s="30"/>
      <c r="CEH115" s="30"/>
      <c r="CEI115" s="30"/>
      <c r="CEJ115" s="30"/>
      <c r="CEK115" s="30"/>
      <c r="CEL115" s="30"/>
      <c r="CEM115" s="30"/>
      <c r="CEN115" s="30"/>
      <c r="CEO115" s="30"/>
      <c r="CEP115" s="30"/>
      <c r="CEQ115" s="30"/>
      <c r="CER115" s="30"/>
      <c r="CES115" s="30"/>
      <c r="CET115" s="30"/>
      <c r="CEU115" s="30"/>
      <c r="CEV115" s="30"/>
      <c r="CEW115" s="30"/>
      <c r="CEX115" s="30"/>
      <c r="CEY115" s="30"/>
      <c r="CEZ115" s="30"/>
      <c r="CFA115" s="30"/>
      <c r="CFB115" s="30"/>
      <c r="CFC115" s="30"/>
      <c r="CFD115" s="30"/>
      <c r="CFE115" s="30"/>
      <c r="CFF115" s="30"/>
      <c r="CFG115" s="30"/>
      <c r="CFH115" s="30"/>
      <c r="CFI115" s="30"/>
      <c r="CFJ115" s="30"/>
      <c r="CFK115" s="30"/>
      <c r="CFL115" s="30"/>
      <c r="CFM115" s="30"/>
      <c r="CFN115" s="30"/>
      <c r="CFO115" s="30"/>
      <c r="CFP115" s="30"/>
      <c r="CFQ115" s="30"/>
      <c r="CFR115" s="30"/>
      <c r="CFS115" s="30"/>
      <c r="CFT115" s="30"/>
      <c r="CFU115" s="30"/>
      <c r="CFV115" s="30"/>
      <c r="CFW115" s="30"/>
      <c r="CFX115" s="30"/>
      <c r="CFY115" s="30"/>
      <c r="CFZ115" s="30"/>
      <c r="CGA115" s="30"/>
      <c r="CGB115" s="30"/>
      <c r="CGC115" s="30"/>
      <c r="CGD115" s="30"/>
      <c r="CGE115" s="30"/>
      <c r="CGF115" s="30"/>
      <c r="CGG115" s="30"/>
      <c r="CGH115" s="30"/>
      <c r="CGI115" s="30"/>
      <c r="CGJ115" s="30"/>
      <c r="CGK115" s="30"/>
      <c r="CGL115" s="30"/>
      <c r="CGM115" s="30"/>
      <c r="CGN115" s="30"/>
      <c r="CGO115" s="30"/>
      <c r="CGP115" s="30"/>
      <c r="CGQ115" s="30"/>
      <c r="CGR115" s="30"/>
      <c r="CGS115" s="30"/>
      <c r="CGT115" s="30"/>
      <c r="CGU115" s="30"/>
      <c r="CGV115" s="30"/>
      <c r="CGW115" s="30"/>
      <c r="CGX115" s="30"/>
      <c r="CGY115" s="30"/>
      <c r="CGZ115" s="30"/>
      <c r="CHA115" s="30"/>
      <c r="CHB115" s="30"/>
      <c r="CHC115" s="30"/>
      <c r="CHD115" s="30"/>
      <c r="CHE115" s="30"/>
      <c r="CHF115" s="30"/>
      <c r="CHG115" s="30"/>
      <c r="CHH115" s="30"/>
      <c r="CHI115" s="30"/>
      <c r="CHJ115" s="30"/>
      <c r="CHK115" s="30"/>
      <c r="CHL115" s="30"/>
      <c r="CHM115" s="30"/>
      <c r="CHN115" s="30"/>
      <c r="CHO115" s="30"/>
      <c r="CHP115" s="30"/>
      <c r="CHQ115" s="30"/>
      <c r="CHR115" s="30"/>
      <c r="CHS115" s="30"/>
      <c r="CHT115" s="30"/>
      <c r="CHU115" s="30"/>
      <c r="CHV115" s="30"/>
      <c r="CHW115" s="30"/>
      <c r="CHX115" s="30"/>
      <c r="CHY115" s="30"/>
      <c r="CHZ115" s="30"/>
      <c r="CIA115" s="30"/>
      <c r="CIB115" s="30"/>
      <c r="CIC115" s="30"/>
      <c r="CID115" s="30"/>
      <c r="CIE115" s="30"/>
      <c r="CIF115" s="30"/>
      <c r="CIG115" s="30"/>
      <c r="CIH115" s="30"/>
      <c r="CII115" s="30"/>
      <c r="CIJ115" s="30"/>
      <c r="CIK115" s="30"/>
      <c r="CIL115" s="30"/>
      <c r="CIM115" s="30"/>
      <c r="CIN115" s="30"/>
      <c r="CIO115" s="30"/>
      <c r="CIP115" s="30"/>
      <c r="CIQ115" s="30"/>
      <c r="CIR115" s="30"/>
      <c r="CIS115" s="30"/>
      <c r="CIT115" s="30"/>
      <c r="CIU115" s="30"/>
      <c r="CIV115" s="30"/>
      <c r="CIW115" s="30"/>
      <c r="CIX115" s="30"/>
      <c r="CIY115" s="30"/>
      <c r="CIZ115" s="30"/>
      <c r="CJA115" s="30"/>
      <c r="CJB115" s="30"/>
      <c r="CJC115" s="30"/>
      <c r="CJD115" s="30"/>
      <c r="CJE115" s="30"/>
      <c r="CJF115" s="30"/>
      <c r="CJG115" s="30"/>
      <c r="CJH115" s="30"/>
      <c r="CJI115" s="30"/>
      <c r="CJJ115" s="30"/>
      <c r="CJK115" s="30"/>
      <c r="CJL115" s="30"/>
      <c r="CJM115" s="30"/>
      <c r="CJN115" s="30"/>
      <c r="CJO115" s="30"/>
      <c r="CJP115" s="30"/>
      <c r="CJQ115" s="30"/>
      <c r="CJR115" s="30"/>
      <c r="CJS115" s="30"/>
      <c r="CJT115" s="30"/>
      <c r="CJU115" s="30"/>
      <c r="CJV115" s="30"/>
      <c r="CJW115" s="30"/>
      <c r="CJX115" s="30"/>
      <c r="CJY115" s="30"/>
      <c r="CJZ115" s="30"/>
      <c r="CKA115" s="30"/>
      <c r="CKB115" s="30"/>
      <c r="CKC115" s="30"/>
      <c r="CKD115" s="30"/>
      <c r="CKE115" s="30"/>
      <c r="CKF115" s="30"/>
      <c r="CKG115" s="30"/>
      <c r="CKH115" s="30"/>
      <c r="CKI115" s="30"/>
      <c r="CKJ115" s="30"/>
      <c r="CKK115" s="30"/>
      <c r="CKL115" s="30"/>
      <c r="CKM115" s="30"/>
      <c r="CKN115" s="30"/>
      <c r="CKO115" s="30"/>
      <c r="CKP115" s="30"/>
      <c r="CKQ115" s="30"/>
      <c r="CKR115" s="30"/>
      <c r="CKS115" s="30"/>
      <c r="CKT115" s="30"/>
      <c r="CKU115" s="30"/>
      <c r="CKV115" s="30"/>
      <c r="CKW115" s="30"/>
      <c r="CKX115" s="30"/>
      <c r="CKY115" s="30"/>
      <c r="CKZ115" s="30"/>
      <c r="CLA115" s="30"/>
      <c r="CLB115" s="30"/>
      <c r="CLC115" s="30"/>
      <c r="CLD115" s="30"/>
      <c r="CLE115" s="30"/>
      <c r="CLF115" s="30"/>
      <c r="CLG115" s="30"/>
      <c r="CLH115" s="30"/>
      <c r="CLI115" s="30"/>
      <c r="CLJ115" s="30"/>
      <c r="CLK115" s="30"/>
      <c r="CLL115" s="30"/>
      <c r="CLM115" s="30"/>
      <c r="CLN115" s="30"/>
      <c r="CLO115" s="30"/>
      <c r="CLP115" s="30"/>
      <c r="CLQ115" s="30"/>
      <c r="CLR115" s="30"/>
      <c r="CLS115" s="30"/>
      <c r="CLT115" s="30"/>
      <c r="CLU115" s="30"/>
      <c r="CLV115" s="30"/>
      <c r="CLW115" s="30"/>
      <c r="CLX115" s="30"/>
      <c r="CLY115" s="30"/>
      <c r="CLZ115" s="30"/>
      <c r="CMA115" s="30"/>
      <c r="CMB115" s="30"/>
      <c r="CMC115" s="30"/>
      <c r="CMD115" s="30"/>
      <c r="CME115" s="30"/>
      <c r="CMF115" s="30"/>
      <c r="CMG115" s="30"/>
      <c r="CMH115" s="30"/>
      <c r="CMI115" s="30"/>
      <c r="CMJ115" s="30"/>
      <c r="CMK115" s="30"/>
      <c r="CML115" s="30"/>
      <c r="CMM115" s="30"/>
      <c r="CMN115" s="30"/>
      <c r="CMO115" s="30"/>
      <c r="CMP115" s="30"/>
      <c r="CMQ115" s="30"/>
      <c r="CMR115" s="30"/>
      <c r="CMS115" s="30"/>
      <c r="CMT115" s="30"/>
      <c r="CMU115" s="30"/>
      <c r="CMV115" s="30"/>
      <c r="CMW115" s="30"/>
      <c r="CMX115" s="30"/>
      <c r="CMY115" s="30"/>
      <c r="CMZ115" s="30"/>
      <c r="CNA115" s="30"/>
      <c r="CNB115" s="30"/>
      <c r="CNC115" s="30"/>
      <c r="CND115" s="30"/>
      <c r="CNE115" s="30"/>
      <c r="CNF115" s="30"/>
      <c r="CNG115" s="30"/>
      <c r="CNH115" s="30"/>
      <c r="CNI115" s="30"/>
      <c r="CNJ115" s="30"/>
      <c r="CNK115" s="30"/>
      <c r="CNL115" s="30"/>
      <c r="CNM115" s="30"/>
      <c r="CNN115" s="30"/>
      <c r="CNO115" s="30"/>
      <c r="CNP115" s="30"/>
      <c r="CNQ115" s="30"/>
      <c r="CNR115" s="30"/>
      <c r="CNS115" s="30"/>
      <c r="CNT115" s="30"/>
      <c r="CNU115" s="30"/>
      <c r="CNV115" s="30"/>
      <c r="CNW115" s="30"/>
      <c r="CNX115" s="30"/>
      <c r="CNY115" s="30"/>
      <c r="CNZ115" s="30"/>
      <c r="COA115" s="30"/>
      <c r="COB115" s="30"/>
      <c r="COC115" s="30"/>
      <c r="COD115" s="30"/>
      <c r="COE115" s="30"/>
      <c r="COF115" s="30"/>
      <c r="COG115" s="30"/>
      <c r="COH115" s="30"/>
      <c r="COI115" s="30"/>
      <c r="COJ115" s="30"/>
      <c r="COK115" s="30"/>
      <c r="COL115" s="30"/>
      <c r="COM115" s="30"/>
      <c r="CON115" s="30"/>
      <c r="COO115" s="30"/>
      <c r="COP115" s="30"/>
      <c r="COQ115" s="30"/>
      <c r="COR115" s="30"/>
      <c r="COS115" s="30"/>
      <c r="COT115" s="30"/>
      <c r="COU115" s="30"/>
      <c r="COV115" s="30"/>
      <c r="COW115" s="30"/>
      <c r="COX115" s="30"/>
      <c r="COY115" s="30"/>
      <c r="COZ115" s="30"/>
      <c r="CPA115" s="30"/>
      <c r="CPB115" s="30"/>
      <c r="CPC115" s="30"/>
      <c r="CPD115" s="30"/>
      <c r="CPE115" s="30"/>
      <c r="CPF115" s="30"/>
      <c r="CPG115" s="30"/>
      <c r="CPH115" s="30"/>
      <c r="CPI115" s="30"/>
      <c r="CPJ115" s="30"/>
      <c r="CPK115" s="30"/>
      <c r="CPL115" s="30"/>
      <c r="CPM115" s="30"/>
      <c r="CPN115" s="30"/>
      <c r="CPO115" s="30"/>
      <c r="CPP115" s="30"/>
      <c r="CPQ115" s="30"/>
      <c r="CPR115" s="30"/>
      <c r="CPS115" s="30"/>
      <c r="CPT115" s="30"/>
      <c r="CPU115" s="30"/>
      <c r="CPV115" s="30"/>
      <c r="CPW115" s="30"/>
      <c r="CPX115" s="30"/>
      <c r="CPY115" s="30"/>
      <c r="CPZ115" s="30"/>
      <c r="CQA115" s="30"/>
      <c r="CQB115" s="30"/>
      <c r="CQC115" s="30"/>
      <c r="CQD115" s="30"/>
      <c r="CQE115" s="30"/>
      <c r="CQF115" s="30"/>
      <c r="CQG115" s="30"/>
      <c r="CQH115" s="30"/>
      <c r="CQI115" s="30"/>
      <c r="CQJ115" s="30"/>
      <c r="CQK115" s="30"/>
      <c r="CQL115" s="30"/>
      <c r="CQM115" s="30"/>
      <c r="CQN115" s="30"/>
      <c r="CQO115" s="30"/>
      <c r="CQP115" s="30"/>
      <c r="CQQ115" s="30"/>
      <c r="CQR115" s="30"/>
      <c r="CQS115" s="30"/>
      <c r="CQT115" s="30"/>
      <c r="CQU115" s="30"/>
      <c r="CQV115" s="30"/>
      <c r="CQW115" s="30"/>
      <c r="CQX115" s="30"/>
      <c r="CQY115" s="30"/>
      <c r="CQZ115" s="30"/>
      <c r="CRA115" s="30"/>
      <c r="CRB115" s="30"/>
      <c r="CRC115" s="30"/>
      <c r="CRD115" s="30"/>
      <c r="CRE115" s="30"/>
      <c r="CRF115" s="30"/>
      <c r="CRG115" s="30"/>
      <c r="CRH115" s="30"/>
      <c r="CRI115" s="30"/>
      <c r="CRJ115" s="30"/>
      <c r="CRK115" s="30"/>
      <c r="CRL115" s="30"/>
      <c r="CRM115" s="30"/>
      <c r="CRN115" s="30"/>
      <c r="CRO115" s="30"/>
      <c r="CRP115" s="30"/>
      <c r="CRQ115" s="30"/>
      <c r="CRR115" s="30"/>
      <c r="CRS115" s="30"/>
      <c r="CRT115" s="30"/>
      <c r="CRU115" s="30"/>
      <c r="CRV115" s="30"/>
      <c r="CRW115" s="30"/>
      <c r="CRX115" s="30"/>
      <c r="CRY115" s="30"/>
      <c r="CRZ115" s="30"/>
      <c r="CSA115" s="30"/>
      <c r="CSB115" s="30"/>
      <c r="CSC115" s="30"/>
      <c r="CSD115" s="30"/>
      <c r="CSE115" s="30"/>
      <c r="CSF115" s="30"/>
      <c r="CSG115" s="30"/>
      <c r="CSH115" s="30"/>
      <c r="CSI115" s="30"/>
      <c r="CSJ115" s="30"/>
      <c r="CSK115" s="30"/>
      <c r="CSL115" s="30"/>
      <c r="CSM115" s="30"/>
      <c r="CSN115" s="30"/>
      <c r="CSO115" s="30"/>
      <c r="CSP115" s="30"/>
      <c r="CSQ115" s="30"/>
      <c r="CSR115" s="30"/>
      <c r="CSS115" s="30"/>
      <c r="CST115" s="30"/>
      <c r="CSU115" s="30"/>
      <c r="CSV115" s="30"/>
      <c r="CSW115" s="30"/>
      <c r="CSX115" s="30"/>
      <c r="CSY115" s="30"/>
      <c r="CSZ115" s="30"/>
      <c r="CTA115" s="30"/>
      <c r="CTB115" s="30"/>
      <c r="CTC115" s="30"/>
      <c r="CTD115" s="30"/>
      <c r="CTE115" s="30"/>
      <c r="CTF115" s="30"/>
      <c r="CTG115" s="30"/>
      <c r="CTH115" s="30"/>
      <c r="CTI115" s="30"/>
      <c r="CTJ115" s="30"/>
      <c r="CTK115" s="30"/>
      <c r="CTL115" s="30"/>
      <c r="CTM115" s="30"/>
      <c r="CTN115" s="30"/>
      <c r="CTO115" s="30"/>
      <c r="CTP115" s="30"/>
      <c r="CTQ115" s="30"/>
      <c r="CTR115" s="30"/>
      <c r="CTS115" s="30"/>
      <c r="CTT115" s="30"/>
      <c r="CTU115" s="30"/>
      <c r="CTV115" s="30"/>
      <c r="CTW115" s="30"/>
      <c r="CTX115" s="30"/>
      <c r="CTY115" s="30"/>
      <c r="CTZ115" s="30"/>
      <c r="CUA115" s="30"/>
    </row>
    <row r="116" s="267" customFormat="1" ht="23" customHeight="1" spans="1:2575">
      <c r="A116" s="268">
        <v>122</v>
      </c>
      <c r="B116" s="268" t="s">
        <v>14</v>
      </c>
      <c r="C116" s="268" t="s">
        <v>54</v>
      </c>
      <c r="D116" s="129" t="s">
        <v>262</v>
      </c>
      <c r="E116" s="29" t="s">
        <v>940</v>
      </c>
      <c r="F116" s="31"/>
      <c r="G116" s="31" t="s">
        <v>941</v>
      </c>
      <c r="H116" s="119" t="s">
        <v>942</v>
      </c>
      <c r="I116" s="119"/>
      <c r="J116" s="31"/>
      <c r="K116" s="31"/>
      <c r="L116" s="236" t="s">
        <v>943</v>
      </c>
      <c r="M116" s="29" t="s">
        <v>677</v>
      </c>
      <c r="N116" s="94">
        <v>45455</v>
      </c>
      <c r="O116" s="94">
        <v>46184</v>
      </c>
      <c r="P116" s="142"/>
      <c r="Q116" s="326"/>
      <c r="R116" s="183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  <c r="FS116" s="30"/>
      <c r="FT116" s="30"/>
      <c r="FU116" s="30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30"/>
      <c r="GX116" s="30"/>
      <c r="GY116" s="30"/>
      <c r="GZ116" s="30"/>
      <c r="HA116" s="30"/>
      <c r="HB116" s="30"/>
      <c r="HC116" s="30"/>
      <c r="HD116" s="30"/>
      <c r="HE116" s="30"/>
      <c r="HF116" s="30"/>
      <c r="HG116" s="30"/>
      <c r="HH116" s="30"/>
      <c r="HI116" s="30"/>
      <c r="HJ116" s="30"/>
      <c r="HK116" s="30"/>
      <c r="HL116" s="30"/>
      <c r="HM116" s="30"/>
      <c r="HN116" s="30"/>
      <c r="HO116" s="30"/>
      <c r="HP116" s="30"/>
      <c r="HQ116" s="30"/>
      <c r="HR116" s="30"/>
      <c r="HS116" s="30"/>
      <c r="HT116" s="30"/>
      <c r="HU116" s="30"/>
      <c r="HV116" s="30"/>
      <c r="HW116" s="30"/>
      <c r="HX116" s="30"/>
      <c r="HY116" s="30"/>
      <c r="HZ116" s="30"/>
      <c r="IA116" s="30"/>
      <c r="IB116" s="30"/>
      <c r="IC116" s="30"/>
      <c r="ID116" s="30"/>
      <c r="IE116" s="30"/>
      <c r="IF116" s="30"/>
      <c r="IG116" s="30"/>
      <c r="IH116" s="30"/>
      <c r="II116" s="30"/>
      <c r="IJ116" s="30"/>
      <c r="IK116" s="30"/>
      <c r="IL116" s="30"/>
      <c r="IM116" s="30"/>
      <c r="IN116" s="30"/>
      <c r="IO116" s="30"/>
      <c r="IP116" s="30"/>
      <c r="IQ116" s="30"/>
      <c r="IR116" s="30"/>
      <c r="IS116" s="30"/>
      <c r="IT116" s="30"/>
      <c r="IU116" s="30"/>
      <c r="IV116" s="30"/>
      <c r="IW116" s="30"/>
      <c r="IX116" s="30"/>
      <c r="IY116" s="30"/>
      <c r="IZ116" s="30"/>
      <c r="JA116" s="30"/>
      <c r="JB116" s="30"/>
      <c r="JC116" s="30"/>
      <c r="JD116" s="30"/>
      <c r="JE116" s="30"/>
      <c r="JF116" s="30"/>
      <c r="JG116" s="30"/>
      <c r="JH116" s="30"/>
      <c r="JI116" s="30"/>
      <c r="JJ116" s="30"/>
      <c r="JK116" s="30"/>
      <c r="JL116" s="30"/>
      <c r="JM116" s="30"/>
      <c r="JN116" s="30"/>
      <c r="JO116" s="30"/>
      <c r="JP116" s="30"/>
      <c r="JQ116" s="30"/>
      <c r="JR116" s="30"/>
      <c r="JS116" s="30"/>
      <c r="JT116" s="30"/>
      <c r="JU116" s="30"/>
      <c r="JV116" s="30"/>
      <c r="JW116" s="30"/>
      <c r="JX116" s="30"/>
      <c r="JY116" s="30"/>
      <c r="JZ116" s="30"/>
      <c r="KA116" s="30"/>
      <c r="KB116" s="30"/>
      <c r="KC116" s="30"/>
      <c r="KD116" s="30"/>
      <c r="KE116" s="30"/>
      <c r="KF116" s="30"/>
      <c r="KG116" s="30"/>
      <c r="KH116" s="30"/>
      <c r="KI116" s="30"/>
      <c r="KJ116" s="30"/>
      <c r="KK116" s="30"/>
      <c r="KL116" s="30"/>
      <c r="KM116" s="30"/>
      <c r="KN116" s="30"/>
      <c r="KO116" s="30"/>
      <c r="KP116" s="30"/>
      <c r="KQ116" s="30"/>
      <c r="KR116" s="30"/>
      <c r="KS116" s="30"/>
      <c r="KT116" s="30"/>
      <c r="KU116" s="30"/>
      <c r="KV116" s="30"/>
      <c r="KW116" s="30"/>
      <c r="KX116" s="30"/>
      <c r="KY116" s="30"/>
      <c r="KZ116" s="30"/>
      <c r="LA116" s="30"/>
      <c r="LB116" s="30"/>
      <c r="LC116" s="30"/>
      <c r="LD116" s="30"/>
      <c r="LE116" s="30"/>
      <c r="LF116" s="30"/>
      <c r="LG116" s="30"/>
      <c r="LH116" s="30"/>
      <c r="LI116" s="30"/>
      <c r="LJ116" s="30"/>
      <c r="LK116" s="30"/>
      <c r="LL116" s="30"/>
      <c r="LM116" s="30"/>
      <c r="LN116" s="30"/>
      <c r="LO116" s="30"/>
      <c r="LP116" s="30"/>
      <c r="LQ116" s="30"/>
      <c r="LR116" s="30"/>
      <c r="LS116" s="30"/>
      <c r="LT116" s="30"/>
      <c r="LU116" s="30"/>
      <c r="LV116" s="30"/>
      <c r="LW116" s="30"/>
      <c r="LX116" s="30"/>
      <c r="LY116" s="30"/>
      <c r="LZ116" s="30"/>
      <c r="MA116" s="30"/>
      <c r="MB116" s="30"/>
      <c r="MC116" s="30"/>
      <c r="MD116" s="30"/>
      <c r="ME116" s="30"/>
      <c r="MF116" s="30"/>
      <c r="MG116" s="30"/>
      <c r="MH116" s="30"/>
      <c r="MI116" s="30"/>
      <c r="MJ116" s="30"/>
      <c r="MK116" s="30"/>
      <c r="ML116" s="30"/>
      <c r="MM116" s="30"/>
      <c r="MN116" s="30"/>
      <c r="MO116" s="30"/>
      <c r="MP116" s="30"/>
      <c r="MQ116" s="30"/>
      <c r="MR116" s="30"/>
      <c r="MS116" s="30"/>
      <c r="MT116" s="30"/>
      <c r="MU116" s="30"/>
      <c r="MV116" s="30"/>
      <c r="MW116" s="30"/>
      <c r="MX116" s="30"/>
      <c r="MY116" s="30"/>
      <c r="MZ116" s="30"/>
      <c r="NA116" s="30"/>
      <c r="NB116" s="30"/>
      <c r="NC116" s="30"/>
      <c r="ND116" s="30"/>
      <c r="NE116" s="30"/>
      <c r="NF116" s="30"/>
      <c r="NG116" s="30"/>
      <c r="NH116" s="30"/>
      <c r="NI116" s="30"/>
      <c r="NJ116" s="30"/>
      <c r="NK116" s="30"/>
      <c r="NL116" s="30"/>
      <c r="NM116" s="30"/>
      <c r="NN116" s="30"/>
      <c r="NO116" s="30"/>
      <c r="NP116" s="30"/>
      <c r="NQ116" s="30"/>
      <c r="NR116" s="30"/>
      <c r="NS116" s="30"/>
      <c r="NT116" s="30"/>
      <c r="NU116" s="30"/>
      <c r="NV116" s="30"/>
      <c r="NW116" s="30"/>
      <c r="NX116" s="30"/>
      <c r="NY116" s="30"/>
      <c r="NZ116" s="30"/>
      <c r="OA116" s="30"/>
      <c r="OB116" s="30"/>
      <c r="OC116" s="30"/>
      <c r="OD116" s="30"/>
      <c r="OE116" s="30"/>
      <c r="OF116" s="30"/>
      <c r="OG116" s="30"/>
      <c r="OH116" s="30"/>
      <c r="OI116" s="30"/>
      <c r="OJ116" s="30"/>
      <c r="OK116" s="30"/>
      <c r="OL116" s="30"/>
      <c r="OM116" s="30"/>
      <c r="ON116" s="30"/>
      <c r="OO116" s="30"/>
      <c r="OP116" s="30"/>
      <c r="OQ116" s="30"/>
      <c r="OR116" s="30"/>
      <c r="OS116" s="30"/>
      <c r="OT116" s="30"/>
      <c r="OU116" s="30"/>
      <c r="OV116" s="30"/>
      <c r="OW116" s="30"/>
      <c r="OX116" s="30"/>
      <c r="OY116" s="30"/>
      <c r="OZ116" s="30"/>
      <c r="PA116" s="30"/>
      <c r="PB116" s="30"/>
      <c r="PC116" s="30"/>
      <c r="PD116" s="30"/>
      <c r="PE116" s="30"/>
      <c r="PF116" s="30"/>
      <c r="PG116" s="30"/>
      <c r="PH116" s="30"/>
      <c r="PI116" s="30"/>
      <c r="PJ116" s="30"/>
      <c r="PK116" s="30"/>
      <c r="PL116" s="30"/>
      <c r="PM116" s="30"/>
      <c r="PN116" s="30"/>
      <c r="PO116" s="30"/>
      <c r="PP116" s="30"/>
      <c r="PQ116" s="30"/>
      <c r="PR116" s="30"/>
      <c r="PS116" s="30"/>
      <c r="PT116" s="30"/>
      <c r="PU116" s="30"/>
      <c r="PV116" s="30"/>
      <c r="PW116" s="30"/>
      <c r="PX116" s="30"/>
      <c r="PY116" s="30"/>
      <c r="PZ116" s="30"/>
      <c r="QA116" s="30"/>
      <c r="QB116" s="30"/>
      <c r="QC116" s="30"/>
      <c r="QD116" s="30"/>
      <c r="QE116" s="30"/>
      <c r="QF116" s="30"/>
      <c r="QG116" s="30"/>
      <c r="QH116" s="30"/>
      <c r="QI116" s="30"/>
      <c r="QJ116" s="30"/>
      <c r="QK116" s="30"/>
      <c r="QL116" s="30"/>
      <c r="QM116" s="30"/>
      <c r="QN116" s="30"/>
      <c r="QO116" s="30"/>
      <c r="QP116" s="30"/>
      <c r="QQ116" s="30"/>
      <c r="QR116" s="30"/>
      <c r="QS116" s="30"/>
      <c r="QT116" s="30"/>
      <c r="QU116" s="30"/>
      <c r="QV116" s="30"/>
      <c r="QW116" s="30"/>
      <c r="QX116" s="30"/>
      <c r="QY116" s="30"/>
      <c r="QZ116" s="30"/>
      <c r="RA116" s="30"/>
      <c r="RB116" s="30"/>
      <c r="RC116" s="30"/>
      <c r="RD116" s="30"/>
      <c r="RE116" s="30"/>
      <c r="RF116" s="30"/>
      <c r="RG116" s="30"/>
      <c r="RH116" s="30"/>
      <c r="RI116" s="30"/>
      <c r="RJ116" s="30"/>
      <c r="RK116" s="30"/>
      <c r="RL116" s="30"/>
      <c r="RM116" s="30"/>
      <c r="RN116" s="30"/>
      <c r="RO116" s="30"/>
      <c r="RP116" s="30"/>
      <c r="RQ116" s="30"/>
      <c r="RR116" s="30"/>
      <c r="RS116" s="30"/>
      <c r="RT116" s="30"/>
      <c r="RU116" s="30"/>
      <c r="RV116" s="30"/>
      <c r="RW116" s="30"/>
      <c r="RX116" s="30"/>
      <c r="RY116" s="30"/>
      <c r="RZ116" s="30"/>
      <c r="SA116" s="30"/>
      <c r="SB116" s="30"/>
      <c r="SC116" s="30"/>
      <c r="SD116" s="30"/>
      <c r="SE116" s="30"/>
      <c r="SF116" s="30"/>
      <c r="SG116" s="30"/>
      <c r="SH116" s="30"/>
      <c r="SI116" s="30"/>
      <c r="SJ116" s="30"/>
      <c r="SK116" s="30"/>
      <c r="SL116" s="30"/>
      <c r="SM116" s="30"/>
      <c r="SN116" s="30"/>
      <c r="SO116" s="30"/>
      <c r="SP116" s="30"/>
      <c r="SQ116" s="30"/>
      <c r="SR116" s="30"/>
      <c r="SS116" s="30"/>
      <c r="ST116" s="30"/>
      <c r="SU116" s="30"/>
      <c r="SV116" s="30"/>
      <c r="SW116" s="30"/>
      <c r="SX116" s="30"/>
      <c r="SY116" s="30"/>
      <c r="SZ116" s="30"/>
      <c r="TA116" s="30"/>
      <c r="TB116" s="30"/>
      <c r="TC116" s="30"/>
      <c r="TD116" s="30"/>
      <c r="TE116" s="30"/>
      <c r="TF116" s="30"/>
      <c r="TG116" s="30"/>
      <c r="TH116" s="30"/>
      <c r="TI116" s="30"/>
      <c r="TJ116" s="30"/>
      <c r="TK116" s="30"/>
      <c r="TL116" s="30"/>
      <c r="TM116" s="30"/>
      <c r="TN116" s="30"/>
      <c r="TO116" s="30"/>
      <c r="TP116" s="30"/>
      <c r="TQ116" s="30"/>
      <c r="TR116" s="30"/>
      <c r="TS116" s="30"/>
      <c r="TT116" s="30"/>
      <c r="TU116" s="30"/>
      <c r="TV116" s="30"/>
      <c r="TW116" s="30"/>
      <c r="TX116" s="30"/>
      <c r="TY116" s="30"/>
      <c r="TZ116" s="30"/>
      <c r="UA116" s="30"/>
      <c r="UB116" s="30"/>
      <c r="UC116" s="30"/>
      <c r="UD116" s="30"/>
      <c r="UE116" s="30"/>
      <c r="UF116" s="30"/>
      <c r="UG116" s="30"/>
      <c r="UH116" s="30"/>
      <c r="UI116" s="30"/>
      <c r="UJ116" s="30"/>
      <c r="UK116" s="30"/>
      <c r="UL116" s="30"/>
      <c r="UM116" s="30"/>
      <c r="UN116" s="30"/>
      <c r="UO116" s="30"/>
      <c r="UP116" s="30"/>
      <c r="UQ116" s="30"/>
      <c r="UR116" s="30"/>
      <c r="US116" s="30"/>
      <c r="UT116" s="30"/>
      <c r="UU116" s="30"/>
      <c r="UV116" s="30"/>
      <c r="UW116" s="30"/>
      <c r="UX116" s="30"/>
      <c r="UY116" s="30"/>
      <c r="UZ116" s="30"/>
      <c r="VA116" s="30"/>
      <c r="VB116" s="30"/>
      <c r="VC116" s="30"/>
      <c r="VD116" s="30"/>
      <c r="VE116" s="30"/>
      <c r="VF116" s="30"/>
      <c r="VG116" s="30"/>
      <c r="VH116" s="30"/>
      <c r="VI116" s="30"/>
      <c r="VJ116" s="30"/>
      <c r="VK116" s="30"/>
      <c r="VL116" s="30"/>
      <c r="VM116" s="30"/>
      <c r="VN116" s="30"/>
      <c r="VO116" s="30"/>
      <c r="VP116" s="30"/>
      <c r="VQ116" s="30"/>
      <c r="VR116" s="30"/>
      <c r="VS116" s="30"/>
      <c r="VT116" s="30"/>
      <c r="VU116" s="30"/>
      <c r="VV116" s="30"/>
      <c r="VW116" s="30"/>
      <c r="VX116" s="30"/>
      <c r="VY116" s="30"/>
      <c r="VZ116" s="30"/>
      <c r="WA116" s="30"/>
      <c r="WB116" s="30"/>
      <c r="WC116" s="30"/>
      <c r="WD116" s="30"/>
      <c r="WE116" s="30"/>
      <c r="WF116" s="30"/>
      <c r="WG116" s="30"/>
      <c r="WH116" s="30"/>
      <c r="WI116" s="30"/>
      <c r="WJ116" s="30"/>
      <c r="WK116" s="30"/>
      <c r="WL116" s="30"/>
      <c r="WM116" s="30"/>
      <c r="WN116" s="30"/>
      <c r="WO116" s="30"/>
      <c r="WP116" s="30"/>
      <c r="WQ116" s="30"/>
      <c r="WR116" s="30"/>
      <c r="WS116" s="30"/>
      <c r="WT116" s="30"/>
      <c r="WU116" s="30"/>
      <c r="WV116" s="30"/>
      <c r="WW116" s="30"/>
      <c r="WX116" s="30"/>
      <c r="WY116" s="30"/>
      <c r="WZ116" s="30"/>
      <c r="XA116" s="30"/>
      <c r="XB116" s="30"/>
      <c r="XC116" s="30"/>
      <c r="XD116" s="30"/>
      <c r="XE116" s="30"/>
      <c r="XF116" s="30"/>
      <c r="XG116" s="30"/>
      <c r="XH116" s="30"/>
      <c r="XI116" s="30"/>
      <c r="XJ116" s="30"/>
      <c r="XK116" s="30"/>
      <c r="XL116" s="30"/>
      <c r="XM116" s="30"/>
      <c r="XN116" s="30"/>
      <c r="XO116" s="30"/>
      <c r="XP116" s="30"/>
      <c r="XQ116" s="30"/>
      <c r="XR116" s="30"/>
      <c r="XS116" s="30"/>
      <c r="XT116" s="30"/>
      <c r="XU116" s="30"/>
      <c r="XV116" s="30"/>
      <c r="XW116" s="30"/>
      <c r="XX116" s="30"/>
      <c r="XY116" s="30"/>
      <c r="XZ116" s="30"/>
      <c r="YA116" s="30"/>
      <c r="YB116" s="30"/>
      <c r="YC116" s="30"/>
      <c r="YD116" s="30"/>
      <c r="YE116" s="30"/>
      <c r="YF116" s="30"/>
      <c r="YG116" s="30"/>
      <c r="YH116" s="30"/>
      <c r="YI116" s="30"/>
      <c r="YJ116" s="30"/>
      <c r="YK116" s="30"/>
      <c r="YL116" s="30"/>
      <c r="YM116" s="30"/>
      <c r="YN116" s="30"/>
      <c r="YO116" s="30"/>
      <c r="YP116" s="30"/>
      <c r="YQ116" s="30"/>
      <c r="YR116" s="30"/>
      <c r="YS116" s="30"/>
      <c r="YT116" s="30"/>
      <c r="YU116" s="30"/>
      <c r="YV116" s="30"/>
      <c r="YW116" s="30"/>
      <c r="YX116" s="30"/>
      <c r="YY116" s="30"/>
      <c r="YZ116" s="30"/>
      <c r="ZA116" s="30"/>
      <c r="ZB116" s="30"/>
      <c r="ZC116" s="30"/>
      <c r="ZD116" s="30"/>
      <c r="ZE116" s="30"/>
      <c r="ZF116" s="30"/>
      <c r="ZG116" s="30"/>
      <c r="ZH116" s="30"/>
      <c r="ZI116" s="30"/>
      <c r="ZJ116" s="30"/>
      <c r="ZK116" s="30"/>
      <c r="ZL116" s="30"/>
      <c r="ZM116" s="30"/>
      <c r="ZN116" s="30"/>
      <c r="ZO116" s="30"/>
      <c r="ZP116" s="30"/>
      <c r="ZQ116" s="30"/>
      <c r="ZR116" s="30"/>
      <c r="ZS116" s="30"/>
      <c r="ZT116" s="30"/>
      <c r="ZU116" s="30"/>
      <c r="ZV116" s="30"/>
      <c r="ZW116" s="30"/>
      <c r="ZX116" s="30"/>
      <c r="ZY116" s="30"/>
      <c r="ZZ116" s="30"/>
      <c r="AAA116" s="30"/>
      <c r="AAB116" s="30"/>
      <c r="AAC116" s="30"/>
      <c r="AAD116" s="30"/>
      <c r="AAE116" s="30"/>
      <c r="AAF116" s="30"/>
      <c r="AAG116" s="30"/>
      <c r="AAH116" s="30"/>
      <c r="AAI116" s="30"/>
      <c r="AAJ116" s="30"/>
      <c r="AAK116" s="30"/>
      <c r="AAL116" s="30"/>
      <c r="AAM116" s="30"/>
      <c r="AAN116" s="30"/>
      <c r="AAO116" s="30"/>
      <c r="AAP116" s="30"/>
      <c r="AAQ116" s="30"/>
      <c r="AAR116" s="30"/>
      <c r="AAS116" s="30"/>
      <c r="AAT116" s="30"/>
      <c r="AAU116" s="30"/>
      <c r="AAV116" s="30"/>
      <c r="AAW116" s="30"/>
      <c r="AAX116" s="30"/>
      <c r="AAY116" s="30"/>
      <c r="AAZ116" s="30"/>
      <c r="ABA116" s="30"/>
      <c r="ABB116" s="30"/>
      <c r="ABC116" s="30"/>
      <c r="ABD116" s="30"/>
      <c r="ABE116" s="30"/>
      <c r="ABF116" s="30"/>
      <c r="ABG116" s="30"/>
      <c r="ABH116" s="30"/>
      <c r="ABI116" s="30"/>
      <c r="ABJ116" s="30"/>
      <c r="ABK116" s="30"/>
      <c r="ABL116" s="30"/>
      <c r="ABM116" s="30"/>
      <c r="ABN116" s="30"/>
      <c r="ABO116" s="30"/>
      <c r="ABP116" s="30"/>
      <c r="ABQ116" s="30"/>
      <c r="ABR116" s="30"/>
      <c r="ABS116" s="30"/>
      <c r="ABT116" s="30"/>
      <c r="ABU116" s="30"/>
      <c r="ABV116" s="30"/>
      <c r="ABW116" s="30"/>
      <c r="ABX116" s="30"/>
      <c r="ABY116" s="30"/>
      <c r="ABZ116" s="30"/>
      <c r="ACA116" s="30"/>
      <c r="ACB116" s="30"/>
      <c r="ACC116" s="30"/>
      <c r="ACD116" s="30"/>
      <c r="ACE116" s="30"/>
      <c r="ACF116" s="30"/>
      <c r="ACG116" s="30"/>
      <c r="ACH116" s="30"/>
      <c r="ACI116" s="30"/>
      <c r="ACJ116" s="30"/>
      <c r="ACK116" s="30"/>
      <c r="ACL116" s="30"/>
      <c r="ACM116" s="30"/>
      <c r="ACN116" s="30"/>
      <c r="ACO116" s="30"/>
      <c r="ACP116" s="30"/>
      <c r="ACQ116" s="30"/>
      <c r="ACR116" s="30"/>
      <c r="ACS116" s="30"/>
      <c r="ACT116" s="30"/>
      <c r="ACU116" s="30"/>
      <c r="ACV116" s="30"/>
      <c r="ACW116" s="30"/>
      <c r="ACX116" s="30"/>
      <c r="ACY116" s="30"/>
      <c r="ACZ116" s="30"/>
      <c r="ADA116" s="30"/>
      <c r="ADB116" s="30"/>
      <c r="ADC116" s="30"/>
      <c r="ADD116" s="30"/>
      <c r="ADE116" s="30"/>
      <c r="ADF116" s="30"/>
      <c r="ADG116" s="30"/>
      <c r="ADH116" s="30"/>
      <c r="ADI116" s="30"/>
      <c r="ADJ116" s="30"/>
      <c r="ADK116" s="30"/>
      <c r="ADL116" s="30"/>
      <c r="ADM116" s="30"/>
      <c r="ADN116" s="30"/>
      <c r="ADO116" s="30"/>
      <c r="ADP116" s="30"/>
      <c r="ADQ116" s="30"/>
      <c r="ADR116" s="30"/>
      <c r="ADS116" s="30"/>
      <c r="ADT116" s="30"/>
      <c r="ADU116" s="30"/>
      <c r="ADV116" s="30"/>
      <c r="ADW116" s="30"/>
      <c r="ADX116" s="30"/>
      <c r="ADY116" s="30"/>
      <c r="ADZ116" s="30"/>
      <c r="AEA116" s="30"/>
      <c r="AEB116" s="30"/>
      <c r="AEC116" s="30"/>
      <c r="AED116" s="30"/>
      <c r="AEE116" s="30"/>
      <c r="AEF116" s="30"/>
      <c r="AEG116" s="30"/>
      <c r="AEH116" s="30"/>
      <c r="AEI116" s="30"/>
      <c r="AEJ116" s="30"/>
      <c r="AEK116" s="30"/>
      <c r="AEL116" s="30"/>
      <c r="AEM116" s="30"/>
      <c r="AEN116" s="30"/>
      <c r="AEO116" s="30"/>
      <c r="AEP116" s="30"/>
      <c r="AEQ116" s="30"/>
      <c r="AER116" s="30"/>
      <c r="AES116" s="30"/>
      <c r="AET116" s="30"/>
      <c r="AEU116" s="30"/>
      <c r="AEV116" s="30"/>
      <c r="AEW116" s="30"/>
      <c r="AEX116" s="30"/>
      <c r="AEY116" s="30"/>
      <c r="AEZ116" s="30"/>
      <c r="AFA116" s="30"/>
      <c r="AFB116" s="30"/>
      <c r="AFC116" s="30"/>
      <c r="AFD116" s="30"/>
      <c r="AFE116" s="30"/>
      <c r="AFF116" s="30"/>
      <c r="AFG116" s="30"/>
      <c r="AFH116" s="30"/>
      <c r="AFI116" s="30"/>
      <c r="AFJ116" s="30"/>
      <c r="AFK116" s="30"/>
      <c r="AFL116" s="30"/>
      <c r="AFM116" s="30"/>
      <c r="AFN116" s="30"/>
      <c r="AFO116" s="30"/>
      <c r="AFP116" s="30"/>
      <c r="AFQ116" s="30"/>
      <c r="AFR116" s="30"/>
      <c r="AFS116" s="30"/>
      <c r="AFT116" s="30"/>
      <c r="AFU116" s="30"/>
      <c r="AFV116" s="30"/>
      <c r="AFW116" s="30"/>
      <c r="AFX116" s="30"/>
      <c r="AFY116" s="30"/>
      <c r="AFZ116" s="30"/>
      <c r="AGA116" s="30"/>
      <c r="AGB116" s="30"/>
      <c r="AGC116" s="30"/>
      <c r="AGD116" s="30"/>
      <c r="AGE116" s="30"/>
      <c r="AGF116" s="30"/>
      <c r="AGG116" s="30"/>
      <c r="AGH116" s="30"/>
      <c r="AGI116" s="30"/>
      <c r="AGJ116" s="30"/>
      <c r="AGK116" s="30"/>
      <c r="AGL116" s="30"/>
      <c r="AGM116" s="30"/>
      <c r="AGN116" s="30"/>
      <c r="AGO116" s="30"/>
      <c r="AGP116" s="30"/>
      <c r="AGQ116" s="30"/>
      <c r="AGR116" s="30"/>
      <c r="AGS116" s="30"/>
      <c r="AGT116" s="30"/>
      <c r="AGU116" s="30"/>
      <c r="AGV116" s="30"/>
      <c r="AGW116" s="30"/>
      <c r="AGX116" s="30"/>
      <c r="AGY116" s="30"/>
      <c r="AGZ116" s="30"/>
      <c r="AHA116" s="30"/>
      <c r="AHB116" s="30"/>
      <c r="AHC116" s="30"/>
      <c r="AHD116" s="30"/>
      <c r="AHE116" s="30"/>
      <c r="AHF116" s="30"/>
      <c r="AHG116" s="30"/>
      <c r="AHH116" s="30"/>
      <c r="AHI116" s="30"/>
      <c r="AHJ116" s="30"/>
      <c r="AHK116" s="30"/>
      <c r="AHL116" s="30"/>
      <c r="AHM116" s="30"/>
      <c r="AHN116" s="30"/>
      <c r="AHO116" s="30"/>
      <c r="AHP116" s="30"/>
      <c r="AHQ116" s="30"/>
      <c r="AHR116" s="30"/>
      <c r="AHS116" s="30"/>
      <c r="AHT116" s="30"/>
      <c r="AHU116" s="30"/>
      <c r="AHV116" s="30"/>
      <c r="AHW116" s="30"/>
      <c r="AHX116" s="30"/>
      <c r="AHY116" s="30"/>
      <c r="AHZ116" s="30"/>
      <c r="AIA116" s="30"/>
      <c r="AIB116" s="30"/>
      <c r="AIC116" s="30"/>
      <c r="AID116" s="30"/>
      <c r="AIE116" s="30"/>
      <c r="AIF116" s="30"/>
      <c r="AIG116" s="30"/>
      <c r="AIH116" s="30"/>
      <c r="AII116" s="30"/>
      <c r="AIJ116" s="30"/>
      <c r="AIK116" s="30"/>
      <c r="AIL116" s="30"/>
      <c r="AIM116" s="30"/>
      <c r="AIN116" s="30"/>
      <c r="AIO116" s="30"/>
      <c r="AIP116" s="30"/>
      <c r="AIQ116" s="30"/>
      <c r="AIR116" s="30"/>
      <c r="AIS116" s="30"/>
      <c r="AIT116" s="30"/>
      <c r="AIU116" s="30"/>
      <c r="AIV116" s="30"/>
      <c r="AIW116" s="30"/>
      <c r="AIX116" s="30"/>
      <c r="AIY116" s="30"/>
      <c r="AIZ116" s="30"/>
      <c r="AJA116" s="30"/>
      <c r="AJB116" s="30"/>
      <c r="AJC116" s="30"/>
      <c r="AJD116" s="30"/>
      <c r="AJE116" s="30"/>
      <c r="AJF116" s="30"/>
      <c r="AJG116" s="30"/>
      <c r="AJH116" s="30"/>
      <c r="AJI116" s="30"/>
      <c r="AJJ116" s="30"/>
      <c r="AJK116" s="30"/>
      <c r="AJL116" s="30"/>
      <c r="AJM116" s="30"/>
      <c r="AJN116" s="30"/>
      <c r="AJO116" s="30"/>
      <c r="AJP116" s="30"/>
      <c r="AJQ116" s="30"/>
      <c r="AJR116" s="30"/>
      <c r="AJS116" s="30"/>
      <c r="AJT116" s="30"/>
      <c r="AJU116" s="30"/>
      <c r="AJV116" s="30"/>
      <c r="AJW116" s="30"/>
      <c r="AJX116" s="30"/>
      <c r="AJY116" s="30"/>
      <c r="AJZ116" s="30"/>
      <c r="AKA116" s="30"/>
      <c r="AKB116" s="30"/>
      <c r="AKC116" s="30"/>
      <c r="AKD116" s="30"/>
      <c r="AKE116" s="30"/>
      <c r="AKF116" s="30"/>
      <c r="AKG116" s="30"/>
      <c r="AKH116" s="30"/>
      <c r="AKI116" s="30"/>
      <c r="AKJ116" s="30"/>
      <c r="AKK116" s="30"/>
      <c r="AKL116" s="30"/>
      <c r="AKM116" s="30"/>
      <c r="AKN116" s="30"/>
      <c r="AKO116" s="30"/>
      <c r="AKP116" s="30"/>
      <c r="AKQ116" s="30"/>
      <c r="AKR116" s="30"/>
      <c r="AKS116" s="30"/>
      <c r="AKT116" s="30"/>
      <c r="AKU116" s="30"/>
      <c r="AKV116" s="30"/>
      <c r="AKW116" s="30"/>
      <c r="AKX116" s="30"/>
      <c r="AKY116" s="30"/>
      <c r="AKZ116" s="30"/>
      <c r="ALA116" s="30"/>
      <c r="ALB116" s="30"/>
      <c r="ALC116" s="30"/>
      <c r="ALD116" s="30"/>
      <c r="ALE116" s="30"/>
      <c r="ALF116" s="30"/>
      <c r="ALG116" s="30"/>
      <c r="ALH116" s="30"/>
      <c r="ALI116" s="30"/>
      <c r="ALJ116" s="30"/>
      <c r="ALK116" s="30"/>
      <c r="ALL116" s="30"/>
      <c r="ALM116" s="30"/>
      <c r="ALN116" s="30"/>
      <c r="ALO116" s="30"/>
      <c r="ALP116" s="30"/>
      <c r="ALQ116" s="30"/>
      <c r="ALR116" s="30"/>
      <c r="ALS116" s="30"/>
      <c r="ALT116" s="30"/>
      <c r="ALU116" s="30"/>
      <c r="ALV116" s="30"/>
      <c r="ALW116" s="30"/>
      <c r="ALX116" s="30"/>
      <c r="ALY116" s="30"/>
      <c r="ALZ116" s="30"/>
      <c r="AMA116" s="30"/>
      <c r="AMB116" s="30"/>
      <c r="AMC116" s="30"/>
      <c r="AMD116" s="30"/>
      <c r="AME116" s="30"/>
      <c r="AMF116" s="30"/>
      <c r="AMG116" s="30"/>
      <c r="AMH116" s="30"/>
      <c r="AMI116" s="30"/>
      <c r="AMJ116" s="30"/>
      <c r="AMK116" s="30"/>
      <c r="AML116" s="30"/>
      <c r="AMM116" s="30"/>
      <c r="AMN116" s="30"/>
      <c r="AMO116" s="30"/>
      <c r="AMP116" s="30"/>
      <c r="AMQ116" s="30"/>
      <c r="AMR116" s="30"/>
      <c r="AMS116" s="30"/>
      <c r="AMT116" s="30"/>
      <c r="AMU116" s="30"/>
      <c r="AMV116" s="30"/>
      <c r="AMW116" s="30"/>
      <c r="AMX116" s="30"/>
      <c r="AMY116" s="30"/>
      <c r="AMZ116" s="30"/>
      <c r="ANA116" s="30"/>
      <c r="ANB116" s="30"/>
      <c r="ANC116" s="30"/>
      <c r="AND116" s="30"/>
      <c r="ANE116" s="30"/>
      <c r="ANF116" s="30"/>
      <c r="ANG116" s="30"/>
      <c r="ANH116" s="30"/>
      <c r="ANI116" s="30"/>
      <c r="ANJ116" s="30"/>
      <c r="ANK116" s="30"/>
      <c r="ANL116" s="30"/>
      <c r="ANM116" s="30"/>
      <c r="ANN116" s="30"/>
      <c r="ANO116" s="30"/>
      <c r="ANP116" s="30"/>
      <c r="ANQ116" s="30"/>
      <c r="ANR116" s="30"/>
      <c r="ANS116" s="30"/>
      <c r="ANT116" s="30"/>
      <c r="ANU116" s="30"/>
      <c r="ANV116" s="30"/>
      <c r="ANW116" s="30"/>
      <c r="ANX116" s="30"/>
      <c r="ANY116" s="30"/>
      <c r="ANZ116" s="30"/>
      <c r="AOA116" s="30"/>
      <c r="AOB116" s="30"/>
      <c r="AOC116" s="30"/>
      <c r="AOD116" s="30"/>
      <c r="AOE116" s="30"/>
      <c r="AOF116" s="30"/>
      <c r="AOG116" s="30"/>
      <c r="AOH116" s="30"/>
      <c r="AOI116" s="30"/>
      <c r="AOJ116" s="30"/>
      <c r="AOK116" s="30"/>
      <c r="AOL116" s="30"/>
      <c r="AOM116" s="30"/>
      <c r="AON116" s="30"/>
      <c r="AOO116" s="30"/>
      <c r="AOP116" s="30"/>
      <c r="AOQ116" s="30"/>
      <c r="AOR116" s="30"/>
      <c r="AOS116" s="30"/>
      <c r="AOT116" s="30"/>
      <c r="AOU116" s="30"/>
      <c r="AOV116" s="30"/>
      <c r="AOW116" s="30"/>
      <c r="AOX116" s="30"/>
      <c r="AOY116" s="30"/>
      <c r="AOZ116" s="30"/>
      <c r="APA116" s="30"/>
      <c r="APB116" s="30"/>
      <c r="APC116" s="30"/>
      <c r="APD116" s="30"/>
      <c r="APE116" s="30"/>
      <c r="APF116" s="30"/>
      <c r="APG116" s="30"/>
      <c r="APH116" s="30"/>
      <c r="API116" s="30"/>
      <c r="APJ116" s="30"/>
      <c r="APK116" s="30"/>
      <c r="APL116" s="30"/>
      <c r="APM116" s="30"/>
      <c r="APN116" s="30"/>
      <c r="APO116" s="30"/>
      <c r="APP116" s="30"/>
      <c r="APQ116" s="30"/>
      <c r="APR116" s="30"/>
      <c r="APS116" s="30"/>
      <c r="APT116" s="30"/>
      <c r="APU116" s="30"/>
      <c r="APV116" s="30"/>
      <c r="APW116" s="30"/>
      <c r="APX116" s="30"/>
      <c r="APY116" s="30"/>
      <c r="APZ116" s="30"/>
      <c r="AQA116" s="30"/>
      <c r="AQB116" s="30"/>
      <c r="AQC116" s="30"/>
      <c r="AQD116" s="30"/>
      <c r="AQE116" s="30"/>
      <c r="AQF116" s="30"/>
      <c r="AQG116" s="30"/>
      <c r="AQH116" s="30"/>
      <c r="AQI116" s="30"/>
      <c r="AQJ116" s="30"/>
      <c r="AQK116" s="30"/>
      <c r="AQL116" s="30"/>
      <c r="AQM116" s="30"/>
      <c r="AQN116" s="30"/>
      <c r="AQO116" s="30"/>
      <c r="AQP116" s="30"/>
      <c r="AQQ116" s="30"/>
      <c r="AQR116" s="30"/>
      <c r="AQS116" s="30"/>
      <c r="AQT116" s="30"/>
      <c r="AQU116" s="30"/>
      <c r="AQV116" s="30"/>
      <c r="AQW116" s="30"/>
      <c r="AQX116" s="30"/>
      <c r="AQY116" s="30"/>
      <c r="AQZ116" s="30"/>
      <c r="ARA116" s="30"/>
      <c r="ARB116" s="30"/>
      <c r="ARC116" s="30"/>
      <c r="ARD116" s="30"/>
      <c r="ARE116" s="30"/>
      <c r="ARF116" s="30"/>
      <c r="ARG116" s="30"/>
      <c r="ARH116" s="30"/>
      <c r="ARI116" s="30"/>
      <c r="ARJ116" s="30"/>
      <c r="ARK116" s="30"/>
      <c r="ARL116" s="30"/>
      <c r="ARM116" s="30"/>
      <c r="ARN116" s="30"/>
      <c r="ARO116" s="30"/>
      <c r="ARP116" s="30"/>
      <c r="ARQ116" s="30"/>
      <c r="ARR116" s="30"/>
      <c r="ARS116" s="30"/>
      <c r="ART116" s="30"/>
      <c r="ARU116" s="30"/>
      <c r="ARV116" s="30"/>
      <c r="ARW116" s="30"/>
      <c r="ARX116" s="30"/>
      <c r="ARY116" s="30"/>
      <c r="ARZ116" s="30"/>
      <c r="ASA116" s="30"/>
      <c r="ASB116" s="30"/>
      <c r="ASC116" s="30"/>
      <c r="ASD116" s="30"/>
      <c r="ASE116" s="30"/>
      <c r="ASF116" s="30"/>
      <c r="ASG116" s="30"/>
      <c r="ASH116" s="30"/>
      <c r="ASI116" s="30"/>
      <c r="ASJ116" s="30"/>
      <c r="ASK116" s="30"/>
      <c r="ASL116" s="30"/>
      <c r="ASM116" s="30"/>
      <c r="ASN116" s="30"/>
      <c r="ASO116" s="30"/>
      <c r="ASP116" s="30"/>
      <c r="ASQ116" s="30"/>
      <c r="ASR116" s="30"/>
      <c r="ASS116" s="30"/>
      <c r="AST116" s="30"/>
      <c r="ASU116" s="30"/>
      <c r="ASV116" s="30"/>
      <c r="ASW116" s="30"/>
      <c r="ASX116" s="30"/>
      <c r="ASY116" s="30"/>
      <c r="ASZ116" s="30"/>
      <c r="ATA116" s="30"/>
      <c r="ATB116" s="30"/>
      <c r="ATC116" s="30"/>
      <c r="ATD116" s="30"/>
      <c r="ATE116" s="30"/>
      <c r="ATF116" s="30"/>
      <c r="ATG116" s="30"/>
      <c r="ATH116" s="30"/>
      <c r="ATI116" s="30"/>
      <c r="ATJ116" s="30"/>
      <c r="ATK116" s="30"/>
      <c r="ATL116" s="30"/>
      <c r="ATM116" s="30"/>
      <c r="ATN116" s="30"/>
      <c r="ATO116" s="30"/>
      <c r="ATP116" s="30"/>
      <c r="ATQ116" s="30"/>
      <c r="ATR116" s="30"/>
      <c r="ATS116" s="30"/>
      <c r="ATT116" s="30"/>
      <c r="ATU116" s="30"/>
      <c r="ATV116" s="30"/>
      <c r="ATW116" s="30"/>
      <c r="ATX116" s="30"/>
      <c r="ATY116" s="30"/>
      <c r="ATZ116" s="30"/>
      <c r="AUA116" s="30"/>
      <c r="AUB116" s="30"/>
      <c r="AUC116" s="30"/>
      <c r="AUD116" s="30"/>
      <c r="AUE116" s="30"/>
      <c r="AUF116" s="30"/>
      <c r="AUG116" s="30"/>
      <c r="AUH116" s="30"/>
      <c r="AUI116" s="30"/>
      <c r="AUJ116" s="30"/>
      <c r="AUK116" s="30"/>
      <c r="AUL116" s="30"/>
      <c r="AUM116" s="30"/>
      <c r="AUN116" s="30"/>
      <c r="AUO116" s="30"/>
      <c r="AUP116" s="30"/>
      <c r="AUQ116" s="30"/>
      <c r="AUR116" s="30"/>
      <c r="AUS116" s="30"/>
      <c r="AUT116" s="30"/>
      <c r="AUU116" s="30"/>
      <c r="AUV116" s="30"/>
      <c r="AUW116" s="30"/>
      <c r="AUX116" s="30"/>
      <c r="AUY116" s="30"/>
      <c r="AUZ116" s="30"/>
      <c r="AVA116" s="30"/>
      <c r="AVB116" s="30"/>
      <c r="AVC116" s="30"/>
      <c r="AVD116" s="30"/>
      <c r="AVE116" s="30"/>
      <c r="AVF116" s="30"/>
      <c r="AVG116" s="30"/>
      <c r="AVH116" s="30"/>
      <c r="AVI116" s="30"/>
      <c r="AVJ116" s="30"/>
      <c r="AVK116" s="30"/>
      <c r="AVL116" s="30"/>
      <c r="AVM116" s="30"/>
      <c r="AVN116" s="30"/>
      <c r="AVO116" s="30"/>
      <c r="AVP116" s="30"/>
      <c r="AVQ116" s="30"/>
      <c r="AVR116" s="30"/>
      <c r="AVS116" s="30"/>
      <c r="AVT116" s="30"/>
      <c r="AVU116" s="30"/>
      <c r="AVV116" s="30"/>
      <c r="AVW116" s="30"/>
      <c r="AVX116" s="30"/>
      <c r="AVY116" s="30"/>
      <c r="AVZ116" s="30"/>
      <c r="AWA116" s="30"/>
      <c r="AWB116" s="30"/>
      <c r="AWC116" s="30"/>
      <c r="AWD116" s="30"/>
      <c r="AWE116" s="30"/>
      <c r="AWF116" s="30"/>
      <c r="AWG116" s="30"/>
      <c r="AWH116" s="30"/>
      <c r="AWI116" s="30"/>
      <c r="AWJ116" s="30"/>
      <c r="AWK116" s="30"/>
      <c r="AWL116" s="30"/>
      <c r="AWM116" s="30"/>
      <c r="AWN116" s="30"/>
      <c r="AWO116" s="30"/>
      <c r="AWP116" s="30"/>
      <c r="AWQ116" s="30"/>
      <c r="AWR116" s="30"/>
      <c r="AWS116" s="30"/>
      <c r="AWT116" s="30"/>
      <c r="AWU116" s="30"/>
      <c r="AWV116" s="30"/>
      <c r="AWW116" s="30"/>
      <c r="AWX116" s="30"/>
      <c r="AWY116" s="30"/>
      <c r="AWZ116" s="30"/>
      <c r="AXA116" s="30"/>
      <c r="AXB116" s="30"/>
      <c r="AXC116" s="30"/>
      <c r="AXD116" s="30"/>
      <c r="AXE116" s="30"/>
      <c r="AXF116" s="30"/>
      <c r="AXG116" s="30"/>
      <c r="AXH116" s="30"/>
      <c r="AXI116" s="30"/>
      <c r="AXJ116" s="30"/>
      <c r="AXK116" s="30"/>
      <c r="AXL116" s="30"/>
      <c r="AXM116" s="30"/>
      <c r="AXN116" s="30"/>
      <c r="AXO116" s="30"/>
      <c r="AXP116" s="30"/>
      <c r="AXQ116" s="30"/>
      <c r="AXR116" s="30"/>
      <c r="AXS116" s="30"/>
      <c r="AXT116" s="30"/>
      <c r="AXU116" s="30"/>
      <c r="AXV116" s="30"/>
      <c r="AXW116" s="30"/>
      <c r="AXX116" s="30"/>
      <c r="AXY116" s="30"/>
      <c r="AXZ116" s="30"/>
      <c r="AYA116" s="30"/>
      <c r="AYB116" s="30"/>
      <c r="AYC116" s="30"/>
      <c r="AYD116" s="30"/>
      <c r="AYE116" s="30"/>
      <c r="AYF116" s="30"/>
      <c r="AYG116" s="30"/>
      <c r="AYH116" s="30"/>
      <c r="AYI116" s="30"/>
      <c r="AYJ116" s="30"/>
      <c r="AYK116" s="30"/>
      <c r="AYL116" s="30"/>
      <c r="AYM116" s="30"/>
      <c r="AYN116" s="30"/>
      <c r="AYO116" s="30"/>
      <c r="AYP116" s="30"/>
      <c r="AYQ116" s="30"/>
      <c r="AYR116" s="30"/>
      <c r="AYS116" s="30"/>
      <c r="AYT116" s="30"/>
      <c r="AYU116" s="30"/>
      <c r="AYV116" s="30"/>
      <c r="AYW116" s="30"/>
      <c r="AYX116" s="30"/>
      <c r="AYY116" s="30"/>
      <c r="AYZ116" s="30"/>
      <c r="AZA116" s="30"/>
      <c r="AZB116" s="30"/>
      <c r="AZC116" s="30"/>
      <c r="AZD116" s="30"/>
      <c r="AZE116" s="30"/>
      <c r="AZF116" s="30"/>
      <c r="AZG116" s="30"/>
      <c r="AZH116" s="30"/>
      <c r="AZI116" s="30"/>
      <c r="AZJ116" s="30"/>
      <c r="AZK116" s="30"/>
      <c r="AZL116" s="30"/>
      <c r="AZM116" s="30"/>
      <c r="AZN116" s="30"/>
      <c r="AZO116" s="30"/>
      <c r="AZP116" s="30"/>
      <c r="AZQ116" s="30"/>
      <c r="AZR116" s="30"/>
      <c r="AZS116" s="30"/>
      <c r="AZT116" s="30"/>
      <c r="AZU116" s="30"/>
      <c r="AZV116" s="30"/>
      <c r="AZW116" s="30"/>
      <c r="AZX116" s="30"/>
      <c r="AZY116" s="30"/>
      <c r="AZZ116" s="30"/>
      <c r="BAA116" s="30"/>
      <c r="BAB116" s="30"/>
      <c r="BAC116" s="30"/>
      <c r="BAD116" s="30"/>
      <c r="BAE116" s="30"/>
      <c r="BAF116" s="30"/>
      <c r="BAG116" s="30"/>
      <c r="BAH116" s="30"/>
      <c r="BAI116" s="30"/>
      <c r="BAJ116" s="30"/>
      <c r="BAK116" s="30"/>
      <c r="BAL116" s="30"/>
      <c r="BAM116" s="30"/>
      <c r="BAN116" s="30"/>
      <c r="BAO116" s="30"/>
      <c r="BAP116" s="30"/>
      <c r="BAQ116" s="30"/>
      <c r="BAR116" s="30"/>
      <c r="BAS116" s="30"/>
      <c r="BAT116" s="30"/>
      <c r="BAU116" s="30"/>
      <c r="BAV116" s="30"/>
      <c r="BAW116" s="30"/>
      <c r="BAX116" s="30"/>
      <c r="BAY116" s="30"/>
      <c r="BAZ116" s="30"/>
      <c r="BBA116" s="30"/>
      <c r="BBB116" s="30"/>
      <c r="BBC116" s="30"/>
      <c r="BBD116" s="30"/>
      <c r="BBE116" s="30"/>
      <c r="BBF116" s="30"/>
      <c r="BBG116" s="30"/>
      <c r="BBH116" s="30"/>
      <c r="BBI116" s="30"/>
      <c r="BBJ116" s="30"/>
      <c r="BBK116" s="30"/>
      <c r="BBL116" s="30"/>
      <c r="BBM116" s="30"/>
      <c r="BBN116" s="30"/>
      <c r="BBO116" s="30"/>
      <c r="BBP116" s="30"/>
      <c r="BBQ116" s="30"/>
      <c r="BBR116" s="30"/>
      <c r="BBS116" s="30"/>
      <c r="BBT116" s="30"/>
      <c r="BBU116" s="30"/>
      <c r="BBV116" s="30"/>
      <c r="BBW116" s="30"/>
      <c r="BBX116" s="30"/>
      <c r="BBY116" s="30"/>
      <c r="BBZ116" s="30"/>
      <c r="BCA116" s="30"/>
      <c r="BCB116" s="30"/>
      <c r="BCC116" s="30"/>
      <c r="BCD116" s="30"/>
      <c r="BCE116" s="30"/>
      <c r="BCF116" s="30"/>
      <c r="BCG116" s="30"/>
      <c r="BCH116" s="30"/>
      <c r="BCI116" s="30"/>
      <c r="BCJ116" s="30"/>
      <c r="BCK116" s="30"/>
      <c r="BCL116" s="30"/>
      <c r="BCM116" s="30"/>
      <c r="BCN116" s="30"/>
      <c r="BCO116" s="30"/>
      <c r="BCP116" s="30"/>
      <c r="BCQ116" s="30"/>
      <c r="BCR116" s="30"/>
      <c r="BCS116" s="30"/>
      <c r="BCT116" s="30"/>
      <c r="BCU116" s="30"/>
      <c r="BCV116" s="30"/>
      <c r="BCW116" s="30"/>
      <c r="BCX116" s="30"/>
      <c r="BCY116" s="30"/>
      <c r="BCZ116" s="30"/>
      <c r="BDA116" s="30"/>
      <c r="BDB116" s="30"/>
      <c r="BDC116" s="30"/>
      <c r="BDD116" s="30"/>
      <c r="BDE116" s="30"/>
      <c r="BDF116" s="30"/>
      <c r="BDG116" s="30"/>
      <c r="BDH116" s="30"/>
      <c r="BDI116" s="30"/>
      <c r="BDJ116" s="30"/>
      <c r="BDK116" s="30"/>
      <c r="BDL116" s="30"/>
      <c r="BDM116" s="30"/>
      <c r="BDN116" s="30"/>
      <c r="BDO116" s="30"/>
      <c r="BDP116" s="30"/>
      <c r="BDQ116" s="30"/>
      <c r="BDR116" s="30"/>
      <c r="BDS116" s="30"/>
      <c r="BDT116" s="30"/>
      <c r="BDU116" s="30"/>
      <c r="BDV116" s="30"/>
      <c r="BDW116" s="30"/>
      <c r="BDX116" s="30"/>
      <c r="BDY116" s="30"/>
      <c r="BDZ116" s="30"/>
      <c r="BEA116" s="30"/>
      <c r="BEB116" s="30"/>
      <c r="BEC116" s="30"/>
      <c r="BED116" s="30"/>
      <c r="BEE116" s="30"/>
      <c r="BEF116" s="30"/>
      <c r="BEG116" s="30"/>
      <c r="BEH116" s="30"/>
      <c r="BEI116" s="30"/>
      <c r="BEJ116" s="30"/>
      <c r="BEK116" s="30"/>
      <c r="BEL116" s="30"/>
      <c r="BEM116" s="30"/>
      <c r="BEN116" s="30"/>
      <c r="BEO116" s="30"/>
      <c r="BEP116" s="30"/>
      <c r="BEQ116" s="30"/>
      <c r="BER116" s="30"/>
      <c r="BES116" s="30"/>
      <c r="BET116" s="30"/>
      <c r="BEU116" s="30"/>
      <c r="BEV116" s="30"/>
      <c r="BEW116" s="30"/>
      <c r="BEX116" s="30"/>
      <c r="BEY116" s="30"/>
      <c r="BEZ116" s="30"/>
      <c r="BFA116" s="30"/>
      <c r="BFB116" s="30"/>
      <c r="BFC116" s="30"/>
      <c r="BFD116" s="30"/>
      <c r="BFE116" s="30"/>
      <c r="BFF116" s="30"/>
      <c r="BFG116" s="30"/>
      <c r="BFH116" s="30"/>
      <c r="BFI116" s="30"/>
      <c r="BFJ116" s="30"/>
      <c r="BFK116" s="30"/>
      <c r="BFL116" s="30"/>
      <c r="BFM116" s="30"/>
      <c r="BFN116" s="30"/>
      <c r="BFO116" s="30"/>
      <c r="BFP116" s="30"/>
      <c r="BFQ116" s="30"/>
      <c r="BFR116" s="30"/>
      <c r="BFS116" s="30"/>
      <c r="BFT116" s="30"/>
      <c r="BFU116" s="30"/>
      <c r="BFV116" s="30"/>
      <c r="BFW116" s="30"/>
      <c r="BFX116" s="30"/>
      <c r="BFY116" s="30"/>
      <c r="BFZ116" s="30"/>
      <c r="BGA116" s="30"/>
      <c r="BGB116" s="30"/>
      <c r="BGC116" s="30"/>
      <c r="BGD116" s="30"/>
      <c r="BGE116" s="30"/>
      <c r="BGF116" s="30"/>
      <c r="BGG116" s="30"/>
      <c r="BGH116" s="30"/>
      <c r="BGI116" s="30"/>
      <c r="BGJ116" s="30"/>
      <c r="BGK116" s="30"/>
      <c r="BGL116" s="30"/>
      <c r="BGM116" s="30"/>
      <c r="BGN116" s="30"/>
      <c r="BGO116" s="30"/>
      <c r="BGP116" s="30"/>
      <c r="BGQ116" s="30"/>
      <c r="BGR116" s="30"/>
      <c r="BGS116" s="30"/>
      <c r="BGT116" s="30"/>
      <c r="BGU116" s="30"/>
      <c r="BGV116" s="30"/>
      <c r="BGW116" s="30"/>
      <c r="BGX116" s="30"/>
      <c r="BGY116" s="30"/>
      <c r="BGZ116" s="30"/>
      <c r="BHA116" s="30"/>
      <c r="BHB116" s="30"/>
      <c r="BHC116" s="30"/>
      <c r="BHD116" s="30"/>
      <c r="BHE116" s="30"/>
      <c r="BHF116" s="30"/>
      <c r="BHG116" s="30"/>
      <c r="BHH116" s="30"/>
      <c r="BHI116" s="30"/>
      <c r="BHJ116" s="30"/>
      <c r="BHK116" s="30"/>
      <c r="BHL116" s="30"/>
      <c r="BHM116" s="30"/>
      <c r="BHN116" s="30"/>
      <c r="BHO116" s="30"/>
      <c r="BHP116" s="30"/>
      <c r="BHQ116" s="30"/>
      <c r="BHR116" s="30"/>
      <c r="BHS116" s="30"/>
      <c r="BHT116" s="30"/>
      <c r="BHU116" s="30"/>
      <c r="BHV116" s="30"/>
      <c r="BHW116" s="30"/>
      <c r="BHX116" s="30"/>
      <c r="BHY116" s="30"/>
      <c r="BHZ116" s="30"/>
      <c r="BIA116" s="30"/>
      <c r="BIB116" s="30"/>
      <c r="BIC116" s="30"/>
      <c r="BID116" s="30"/>
      <c r="BIE116" s="30"/>
      <c r="BIF116" s="30"/>
      <c r="BIG116" s="30"/>
      <c r="BIH116" s="30"/>
      <c r="BII116" s="30"/>
      <c r="BIJ116" s="30"/>
      <c r="BIK116" s="30"/>
      <c r="BIL116" s="30"/>
      <c r="BIM116" s="30"/>
      <c r="BIN116" s="30"/>
      <c r="BIO116" s="30"/>
      <c r="BIP116" s="30"/>
      <c r="BIQ116" s="30"/>
      <c r="BIR116" s="30"/>
      <c r="BIS116" s="30"/>
      <c r="BIT116" s="30"/>
      <c r="BIU116" s="30"/>
      <c r="BIV116" s="30"/>
      <c r="BIW116" s="30"/>
      <c r="BIX116" s="30"/>
      <c r="BIY116" s="30"/>
      <c r="BIZ116" s="30"/>
      <c r="BJA116" s="30"/>
      <c r="BJB116" s="30"/>
      <c r="BJC116" s="30"/>
      <c r="BJD116" s="30"/>
      <c r="BJE116" s="30"/>
      <c r="BJF116" s="30"/>
      <c r="BJG116" s="30"/>
      <c r="BJH116" s="30"/>
      <c r="BJI116" s="30"/>
      <c r="BJJ116" s="30"/>
      <c r="BJK116" s="30"/>
      <c r="BJL116" s="30"/>
      <c r="BJM116" s="30"/>
      <c r="BJN116" s="30"/>
      <c r="BJO116" s="30"/>
      <c r="BJP116" s="30"/>
      <c r="BJQ116" s="30"/>
      <c r="BJR116" s="30"/>
      <c r="BJS116" s="30"/>
      <c r="BJT116" s="30"/>
      <c r="BJU116" s="30"/>
      <c r="BJV116" s="30"/>
      <c r="BJW116" s="30"/>
      <c r="BJX116" s="30"/>
      <c r="BJY116" s="30"/>
      <c r="BJZ116" s="30"/>
      <c r="BKA116" s="30"/>
      <c r="BKB116" s="30"/>
      <c r="BKC116" s="30"/>
      <c r="BKD116" s="30"/>
      <c r="BKE116" s="30"/>
      <c r="BKF116" s="30"/>
      <c r="BKG116" s="30"/>
      <c r="BKH116" s="30"/>
      <c r="BKI116" s="30"/>
      <c r="BKJ116" s="30"/>
      <c r="BKK116" s="30"/>
      <c r="BKL116" s="30"/>
      <c r="BKM116" s="30"/>
      <c r="BKN116" s="30"/>
      <c r="BKO116" s="30"/>
      <c r="BKP116" s="30"/>
      <c r="BKQ116" s="30"/>
      <c r="BKR116" s="30"/>
      <c r="BKS116" s="30"/>
      <c r="BKT116" s="30"/>
      <c r="BKU116" s="30"/>
      <c r="BKV116" s="30"/>
      <c r="BKW116" s="30"/>
      <c r="BKX116" s="30"/>
      <c r="BKY116" s="30"/>
      <c r="BKZ116" s="30"/>
      <c r="BLA116" s="30"/>
      <c r="BLB116" s="30"/>
      <c r="BLC116" s="30"/>
      <c r="BLD116" s="30"/>
      <c r="BLE116" s="30"/>
      <c r="BLF116" s="30"/>
      <c r="BLG116" s="30"/>
      <c r="BLH116" s="30"/>
      <c r="BLI116" s="30"/>
      <c r="BLJ116" s="30"/>
      <c r="BLK116" s="30"/>
      <c r="BLL116" s="30"/>
      <c r="BLM116" s="30"/>
      <c r="BLN116" s="30"/>
      <c r="BLO116" s="30"/>
      <c r="BLP116" s="30"/>
      <c r="BLQ116" s="30"/>
      <c r="BLR116" s="30"/>
      <c r="BLS116" s="30"/>
      <c r="BLT116" s="30"/>
      <c r="BLU116" s="30"/>
      <c r="BLV116" s="30"/>
      <c r="BLW116" s="30"/>
      <c r="BLX116" s="30"/>
      <c r="BLY116" s="30"/>
      <c r="BLZ116" s="30"/>
      <c r="BMA116" s="30"/>
      <c r="BMB116" s="30"/>
      <c r="BMC116" s="30"/>
      <c r="BMD116" s="30"/>
      <c r="BME116" s="30"/>
      <c r="BMF116" s="30"/>
      <c r="BMG116" s="30"/>
      <c r="BMH116" s="30"/>
      <c r="BMI116" s="30"/>
      <c r="BMJ116" s="30"/>
      <c r="BMK116" s="30"/>
      <c r="BML116" s="30"/>
      <c r="BMM116" s="30"/>
      <c r="BMN116" s="30"/>
      <c r="BMO116" s="30"/>
      <c r="BMP116" s="30"/>
      <c r="BMQ116" s="30"/>
      <c r="BMR116" s="30"/>
      <c r="BMS116" s="30"/>
      <c r="BMT116" s="30"/>
      <c r="BMU116" s="30"/>
      <c r="BMV116" s="30"/>
      <c r="BMW116" s="30"/>
      <c r="BMX116" s="30"/>
      <c r="BMY116" s="30"/>
      <c r="BMZ116" s="30"/>
      <c r="BNA116" s="30"/>
      <c r="BNB116" s="30"/>
      <c r="BNC116" s="30"/>
      <c r="BND116" s="30"/>
      <c r="BNE116" s="30"/>
      <c r="BNF116" s="30"/>
      <c r="BNG116" s="30"/>
      <c r="BNH116" s="30"/>
      <c r="BNI116" s="30"/>
      <c r="BNJ116" s="30"/>
      <c r="BNK116" s="30"/>
      <c r="BNL116" s="30"/>
      <c r="BNM116" s="30"/>
      <c r="BNN116" s="30"/>
      <c r="BNO116" s="30"/>
      <c r="BNP116" s="30"/>
      <c r="BNQ116" s="30"/>
      <c r="BNR116" s="30"/>
      <c r="BNS116" s="30"/>
      <c r="BNT116" s="30"/>
      <c r="BNU116" s="30"/>
      <c r="BNV116" s="30"/>
      <c r="BNW116" s="30"/>
      <c r="BNX116" s="30"/>
      <c r="BNY116" s="30"/>
      <c r="BNZ116" s="30"/>
      <c r="BOA116" s="30"/>
      <c r="BOB116" s="30"/>
      <c r="BOC116" s="30"/>
      <c r="BOD116" s="30"/>
      <c r="BOE116" s="30"/>
      <c r="BOF116" s="30"/>
      <c r="BOG116" s="30"/>
      <c r="BOH116" s="30"/>
      <c r="BOI116" s="30"/>
      <c r="BOJ116" s="30"/>
      <c r="BOK116" s="30"/>
      <c r="BOL116" s="30"/>
      <c r="BOM116" s="30"/>
      <c r="BON116" s="30"/>
      <c r="BOO116" s="30"/>
      <c r="BOP116" s="30"/>
      <c r="BOQ116" s="30"/>
      <c r="BOR116" s="30"/>
      <c r="BOS116" s="30"/>
      <c r="BOT116" s="30"/>
      <c r="BOU116" s="30"/>
      <c r="BOV116" s="30"/>
      <c r="BOW116" s="30"/>
      <c r="BOX116" s="30"/>
      <c r="BOY116" s="30"/>
      <c r="BOZ116" s="30"/>
      <c r="BPA116" s="30"/>
      <c r="BPB116" s="30"/>
      <c r="BPC116" s="30"/>
      <c r="BPD116" s="30"/>
      <c r="BPE116" s="30"/>
      <c r="BPF116" s="30"/>
      <c r="BPG116" s="30"/>
      <c r="BPH116" s="30"/>
      <c r="BPI116" s="30"/>
      <c r="BPJ116" s="30"/>
      <c r="BPK116" s="30"/>
      <c r="BPL116" s="30"/>
      <c r="BPM116" s="30"/>
      <c r="BPN116" s="30"/>
      <c r="BPO116" s="30"/>
      <c r="BPP116" s="30"/>
      <c r="BPQ116" s="30"/>
      <c r="BPR116" s="30"/>
      <c r="BPS116" s="30"/>
      <c r="BPT116" s="30"/>
      <c r="BPU116" s="30"/>
      <c r="BPV116" s="30"/>
      <c r="BPW116" s="30"/>
      <c r="BPX116" s="30"/>
      <c r="BPY116" s="30"/>
      <c r="BPZ116" s="30"/>
      <c r="BQA116" s="30"/>
      <c r="BQB116" s="30"/>
      <c r="BQC116" s="30"/>
      <c r="BQD116" s="30"/>
      <c r="BQE116" s="30"/>
      <c r="BQF116" s="30"/>
      <c r="BQG116" s="30"/>
      <c r="BQH116" s="30"/>
      <c r="BQI116" s="30"/>
      <c r="BQJ116" s="30"/>
      <c r="BQK116" s="30"/>
      <c r="BQL116" s="30"/>
      <c r="BQM116" s="30"/>
      <c r="BQN116" s="30"/>
      <c r="BQO116" s="30"/>
      <c r="BQP116" s="30"/>
      <c r="BQQ116" s="30"/>
      <c r="BQR116" s="30"/>
      <c r="BQS116" s="30"/>
      <c r="BQT116" s="30"/>
      <c r="BQU116" s="30"/>
      <c r="BQV116" s="30"/>
      <c r="BQW116" s="30"/>
      <c r="BQX116" s="30"/>
      <c r="BQY116" s="30"/>
      <c r="BQZ116" s="30"/>
      <c r="BRA116" s="30"/>
      <c r="BRB116" s="30"/>
      <c r="BRC116" s="30"/>
      <c r="BRD116" s="30"/>
      <c r="BRE116" s="30"/>
      <c r="BRF116" s="30"/>
      <c r="BRG116" s="30"/>
      <c r="BRH116" s="30"/>
      <c r="BRI116" s="30"/>
      <c r="BRJ116" s="30"/>
      <c r="BRK116" s="30"/>
      <c r="BRL116" s="30"/>
      <c r="BRM116" s="30"/>
      <c r="BRN116" s="30"/>
      <c r="BRO116" s="30"/>
      <c r="BRP116" s="30"/>
      <c r="BRQ116" s="30"/>
      <c r="BRR116" s="30"/>
      <c r="BRS116" s="30"/>
      <c r="BRT116" s="30"/>
      <c r="BRU116" s="30"/>
      <c r="BRV116" s="30"/>
      <c r="BRW116" s="30"/>
      <c r="BRX116" s="30"/>
      <c r="BRY116" s="30"/>
      <c r="BRZ116" s="30"/>
      <c r="BSA116" s="30"/>
      <c r="BSB116" s="30"/>
      <c r="BSC116" s="30"/>
      <c r="BSD116" s="30"/>
      <c r="BSE116" s="30"/>
      <c r="BSF116" s="30"/>
      <c r="BSG116" s="30"/>
      <c r="BSH116" s="30"/>
      <c r="BSI116" s="30"/>
      <c r="BSJ116" s="30"/>
      <c r="BSK116" s="30"/>
      <c r="BSL116" s="30"/>
      <c r="BSM116" s="30"/>
      <c r="BSN116" s="30"/>
      <c r="BSO116" s="30"/>
      <c r="BSP116" s="30"/>
      <c r="BSQ116" s="30"/>
      <c r="BSR116" s="30"/>
      <c r="BSS116" s="30"/>
      <c r="BST116" s="30"/>
      <c r="BSU116" s="30"/>
      <c r="BSV116" s="30"/>
      <c r="BSW116" s="30"/>
      <c r="BSX116" s="30"/>
      <c r="BSY116" s="30"/>
      <c r="BSZ116" s="30"/>
      <c r="BTA116" s="30"/>
      <c r="BTB116" s="30"/>
      <c r="BTC116" s="30"/>
      <c r="BTD116" s="30"/>
      <c r="BTE116" s="30"/>
      <c r="BTF116" s="30"/>
      <c r="BTG116" s="30"/>
      <c r="BTH116" s="30"/>
      <c r="BTI116" s="30"/>
      <c r="BTJ116" s="30"/>
      <c r="BTK116" s="30"/>
      <c r="BTL116" s="30"/>
      <c r="BTM116" s="30"/>
      <c r="BTN116" s="30"/>
      <c r="BTO116" s="30"/>
      <c r="BTP116" s="30"/>
      <c r="BTQ116" s="30"/>
      <c r="BTR116" s="30"/>
      <c r="BTS116" s="30"/>
      <c r="BTT116" s="30"/>
      <c r="BTU116" s="30"/>
      <c r="BTV116" s="30"/>
      <c r="BTW116" s="30"/>
      <c r="BTX116" s="30"/>
      <c r="BTY116" s="30"/>
      <c r="BTZ116" s="30"/>
      <c r="BUA116" s="30"/>
      <c r="BUB116" s="30"/>
      <c r="BUC116" s="30"/>
      <c r="BUD116" s="30"/>
      <c r="BUE116" s="30"/>
      <c r="BUF116" s="30"/>
      <c r="BUG116" s="30"/>
      <c r="BUH116" s="30"/>
      <c r="BUI116" s="30"/>
      <c r="BUJ116" s="30"/>
      <c r="BUK116" s="30"/>
      <c r="BUL116" s="30"/>
      <c r="BUM116" s="30"/>
      <c r="BUN116" s="30"/>
      <c r="BUO116" s="30"/>
      <c r="BUP116" s="30"/>
      <c r="BUQ116" s="30"/>
      <c r="BUR116" s="30"/>
      <c r="BUS116" s="30"/>
      <c r="BUT116" s="30"/>
      <c r="BUU116" s="30"/>
      <c r="BUV116" s="30"/>
      <c r="BUW116" s="30"/>
      <c r="BUX116" s="30"/>
      <c r="BUY116" s="30"/>
      <c r="BUZ116" s="30"/>
      <c r="BVA116" s="30"/>
      <c r="BVB116" s="30"/>
      <c r="BVC116" s="30"/>
      <c r="BVD116" s="30"/>
      <c r="BVE116" s="30"/>
      <c r="BVF116" s="30"/>
      <c r="BVG116" s="30"/>
      <c r="BVH116" s="30"/>
      <c r="BVI116" s="30"/>
      <c r="BVJ116" s="30"/>
      <c r="BVK116" s="30"/>
      <c r="BVL116" s="30"/>
      <c r="BVM116" s="30"/>
      <c r="BVN116" s="30"/>
      <c r="BVO116" s="30"/>
      <c r="BVP116" s="30"/>
      <c r="BVQ116" s="30"/>
      <c r="BVR116" s="30"/>
      <c r="BVS116" s="30"/>
      <c r="BVT116" s="30"/>
      <c r="BVU116" s="30"/>
      <c r="BVV116" s="30"/>
      <c r="BVW116" s="30"/>
      <c r="BVX116" s="30"/>
      <c r="BVY116" s="30"/>
      <c r="BVZ116" s="30"/>
      <c r="BWA116" s="30"/>
      <c r="BWB116" s="30"/>
      <c r="BWC116" s="30"/>
      <c r="BWD116" s="30"/>
      <c r="BWE116" s="30"/>
      <c r="BWF116" s="30"/>
      <c r="BWG116" s="30"/>
      <c r="BWH116" s="30"/>
      <c r="BWI116" s="30"/>
      <c r="BWJ116" s="30"/>
      <c r="BWK116" s="30"/>
      <c r="BWL116" s="30"/>
      <c r="BWM116" s="30"/>
      <c r="BWN116" s="30"/>
      <c r="BWO116" s="30"/>
      <c r="BWP116" s="30"/>
      <c r="BWQ116" s="30"/>
      <c r="BWR116" s="30"/>
      <c r="BWS116" s="30"/>
      <c r="BWT116" s="30"/>
      <c r="BWU116" s="30"/>
      <c r="BWV116" s="30"/>
      <c r="BWW116" s="30"/>
      <c r="BWX116" s="30"/>
      <c r="BWY116" s="30"/>
      <c r="BWZ116" s="30"/>
      <c r="BXA116" s="30"/>
      <c r="BXB116" s="30"/>
      <c r="BXC116" s="30"/>
      <c r="BXD116" s="30"/>
      <c r="BXE116" s="30"/>
      <c r="BXF116" s="30"/>
      <c r="BXG116" s="30"/>
      <c r="BXH116" s="30"/>
      <c r="BXI116" s="30"/>
      <c r="BXJ116" s="30"/>
      <c r="BXK116" s="30"/>
      <c r="BXL116" s="30"/>
      <c r="BXM116" s="30"/>
      <c r="BXN116" s="30"/>
      <c r="BXO116" s="30"/>
      <c r="BXP116" s="30"/>
      <c r="BXQ116" s="30"/>
      <c r="BXR116" s="30"/>
      <c r="BXS116" s="30"/>
      <c r="BXT116" s="30"/>
      <c r="BXU116" s="30"/>
      <c r="BXV116" s="30"/>
      <c r="BXW116" s="30"/>
      <c r="BXX116" s="30"/>
      <c r="BXY116" s="30"/>
      <c r="BXZ116" s="30"/>
      <c r="BYA116" s="30"/>
      <c r="BYB116" s="30"/>
      <c r="BYC116" s="30"/>
      <c r="BYD116" s="30"/>
      <c r="BYE116" s="30"/>
      <c r="BYF116" s="30"/>
      <c r="BYG116" s="30"/>
      <c r="BYH116" s="30"/>
      <c r="BYI116" s="30"/>
      <c r="BYJ116" s="30"/>
      <c r="BYK116" s="30"/>
      <c r="BYL116" s="30"/>
      <c r="BYM116" s="30"/>
      <c r="BYN116" s="30"/>
      <c r="BYO116" s="30"/>
      <c r="BYP116" s="30"/>
      <c r="BYQ116" s="30"/>
      <c r="BYR116" s="30"/>
      <c r="BYS116" s="30"/>
      <c r="BYT116" s="30"/>
      <c r="BYU116" s="30"/>
      <c r="BYV116" s="30"/>
      <c r="BYW116" s="30"/>
      <c r="BYX116" s="30"/>
      <c r="BYY116" s="30"/>
      <c r="BYZ116" s="30"/>
      <c r="BZA116" s="30"/>
      <c r="BZB116" s="30"/>
      <c r="BZC116" s="30"/>
      <c r="BZD116" s="30"/>
      <c r="BZE116" s="30"/>
      <c r="BZF116" s="30"/>
      <c r="BZG116" s="30"/>
      <c r="BZH116" s="30"/>
      <c r="BZI116" s="30"/>
      <c r="BZJ116" s="30"/>
      <c r="BZK116" s="30"/>
      <c r="BZL116" s="30"/>
      <c r="BZM116" s="30"/>
      <c r="BZN116" s="30"/>
      <c r="BZO116" s="30"/>
      <c r="BZP116" s="30"/>
      <c r="BZQ116" s="30"/>
      <c r="BZR116" s="30"/>
      <c r="BZS116" s="30"/>
      <c r="BZT116" s="30"/>
      <c r="BZU116" s="30"/>
      <c r="BZV116" s="30"/>
      <c r="BZW116" s="30"/>
      <c r="BZX116" s="30"/>
      <c r="BZY116" s="30"/>
      <c r="BZZ116" s="30"/>
      <c r="CAA116" s="30"/>
      <c r="CAB116" s="30"/>
      <c r="CAC116" s="30"/>
      <c r="CAD116" s="30"/>
      <c r="CAE116" s="30"/>
      <c r="CAF116" s="30"/>
      <c r="CAG116" s="30"/>
      <c r="CAH116" s="30"/>
      <c r="CAI116" s="30"/>
      <c r="CAJ116" s="30"/>
      <c r="CAK116" s="30"/>
      <c r="CAL116" s="30"/>
      <c r="CAM116" s="30"/>
      <c r="CAN116" s="30"/>
      <c r="CAO116" s="30"/>
      <c r="CAP116" s="30"/>
      <c r="CAQ116" s="30"/>
      <c r="CAR116" s="30"/>
      <c r="CAS116" s="30"/>
      <c r="CAT116" s="30"/>
      <c r="CAU116" s="30"/>
      <c r="CAV116" s="30"/>
      <c r="CAW116" s="30"/>
      <c r="CAX116" s="30"/>
      <c r="CAY116" s="30"/>
      <c r="CAZ116" s="30"/>
      <c r="CBA116" s="30"/>
      <c r="CBB116" s="30"/>
      <c r="CBC116" s="30"/>
      <c r="CBD116" s="30"/>
      <c r="CBE116" s="30"/>
      <c r="CBF116" s="30"/>
      <c r="CBG116" s="30"/>
      <c r="CBH116" s="30"/>
      <c r="CBI116" s="30"/>
      <c r="CBJ116" s="30"/>
      <c r="CBK116" s="30"/>
      <c r="CBL116" s="30"/>
      <c r="CBM116" s="30"/>
      <c r="CBN116" s="30"/>
      <c r="CBO116" s="30"/>
      <c r="CBP116" s="30"/>
      <c r="CBQ116" s="30"/>
      <c r="CBR116" s="30"/>
      <c r="CBS116" s="30"/>
      <c r="CBT116" s="30"/>
      <c r="CBU116" s="30"/>
      <c r="CBV116" s="30"/>
      <c r="CBW116" s="30"/>
      <c r="CBX116" s="30"/>
      <c r="CBY116" s="30"/>
      <c r="CBZ116" s="30"/>
      <c r="CCA116" s="30"/>
      <c r="CCB116" s="30"/>
      <c r="CCC116" s="30"/>
      <c r="CCD116" s="30"/>
      <c r="CCE116" s="30"/>
      <c r="CCF116" s="30"/>
      <c r="CCG116" s="30"/>
      <c r="CCH116" s="30"/>
      <c r="CCI116" s="30"/>
      <c r="CCJ116" s="30"/>
      <c r="CCK116" s="30"/>
      <c r="CCL116" s="30"/>
      <c r="CCM116" s="30"/>
      <c r="CCN116" s="30"/>
      <c r="CCO116" s="30"/>
      <c r="CCP116" s="30"/>
      <c r="CCQ116" s="30"/>
      <c r="CCR116" s="30"/>
      <c r="CCS116" s="30"/>
      <c r="CCT116" s="30"/>
      <c r="CCU116" s="30"/>
      <c r="CCV116" s="30"/>
      <c r="CCW116" s="30"/>
      <c r="CCX116" s="30"/>
      <c r="CCY116" s="30"/>
      <c r="CCZ116" s="30"/>
      <c r="CDA116" s="30"/>
      <c r="CDB116" s="30"/>
      <c r="CDC116" s="30"/>
      <c r="CDD116" s="30"/>
      <c r="CDE116" s="30"/>
      <c r="CDF116" s="30"/>
      <c r="CDG116" s="30"/>
      <c r="CDH116" s="30"/>
      <c r="CDI116" s="30"/>
      <c r="CDJ116" s="30"/>
      <c r="CDK116" s="30"/>
      <c r="CDL116" s="30"/>
      <c r="CDM116" s="30"/>
      <c r="CDN116" s="30"/>
      <c r="CDO116" s="30"/>
      <c r="CDP116" s="30"/>
      <c r="CDQ116" s="30"/>
      <c r="CDR116" s="30"/>
      <c r="CDS116" s="30"/>
      <c r="CDT116" s="30"/>
      <c r="CDU116" s="30"/>
      <c r="CDV116" s="30"/>
      <c r="CDW116" s="30"/>
      <c r="CDX116" s="30"/>
      <c r="CDY116" s="30"/>
      <c r="CDZ116" s="30"/>
      <c r="CEA116" s="30"/>
      <c r="CEB116" s="30"/>
      <c r="CEC116" s="30"/>
      <c r="CED116" s="30"/>
      <c r="CEE116" s="30"/>
      <c r="CEF116" s="30"/>
      <c r="CEG116" s="30"/>
      <c r="CEH116" s="30"/>
      <c r="CEI116" s="30"/>
      <c r="CEJ116" s="30"/>
      <c r="CEK116" s="30"/>
      <c r="CEL116" s="30"/>
      <c r="CEM116" s="30"/>
      <c r="CEN116" s="30"/>
      <c r="CEO116" s="30"/>
      <c r="CEP116" s="30"/>
      <c r="CEQ116" s="30"/>
      <c r="CER116" s="30"/>
      <c r="CES116" s="30"/>
      <c r="CET116" s="30"/>
      <c r="CEU116" s="30"/>
      <c r="CEV116" s="30"/>
      <c r="CEW116" s="30"/>
      <c r="CEX116" s="30"/>
      <c r="CEY116" s="30"/>
      <c r="CEZ116" s="30"/>
      <c r="CFA116" s="30"/>
      <c r="CFB116" s="30"/>
      <c r="CFC116" s="30"/>
      <c r="CFD116" s="30"/>
      <c r="CFE116" s="30"/>
      <c r="CFF116" s="30"/>
      <c r="CFG116" s="30"/>
      <c r="CFH116" s="30"/>
      <c r="CFI116" s="30"/>
      <c r="CFJ116" s="30"/>
      <c r="CFK116" s="30"/>
      <c r="CFL116" s="30"/>
      <c r="CFM116" s="30"/>
      <c r="CFN116" s="30"/>
      <c r="CFO116" s="30"/>
      <c r="CFP116" s="30"/>
      <c r="CFQ116" s="30"/>
      <c r="CFR116" s="30"/>
      <c r="CFS116" s="30"/>
      <c r="CFT116" s="30"/>
      <c r="CFU116" s="30"/>
      <c r="CFV116" s="30"/>
      <c r="CFW116" s="30"/>
      <c r="CFX116" s="30"/>
      <c r="CFY116" s="30"/>
      <c r="CFZ116" s="30"/>
      <c r="CGA116" s="30"/>
      <c r="CGB116" s="30"/>
      <c r="CGC116" s="30"/>
      <c r="CGD116" s="30"/>
      <c r="CGE116" s="30"/>
      <c r="CGF116" s="30"/>
      <c r="CGG116" s="30"/>
      <c r="CGH116" s="30"/>
      <c r="CGI116" s="30"/>
      <c r="CGJ116" s="30"/>
      <c r="CGK116" s="30"/>
      <c r="CGL116" s="30"/>
      <c r="CGM116" s="30"/>
      <c r="CGN116" s="30"/>
      <c r="CGO116" s="30"/>
      <c r="CGP116" s="30"/>
      <c r="CGQ116" s="30"/>
      <c r="CGR116" s="30"/>
      <c r="CGS116" s="30"/>
      <c r="CGT116" s="30"/>
      <c r="CGU116" s="30"/>
      <c r="CGV116" s="30"/>
      <c r="CGW116" s="30"/>
      <c r="CGX116" s="30"/>
      <c r="CGY116" s="30"/>
      <c r="CGZ116" s="30"/>
      <c r="CHA116" s="30"/>
      <c r="CHB116" s="30"/>
      <c r="CHC116" s="30"/>
      <c r="CHD116" s="30"/>
      <c r="CHE116" s="30"/>
      <c r="CHF116" s="30"/>
      <c r="CHG116" s="30"/>
      <c r="CHH116" s="30"/>
      <c r="CHI116" s="30"/>
      <c r="CHJ116" s="30"/>
      <c r="CHK116" s="30"/>
      <c r="CHL116" s="30"/>
      <c r="CHM116" s="30"/>
      <c r="CHN116" s="30"/>
      <c r="CHO116" s="30"/>
      <c r="CHP116" s="30"/>
      <c r="CHQ116" s="30"/>
      <c r="CHR116" s="30"/>
      <c r="CHS116" s="30"/>
      <c r="CHT116" s="30"/>
      <c r="CHU116" s="30"/>
      <c r="CHV116" s="30"/>
      <c r="CHW116" s="30"/>
      <c r="CHX116" s="30"/>
      <c r="CHY116" s="30"/>
      <c r="CHZ116" s="30"/>
      <c r="CIA116" s="30"/>
      <c r="CIB116" s="30"/>
      <c r="CIC116" s="30"/>
      <c r="CID116" s="30"/>
      <c r="CIE116" s="30"/>
      <c r="CIF116" s="30"/>
      <c r="CIG116" s="30"/>
      <c r="CIH116" s="30"/>
      <c r="CII116" s="30"/>
      <c r="CIJ116" s="30"/>
      <c r="CIK116" s="30"/>
      <c r="CIL116" s="30"/>
      <c r="CIM116" s="30"/>
      <c r="CIN116" s="30"/>
      <c r="CIO116" s="30"/>
      <c r="CIP116" s="30"/>
      <c r="CIQ116" s="30"/>
      <c r="CIR116" s="30"/>
      <c r="CIS116" s="30"/>
      <c r="CIT116" s="30"/>
      <c r="CIU116" s="30"/>
      <c r="CIV116" s="30"/>
      <c r="CIW116" s="30"/>
      <c r="CIX116" s="30"/>
      <c r="CIY116" s="30"/>
      <c r="CIZ116" s="30"/>
      <c r="CJA116" s="30"/>
      <c r="CJB116" s="30"/>
      <c r="CJC116" s="30"/>
      <c r="CJD116" s="30"/>
      <c r="CJE116" s="30"/>
      <c r="CJF116" s="30"/>
      <c r="CJG116" s="30"/>
      <c r="CJH116" s="30"/>
      <c r="CJI116" s="30"/>
      <c r="CJJ116" s="30"/>
      <c r="CJK116" s="30"/>
      <c r="CJL116" s="30"/>
      <c r="CJM116" s="30"/>
      <c r="CJN116" s="30"/>
      <c r="CJO116" s="30"/>
      <c r="CJP116" s="30"/>
      <c r="CJQ116" s="30"/>
      <c r="CJR116" s="30"/>
      <c r="CJS116" s="30"/>
      <c r="CJT116" s="30"/>
      <c r="CJU116" s="30"/>
      <c r="CJV116" s="30"/>
      <c r="CJW116" s="30"/>
      <c r="CJX116" s="30"/>
      <c r="CJY116" s="30"/>
      <c r="CJZ116" s="30"/>
      <c r="CKA116" s="30"/>
      <c r="CKB116" s="30"/>
      <c r="CKC116" s="30"/>
      <c r="CKD116" s="30"/>
      <c r="CKE116" s="30"/>
      <c r="CKF116" s="30"/>
      <c r="CKG116" s="30"/>
      <c r="CKH116" s="30"/>
      <c r="CKI116" s="30"/>
      <c r="CKJ116" s="30"/>
      <c r="CKK116" s="30"/>
      <c r="CKL116" s="30"/>
      <c r="CKM116" s="30"/>
      <c r="CKN116" s="30"/>
      <c r="CKO116" s="30"/>
      <c r="CKP116" s="30"/>
      <c r="CKQ116" s="30"/>
      <c r="CKR116" s="30"/>
      <c r="CKS116" s="30"/>
      <c r="CKT116" s="30"/>
      <c r="CKU116" s="30"/>
      <c r="CKV116" s="30"/>
      <c r="CKW116" s="30"/>
      <c r="CKX116" s="30"/>
      <c r="CKY116" s="30"/>
      <c r="CKZ116" s="30"/>
      <c r="CLA116" s="30"/>
      <c r="CLB116" s="30"/>
      <c r="CLC116" s="30"/>
      <c r="CLD116" s="30"/>
      <c r="CLE116" s="30"/>
      <c r="CLF116" s="30"/>
      <c r="CLG116" s="30"/>
      <c r="CLH116" s="30"/>
      <c r="CLI116" s="30"/>
      <c r="CLJ116" s="30"/>
      <c r="CLK116" s="30"/>
      <c r="CLL116" s="30"/>
      <c r="CLM116" s="30"/>
      <c r="CLN116" s="30"/>
      <c r="CLO116" s="30"/>
      <c r="CLP116" s="30"/>
      <c r="CLQ116" s="30"/>
      <c r="CLR116" s="30"/>
      <c r="CLS116" s="30"/>
      <c r="CLT116" s="30"/>
      <c r="CLU116" s="30"/>
      <c r="CLV116" s="30"/>
      <c r="CLW116" s="30"/>
      <c r="CLX116" s="30"/>
      <c r="CLY116" s="30"/>
      <c r="CLZ116" s="30"/>
      <c r="CMA116" s="30"/>
      <c r="CMB116" s="30"/>
      <c r="CMC116" s="30"/>
      <c r="CMD116" s="30"/>
      <c r="CME116" s="30"/>
      <c r="CMF116" s="30"/>
      <c r="CMG116" s="30"/>
      <c r="CMH116" s="30"/>
      <c r="CMI116" s="30"/>
      <c r="CMJ116" s="30"/>
      <c r="CMK116" s="30"/>
      <c r="CML116" s="30"/>
      <c r="CMM116" s="30"/>
      <c r="CMN116" s="30"/>
      <c r="CMO116" s="30"/>
      <c r="CMP116" s="30"/>
      <c r="CMQ116" s="30"/>
      <c r="CMR116" s="30"/>
      <c r="CMS116" s="30"/>
      <c r="CMT116" s="30"/>
      <c r="CMU116" s="30"/>
      <c r="CMV116" s="30"/>
      <c r="CMW116" s="30"/>
      <c r="CMX116" s="30"/>
      <c r="CMY116" s="30"/>
      <c r="CMZ116" s="30"/>
      <c r="CNA116" s="30"/>
      <c r="CNB116" s="30"/>
      <c r="CNC116" s="30"/>
      <c r="CND116" s="30"/>
      <c r="CNE116" s="30"/>
      <c r="CNF116" s="30"/>
      <c r="CNG116" s="30"/>
      <c r="CNH116" s="30"/>
      <c r="CNI116" s="30"/>
      <c r="CNJ116" s="30"/>
      <c r="CNK116" s="30"/>
      <c r="CNL116" s="30"/>
      <c r="CNM116" s="30"/>
      <c r="CNN116" s="30"/>
      <c r="CNO116" s="30"/>
      <c r="CNP116" s="30"/>
      <c r="CNQ116" s="30"/>
      <c r="CNR116" s="30"/>
      <c r="CNS116" s="30"/>
      <c r="CNT116" s="30"/>
      <c r="CNU116" s="30"/>
      <c r="CNV116" s="30"/>
      <c r="CNW116" s="30"/>
      <c r="CNX116" s="30"/>
      <c r="CNY116" s="30"/>
      <c r="CNZ116" s="30"/>
      <c r="COA116" s="30"/>
      <c r="COB116" s="30"/>
      <c r="COC116" s="30"/>
      <c r="COD116" s="30"/>
      <c r="COE116" s="30"/>
      <c r="COF116" s="30"/>
      <c r="COG116" s="30"/>
      <c r="COH116" s="30"/>
      <c r="COI116" s="30"/>
      <c r="COJ116" s="30"/>
      <c r="COK116" s="30"/>
      <c r="COL116" s="30"/>
      <c r="COM116" s="30"/>
      <c r="CON116" s="30"/>
      <c r="COO116" s="30"/>
      <c r="COP116" s="30"/>
      <c r="COQ116" s="30"/>
      <c r="COR116" s="30"/>
      <c r="COS116" s="30"/>
      <c r="COT116" s="30"/>
      <c r="COU116" s="30"/>
      <c r="COV116" s="30"/>
      <c r="COW116" s="30"/>
      <c r="COX116" s="30"/>
      <c r="COY116" s="30"/>
      <c r="COZ116" s="30"/>
      <c r="CPA116" s="30"/>
      <c r="CPB116" s="30"/>
      <c r="CPC116" s="30"/>
      <c r="CPD116" s="30"/>
      <c r="CPE116" s="30"/>
      <c r="CPF116" s="30"/>
      <c r="CPG116" s="30"/>
      <c r="CPH116" s="30"/>
      <c r="CPI116" s="30"/>
      <c r="CPJ116" s="30"/>
      <c r="CPK116" s="30"/>
      <c r="CPL116" s="30"/>
      <c r="CPM116" s="30"/>
      <c r="CPN116" s="30"/>
      <c r="CPO116" s="30"/>
      <c r="CPP116" s="30"/>
      <c r="CPQ116" s="30"/>
      <c r="CPR116" s="30"/>
      <c r="CPS116" s="30"/>
      <c r="CPT116" s="30"/>
      <c r="CPU116" s="30"/>
      <c r="CPV116" s="30"/>
      <c r="CPW116" s="30"/>
      <c r="CPX116" s="30"/>
      <c r="CPY116" s="30"/>
      <c r="CPZ116" s="30"/>
      <c r="CQA116" s="30"/>
      <c r="CQB116" s="30"/>
      <c r="CQC116" s="30"/>
      <c r="CQD116" s="30"/>
      <c r="CQE116" s="30"/>
      <c r="CQF116" s="30"/>
      <c r="CQG116" s="30"/>
      <c r="CQH116" s="30"/>
      <c r="CQI116" s="30"/>
      <c r="CQJ116" s="30"/>
      <c r="CQK116" s="30"/>
      <c r="CQL116" s="30"/>
      <c r="CQM116" s="30"/>
      <c r="CQN116" s="30"/>
      <c r="CQO116" s="30"/>
      <c r="CQP116" s="30"/>
      <c r="CQQ116" s="30"/>
      <c r="CQR116" s="30"/>
      <c r="CQS116" s="30"/>
      <c r="CQT116" s="30"/>
      <c r="CQU116" s="30"/>
      <c r="CQV116" s="30"/>
      <c r="CQW116" s="30"/>
      <c r="CQX116" s="30"/>
      <c r="CQY116" s="30"/>
      <c r="CQZ116" s="30"/>
      <c r="CRA116" s="30"/>
      <c r="CRB116" s="30"/>
      <c r="CRC116" s="30"/>
      <c r="CRD116" s="30"/>
      <c r="CRE116" s="30"/>
      <c r="CRF116" s="30"/>
      <c r="CRG116" s="30"/>
      <c r="CRH116" s="30"/>
      <c r="CRI116" s="30"/>
      <c r="CRJ116" s="30"/>
      <c r="CRK116" s="30"/>
      <c r="CRL116" s="30"/>
      <c r="CRM116" s="30"/>
      <c r="CRN116" s="30"/>
      <c r="CRO116" s="30"/>
      <c r="CRP116" s="30"/>
      <c r="CRQ116" s="30"/>
      <c r="CRR116" s="30"/>
      <c r="CRS116" s="30"/>
      <c r="CRT116" s="30"/>
      <c r="CRU116" s="30"/>
      <c r="CRV116" s="30"/>
      <c r="CRW116" s="30"/>
      <c r="CRX116" s="30"/>
      <c r="CRY116" s="30"/>
      <c r="CRZ116" s="30"/>
      <c r="CSA116" s="30"/>
      <c r="CSB116" s="30"/>
      <c r="CSC116" s="30"/>
      <c r="CSD116" s="30"/>
      <c r="CSE116" s="30"/>
      <c r="CSF116" s="30"/>
      <c r="CSG116" s="30"/>
      <c r="CSH116" s="30"/>
      <c r="CSI116" s="30"/>
      <c r="CSJ116" s="30"/>
      <c r="CSK116" s="30"/>
      <c r="CSL116" s="30"/>
      <c r="CSM116" s="30"/>
      <c r="CSN116" s="30"/>
      <c r="CSO116" s="30"/>
      <c r="CSP116" s="30"/>
      <c r="CSQ116" s="30"/>
      <c r="CSR116" s="30"/>
      <c r="CSS116" s="30"/>
      <c r="CST116" s="30"/>
      <c r="CSU116" s="30"/>
      <c r="CSV116" s="30"/>
      <c r="CSW116" s="30"/>
      <c r="CSX116" s="30"/>
      <c r="CSY116" s="30"/>
      <c r="CSZ116" s="30"/>
      <c r="CTA116" s="30"/>
      <c r="CTB116" s="30"/>
      <c r="CTC116" s="30"/>
      <c r="CTD116" s="30"/>
      <c r="CTE116" s="30"/>
      <c r="CTF116" s="30"/>
      <c r="CTG116" s="30"/>
      <c r="CTH116" s="30"/>
      <c r="CTI116" s="30"/>
      <c r="CTJ116" s="30"/>
      <c r="CTK116" s="30"/>
      <c r="CTL116" s="30"/>
      <c r="CTM116" s="30"/>
      <c r="CTN116" s="30"/>
      <c r="CTO116" s="30"/>
      <c r="CTP116" s="30"/>
      <c r="CTQ116" s="30"/>
      <c r="CTR116" s="30"/>
      <c r="CTS116" s="30"/>
      <c r="CTT116" s="30"/>
      <c r="CTU116" s="30"/>
      <c r="CTV116" s="30"/>
      <c r="CTW116" s="30"/>
      <c r="CTX116" s="30"/>
      <c r="CTY116" s="30"/>
      <c r="CTZ116" s="30"/>
      <c r="CUA116" s="30"/>
    </row>
    <row r="117" s="267" customFormat="1" ht="23" customHeight="1" spans="1:2575">
      <c r="A117" s="268">
        <v>123</v>
      </c>
      <c r="B117" s="268" t="s">
        <v>15</v>
      </c>
      <c r="C117" s="268" t="s">
        <v>37</v>
      </c>
      <c r="D117" s="129" t="s">
        <v>675</v>
      </c>
      <c r="E117" s="248" t="s">
        <v>700</v>
      </c>
      <c r="F117" s="261" t="s">
        <v>42</v>
      </c>
      <c r="G117" s="31" t="s">
        <v>42</v>
      </c>
      <c r="H117" s="119" t="s">
        <v>944</v>
      </c>
      <c r="I117" s="31"/>
      <c r="J117" s="31"/>
      <c r="K117" s="31"/>
      <c r="L117" s="31" t="s">
        <v>667</v>
      </c>
      <c r="M117" s="248" t="s">
        <v>674</v>
      </c>
      <c r="N117" s="286">
        <v>45824</v>
      </c>
      <c r="O117" s="286">
        <v>46188</v>
      </c>
      <c r="P117" s="142">
        <v>50</v>
      </c>
      <c r="Q117" s="251"/>
      <c r="R117" s="85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30"/>
      <c r="GT117" s="30"/>
      <c r="GU117" s="30"/>
      <c r="GV117" s="30"/>
      <c r="GW117" s="30"/>
      <c r="GX117" s="30"/>
      <c r="GY117" s="30"/>
      <c r="GZ117" s="30"/>
      <c r="HA117" s="30"/>
      <c r="HB117" s="30"/>
      <c r="HC117" s="30"/>
      <c r="HD117" s="30"/>
      <c r="HE117" s="30"/>
      <c r="HF117" s="30"/>
      <c r="HG117" s="30"/>
      <c r="HH117" s="30"/>
      <c r="HI117" s="30"/>
      <c r="HJ117" s="30"/>
      <c r="HK117" s="30"/>
      <c r="HL117" s="30"/>
      <c r="HM117" s="30"/>
      <c r="HN117" s="30"/>
      <c r="HO117" s="30"/>
      <c r="HP117" s="30"/>
      <c r="HQ117" s="30"/>
      <c r="HR117" s="30"/>
      <c r="HS117" s="30"/>
      <c r="HT117" s="30"/>
      <c r="HU117" s="30"/>
      <c r="HV117" s="30"/>
      <c r="HW117" s="30"/>
      <c r="HX117" s="30"/>
      <c r="HY117" s="30"/>
      <c r="HZ117" s="30"/>
      <c r="IA117" s="30"/>
      <c r="IB117" s="30"/>
      <c r="IC117" s="30"/>
      <c r="ID117" s="30"/>
      <c r="IE117" s="30"/>
      <c r="IF117" s="30"/>
      <c r="IG117" s="30"/>
      <c r="IH117" s="30"/>
      <c r="II117" s="30"/>
      <c r="IJ117" s="30"/>
      <c r="IK117" s="30"/>
      <c r="IL117" s="30"/>
      <c r="IM117" s="30"/>
      <c r="IN117" s="30"/>
      <c r="IO117" s="30"/>
      <c r="IP117" s="30"/>
      <c r="IQ117" s="30"/>
      <c r="IR117" s="30"/>
      <c r="IS117" s="30"/>
      <c r="IT117" s="30"/>
      <c r="IU117" s="30"/>
      <c r="IV117" s="30"/>
      <c r="IW117" s="30"/>
      <c r="IX117" s="30"/>
      <c r="IY117" s="30"/>
      <c r="IZ117" s="30"/>
      <c r="JA117" s="30"/>
      <c r="JB117" s="30"/>
      <c r="JC117" s="30"/>
      <c r="JD117" s="30"/>
      <c r="JE117" s="30"/>
      <c r="JF117" s="30"/>
      <c r="JG117" s="30"/>
      <c r="JH117" s="30"/>
      <c r="JI117" s="30"/>
      <c r="JJ117" s="30"/>
      <c r="JK117" s="30"/>
      <c r="JL117" s="30"/>
      <c r="JM117" s="30"/>
      <c r="JN117" s="30"/>
      <c r="JO117" s="30"/>
      <c r="JP117" s="30"/>
      <c r="JQ117" s="30"/>
      <c r="JR117" s="30"/>
      <c r="JS117" s="30"/>
      <c r="JT117" s="30"/>
      <c r="JU117" s="30"/>
      <c r="JV117" s="30"/>
      <c r="JW117" s="30"/>
      <c r="JX117" s="30"/>
      <c r="JY117" s="30"/>
      <c r="JZ117" s="30"/>
      <c r="KA117" s="30"/>
      <c r="KB117" s="30"/>
      <c r="KC117" s="30"/>
      <c r="KD117" s="30"/>
      <c r="KE117" s="30"/>
      <c r="KF117" s="30"/>
      <c r="KG117" s="30"/>
      <c r="KH117" s="30"/>
      <c r="KI117" s="30"/>
      <c r="KJ117" s="30"/>
      <c r="KK117" s="30"/>
      <c r="KL117" s="30"/>
      <c r="KM117" s="30"/>
      <c r="KN117" s="30"/>
      <c r="KO117" s="30"/>
      <c r="KP117" s="30"/>
      <c r="KQ117" s="30"/>
      <c r="KR117" s="30"/>
      <c r="KS117" s="30"/>
      <c r="KT117" s="30"/>
      <c r="KU117" s="30"/>
      <c r="KV117" s="30"/>
      <c r="KW117" s="30"/>
      <c r="KX117" s="30"/>
      <c r="KY117" s="30"/>
      <c r="KZ117" s="30"/>
      <c r="LA117" s="30"/>
      <c r="LB117" s="30"/>
      <c r="LC117" s="30"/>
      <c r="LD117" s="30"/>
      <c r="LE117" s="30"/>
      <c r="LF117" s="30"/>
      <c r="LG117" s="30"/>
      <c r="LH117" s="30"/>
      <c r="LI117" s="30"/>
      <c r="LJ117" s="30"/>
      <c r="LK117" s="30"/>
      <c r="LL117" s="30"/>
      <c r="LM117" s="30"/>
      <c r="LN117" s="30"/>
      <c r="LO117" s="30"/>
      <c r="LP117" s="30"/>
      <c r="LQ117" s="30"/>
      <c r="LR117" s="30"/>
      <c r="LS117" s="30"/>
      <c r="LT117" s="30"/>
      <c r="LU117" s="30"/>
      <c r="LV117" s="30"/>
      <c r="LW117" s="30"/>
      <c r="LX117" s="30"/>
      <c r="LY117" s="30"/>
      <c r="LZ117" s="30"/>
      <c r="MA117" s="30"/>
      <c r="MB117" s="30"/>
      <c r="MC117" s="30"/>
      <c r="MD117" s="30"/>
      <c r="ME117" s="30"/>
      <c r="MF117" s="30"/>
      <c r="MG117" s="30"/>
      <c r="MH117" s="30"/>
      <c r="MI117" s="30"/>
      <c r="MJ117" s="30"/>
      <c r="MK117" s="30"/>
      <c r="ML117" s="30"/>
      <c r="MM117" s="30"/>
      <c r="MN117" s="30"/>
      <c r="MO117" s="30"/>
      <c r="MP117" s="30"/>
      <c r="MQ117" s="30"/>
      <c r="MR117" s="30"/>
      <c r="MS117" s="30"/>
      <c r="MT117" s="30"/>
      <c r="MU117" s="30"/>
      <c r="MV117" s="30"/>
      <c r="MW117" s="30"/>
      <c r="MX117" s="30"/>
      <c r="MY117" s="30"/>
      <c r="MZ117" s="30"/>
      <c r="NA117" s="30"/>
      <c r="NB117" s="30"/>
      <c r="NC117" s="30"/>
      <c r="ND117" s="30"/>
      <c r="NE117" s="30"/>
      <c r="NF117" s="30"/>
      <c r="NG117" s="30"/>
      <c r="NH117" s="30"/>
      <c r="NI117" s="30"/>
      <c r="NJ117" s="30"/>
      <c r="NK117" s="30"/>
      <c r="NL117" s="30"/>
      <c r="NM117" s="30"/>
      <c r="NN117" s="30"/>
      <c r="NO117" s="30"/>
      <c r="NP117" s="30"/>
      <c r="NQ117" s="30"/>
      <c r="NR117" s="30"/>
      <c r="NS117" s="30"/>
      <c r="NT117" s="30"/>
      <c r="NU117" s="30"/>
      <c r="NV117" s="30"/>
      <c r="NW117" s="30"/>
      <c r="NX117" s="30"/>
      <c r="NY117" s="30"/>
      <c r="NZ117" s="30"/>
      <c r="OA117" s="30"/>
      <c r="OB117" s="30"/>
      <c r="OC117" s="30"/>
      <c r="OD117" s="30"/>
      <c r="OE117" s="30"/>
      <c r="OF117" s="30"/>
      <c r="OG117" s="30"/>
      <c r="OH117" s="30"/>
      <c r="OI117" s="30"/>
      <c r="OJ117" s="30"/>
      <c r="OK117" s="30"/>
      <c r="OL117" s="30"/>
      <c r="OM117" s="30"/>
      <c r="ON117" s="30"/>
      <c r="OO117" s="30"/>
      <c r="OP117" s="30"/>
      <c r="OQ117" s="30"/>
      <c r="OR117" s="30"/>
      <c r="OS117" s="30"/>
      <c r="OT117" s="30"/>
      <c r="OU117" s="30"/>
      <c r="OV117" s="30"/>
      <c r="OW117" s="30"/>
      <c r="OX117" s="30"/>
      <c r="OY117" s="30"/>
      <c r="OZ117" s="30"/>
      <c r="PA117" s="30"/>
      <c r="PB117" s="30"/>
      <c r="PC117" s="30"/>
      <c r="PD117" s="30"/>
      <c r="PE117" s="30"/>
      <c r="PF117" s="30"/>
      <c r="PG117" s="30"/>
      <c r="PH117" s="30"/>
      <c r="PI117" s="30"/>
      <c r="PJ117" s="30"/>
      <c r="PK117" s="30"/>
      <c r="PL117" s="30"/>
      <c r="PM117" s="30"/>
      <c r="PN117" s="30"/>
      <c r="PO117" s="30"/>
      <c r="PP117" s="30"/>
      <c r="PQ117" s="30"/>
      <c r="PR117" s="30"/>
      <c r="PS117" s="30"/>
      <c r="PT117" s="30"/>
      <c r="PU117" s="30"/>
      <c r="PV117" s="30"/>
      <c r="PW117" s="30"/>
      <c r="PX117" s="30"/>
      <c r="PY117" s="30"/>
      <c r="PZ117" s="30"/>
      <c r="QA117" s="30"/>
      <c r="QB117" s="30"/>
      <c r="QC117" s="30"/>
      <c r="QD117" s="30"/>
      <c r="QE117" s="30"/>
      <c r="QF117" s="30"/>
      <c r="QG117" s="30"/>
      <c r="QH117" s="30"/>
      <c r="QI117" s="30"/>
      <c r="QJ117" s="30"/>
      <c r="QK117" s="30"/>
      <c r="QL117" s="30"/>
      <c r="QM117" s="30"/>
      <c r="QN117" s="30"/>
      <c r="QO117" s="30"/>
      <c r="QP117" s="30"/>
      <c r="QQ117" s="30"/>
      <c r="QR117" s="30"/>
      <c r="QS117" s="30"/>
      <c r="QT117" s="30"/>
      <c r="QU117" s="30"/>
      <c r="QV117" s="30"/>
      <c r="QW117" s="30"/>
      <c r="QX117" s="30"/>
      <c r="QY117" s="30"/>
      <c r="QZ117" s="30"/>
      <c r="RA117" s="30"/>
      <c r="RB117" s="30"/>
      <c r="RC117" s="30"/>
      <c r="RD117" s="30"/>
      <c r="RE117" s="30"/>
      <c r="RF117" s="30"/>
      <c r="RG117" s="30"/>
      <c r="RH117" s="30"/>
      <c r="RI117" s="30"/>
      <c r="RJ117" s="30"/>
      <c r="RK117" s="30"/>
      <c r="RL117" s="30"/>
      <c r="RM117" s="30"/>
      <c r="RN117" s="30"/>
      <c r="RO117" s="30"/>
      <c r="RP117" s="30"/>
      <c r="RQ117" s="30"/>
      <c r="RR117" s="30"/>
      <c r="RS117" s="30"/>
      <c r="RT117" s="30"/>
      <c r="RU117" s="30"/>
      <c r="RV117" s="30"/>
      <c r="RW117" s="30"/>
      <c r="RX117" s="30"/>
      <c r="RY117" s="30"/>
      <c r="RZ117" s="30"/>
      <c r="SA117" s="30"/>
      <c r="SB117" s="30"/>
      <c r="SC117" s="30"/>
      <c r="SD117" s="30"/>
      <c r="SE117" s="30"/>
      <c r="SF117" s="30"/>
      <c r="SG117" s="30"/>
      <c r="SH117" s="30"/>
      <c r="SI117" s="30"/>
      <c r="SJ117" s="30"/>
      <c r="SK117" s="30"/>
      <c r="SL117" s="30"/>
      <c r="SM117" s="30"/>
      <c r="SN117" s="30"/>
      <c r="SO117" s="30"/>
      <c r="SP117" s="30"/>
      <c r="SQ117" s="30"/>
      <c r="SR117" s="30"/>
      <c r="SS117" s="30"/>
      <c r="ST117" s="30"/>
      <c r="SU117" s="30"/>
      <c r="SV117" s="30"/>
      <c r="SW117" s="30"/>
      <c r="SX117" s="30"/>
      <c r="SY117" s="30"/>
      <c r="SZ117" s="30"/>
      <c r="TA117" s="30"/>
      <c r="TB117" s="30"/>
      <c r="TC117" s="30"/>
      <c r="TD117" s="30"/>
      <c r="TE117" s="30"/>
      <c r="TF117" s="30"/>
      <c r="TG117" s="30"/>
      <c r="TH117" s="30"/>
      <c r="TI117" s="30"/>
      <c r="TJ117" s="30"/>
      <c r="TK117" s="30"/>
      <c r="TL117" s="30"/>
      <c r="TM117" s="30"/>
      <c r="TN117" s="30"/>
      <c r="TO117" s="30"/>
      <c r="TP117" s="30"/>
      <c r="TQ117" s="30"/>
      <c r="TR117" s="30"/>
      <c r="TS117" s="30"/>
      <c r="TT117" s="30"/>
      <c r="TU117" s="30"/>
      <c r="TV117" s="30"/>
      <c r="TW117" s="30"/>
      <c r="TX117" s="30"/>
      <c r="TY117" s="30"/>
      <c r="TZ117" s="30"/>
      <c r="UA117" s="30"/>
      <c r="UB117" s="30"/>
      <c r="UC117" s="30"/>
      <c r="UD117" s="30"/>
      <c r="UE117" s="30"/>
      <c r="UF117" s="30"/>
      <c r="UG117" s="30"/>
      <c r="UH117" s="30"/>
      <c r="UI117" s="30"/>
      <c r="UJ117" s="30"/>
      <c r="UK117" s="30"/>
      <c r="UL117" s="30"/>
      <c r="UM117" s="30"/>
      <c r="UN117" s="30"/>
      <c r="UO117" s="30"/>
      <c r="UP117" s="30"/>
      <c r="UQ117" s="30"/>
      <c r="UR117" s="30"/>
      <c r="US117" s="30"/>
      <c r="UT117" s="30"/>
      <c r="UU117" s="30"/>
      <c r="UV117" s="30"/>
      <c r="UW117" s="30"/>
      <c r="UX117" s="30"/>
      <c r="UY117" s="30"/>
      <c r="UZ117" s="30"/>
      <c r="VA117" s="30"/>
      <c r="VB117" s="30"/>
      <c r="VC117" s="30"/>
      <c r="VD117" s="30"/>
      <c r="VE117" s="30"/>
      <c r="VF117" s="30"/>
      <c r="VG117" s="30"/>
      <c r="VH117" s="30"/>
      <c r="VI117" s="30"/>
      <c r="VJ117" s="30"/>
      <c r="VK117" s="30"/>
      <c r="VL117" s="30"/>
      <c r="VM117" s="30"/>
      <c r="VN117" s="30"/>
      <c r="VO117" s="30"/>
      <c r="VP117" s="30"/>
      <c r="VQ117" s="30"/>
      <c r="VR117" s="30"/>
      <c r="VS117" s="30"/>
      <c r="VT117" s="30"/>
      <c r="VU117" s="30"/>
      <c r="VV117" s="30"/>
      <c r="VW117" s="30"/>
      <c r="VX117" s="30"/>
      <c r="VY117" s="30"/>
      <c r="VZ117" s="30"/>
      <c r="WA117" s="30"/>
      <c r="WB117" s="30"/>
      <c r="WC117" s="30"/>
      <c r="WD117" s="30"/>
      <c r="WE117" s="30"/>
      <c r="WF117" s="30"/>
      <c r="WG117" s="30"/>
      <c r="WH117" s="30"/>
      <c r="WI117" s="30"/>
      <c r="WJ117" s="30"/>
      <c r="WK117" s="30"/>
      <c r="WL117" s="30"/>
      <c r="WM117" s="30"/>
      <c r="WN117" s="30"/>
      <c r="WO117" s="30"/>
      <c r="WP117" s="30"/>
      <c r="WQ117" s="30"/>
      <c r="WR117" s="30"/>
      <c r="WS117" s="30"/>
      <c r="WT117" s="30"/>
      <c r="WU117" s="30"/>
      <c r="WV117" s="30"/>
      <c r="WW117" s="30"/>
      <c r="WX117" s="30"/>
      <c r="WY117" s="30"/>
      <c r="WZ117" s="30"/>
      <c r="XA117" s="30"/>
      <c r="XB117" s="30"/>
      <c r="XC117" s="30"/>
      <c r="XD117" s="30"/>
      <c r="XE117" s="30"/>
      <c r="XF117" s="30"/>
      <c r="XG117" s="30"/>
      <c r="XH117" s="30"/>
      <c r="XI117" s="30"/>
      <c r="XJ117" s="30"/>
      <c r="XK117" s="30"/>
      <c r="XL117" s="30"/>
      <c r="XM117" s="30"/>
      <c r="XN117" s="30"/>
      <c r="XO117" s="30"/>
      <c r="XP117" s="30"/>
      <c r="XQ117" s="30"/>
      <c r="XR117" s="30"/>
      <c r="XS117" s="30"/>
      <c r="XT117" s="30"/>
      <c r="XU117" s="30"/>
      <c r="XV117" s="30"/>
      <c r="XW117" s="30"/>
      <c r="XX117" s="30"/>
      <c r="XY117" s="30"/>
      <c r="XZ117" s="30"/>
      <c r="YA117" s="30"/>
      <c r="YB117" s="30"/>
      <c r="YC117" s="30"/>
      <c r="YD117" s="30"/>
      <c r="YE117" s="30"/>
      <c r="YF117" s="30"/>
      <c r="YG117" s="30"/>
      <c r="YH117" s="30"/>
      <c r="YI117" s="30"/>
      <c r="YJ117" s="30"/>
      <c r="YK117" s="30"/>
      <c r="YL117" s="30"/>
      <c r="YM117" s="30"/>
      <c r="YN117" s="30"/>
      <c r="YO117" s="30"/>
      <c r="YP117" s="30"/>
      <c r="YQ117" s="30"/>
      <c r="YR117" s="30"/>
      <c r="YS117" s="30"/>
      <c r="YT117" s="30"/>
      <c r="YU117" s="30"/>
      <c r="YV117" s="30"/>
      <c r="YW117" s="30"/>
      <c r="YX117" s="30"/>
      <c r="YY117" s="30"/>
      <c r="YZ117" s="30"/>
      <c r="ZA117" s="30"/>
      <c r="ZB117" s="30"/>
      <c r="ZC117" s="30"/>
      <c r="ZD117" s="30"/>
      <c r="ZE117" s="30"/>
      <c r="ZF117" s="30"/>
      <c r="ZG117" s="30"/>
      <c r="ZH117" s="30"/>
      <c r="ZI117" s="30"/>
      <c r="ZJ117" s="30"/>
      <c r="ZK117" s="30"/>
      <c r="ZL117" s="30"/>
      <c r="ZM117" s="30"/>
      <c r="ZN117" s="30"/>
      <c r="ZO117" s="30"/>
      <c r="ZP117" s="30"/>
      <c r="ZQ117" s="30"/>
      <c r="ZR117" s="30"/>
      <c r="ZS117" s="30"/>
      <c r="ZT117" s="30"/>
      <c r="ZU117" s="30"/>
      <c r="ZV117" s="30"/>
      <c r="ZW117" s="30"/>
      <c r="ZX117" s="30"/>
      <c r="ZY117" s="30"/>
      <c r="ZZ117" s="30"/>
      <c r="AAA117" s="30"/>
      <c r="AAB117" s="30"/>
      <c r="AAC117" s="30"/>
      <c r="AAD117" s="30"/>
      <c r="AAE117" s="30"/>
      <c r="AAF117" s="30"/>
      <c r="AAG117" s="30"/>
      <c r="AAH117" s="30"/>
      <c r="AAI117" s="30"/>
      <c r="AAJ117" s="30"/>
      <c r="AAK117" s="30"/>
      <c r="AAL117" s="30"/>
      <c r="AAM117" s="30"/>
      <c r="AAN117" s="30"/>
      <c r="AAO117" s="30"/>
      <c r="AAP117" s="30"/>
      <c r="AAQ117" s="30"/>
      <c r="AAR117" s="30"/>
      <c r="AAS117" s="30"/>
      <c r="AAT117" s="30"/>
      <c r="AAU117" s="30"/>
      <c r="AAV117" s="30"/>
      <c r="AAW117" s="30"/>
      <c r="AAX117" s="30"/>
      <c r="AAY117" s="30"/>
      <c r="AAZ117" s="30"/>
      <c r="ABA117" s="30"/>
      <c r="ABB117" s="30"/>
      <c r="ABC117" s="30"/>
      <c r="ABD117" s="30"/>
      <c r="ABE117" s="30"/>
      <c r="ABF117" s="30"/>
      <c r="ABG117" s="30"/>
      <c r="ABH117" s="30"/>
      <c r="ABI117" s="30"/>
      <c r="ABJ117" s="30"/>
      <c r="ABK117" s="30"/>
      <c r="ABL117" s="30"/>
      <c r="ABM117" s="30"/>
      <c r="ABN117" s="30"/>
      <c r="ABO117" s="30"/>
      <c r="ABP117" s="30"/>
      <c r="ABQ117" s="30"/>
      <c r="ABR117" s="30"/>
      <c r="ABS117" s="30"/>
      <c r="ABT117" s="30"/>
      <c r="ABU117" s="30"/>
      <c r="ABV117" s="30"/>
      <c r="ABW117" s="30"/>
      <c r="ABX117" s="30"/>
      <c r="ABY117" s="30"/>
      <c r="ABZ117" s="30"/>
      <c r="ACA117" s="30"/>
      <c r="ACB117" s="30"/>
      <c r="ACC117" s="30"/>
      <c r="ACD117" s="30"/>
      <c r="ACE117" s="30"/>
      <c r="ACF117" s="30"/>
      <c r="ACG117" s="30"/>
      <c r="ACH117" s="30"/>
      <c r="ACI117" s="30"/>
      <c r="ACJ117" s="30"/>
      <c r="ACK117" s="30"/>
      <c r="ACL117" s="30"/>
      <c r="ACM117" s="30"/>
      <c r="ACN117" s="30"/>
      <c r="ACO117" s="30"/>
      <c r="ACP117" s="30"/>
      <c r="ACQ117" s="30"/>
      <c r="ACR117" s="30"/>
      <c r="ACS117" s="30"/>
      <c r="ACT117" s="30"/>
      <c r="ACU117" s="30"/>
      <c r="ACV117" s="30"/>
      <c r="ACW117" s="30"/>
      <c r="ACX117" s="30"/>
      <c r="ACY117" s="30"/>
      <c r="ACZ117" s="30"/>
      <c r="ADA117" s="30"/>
      <c r="ADB117" s="30"/>
      <c r="ADC117" s="30"/>
      <c r="ADD117" s="30"/>
      <c r="ADE117" s="30"/>
      <c r="ADF117" s="30"/>
      <c r="ADG117" s="30"/>
      <c r="ADH117" s="30"/>
      <c r="ADI117" s="30"/>
      <c r="ADJ117" s="30"/>
      <c r="ADK117" s="30"/>
      <c r="ADL117" s="30"/>
      <c r="ADM117" s="30"/>
      <c r="ADN117" s="30"/>
      <c r="ADO117" s="30"/>
      <c r="ADP117" s="30"/>
      <c r="ADQ117" s="30"/>
      <c r="ADR117" s="30"/>
      <c r="ADS117" s="30"/>
      <c r="ADT117" s="30"/>
      <c r="ADU117" s="30"/>
      <c r="ADV117" s="30"/>
      <c r="ADW117" s="30"/>
      <c r="ADX117" s="30"/>
      <c r="ADY117" s="30"/>
      <c r="ADZ117" s="30"/>
      <c r="AEA117" s="30"/>
      <c r="AEB117" s="30"/>
      <c r="AEC117" s="30"/>
      <c r="AED117" s="30"/>
      <c r="AEE117" s="30"/>
      <c r="AEF117" s="30"/>
      <c r="AEG117" s="30"/>
      <c r="AEH117" s="30"/>
      <c r="AEI117" s="30"/>
      <c r="AEJ117" s="30"/>
      <c r="AEK117" s="30"/>
      <c r="AEL117" s="30"/>
      <c r="AEM117" s="30"/>
      <c r="AEN117" s="30"/>
      <c r="AEO117" s="30"/>
      <c r="AEP117" s="30"/>
      <c r="AEQ117" s="30"/>
      <c r="AER117" s="30"/>
      <c r="AES117" s="30"/>
      <c r="AET117" s="30"/>
      <c r="AEU117" s="30"/>
      <c r="AEV117" s="30"/>
      <c r="AEW117" s="30"/>
      <c r="AEX117" s="30"/>
      <c r="AEY117" s="30"/>
      <c r="AEZ117" s="30"/>
      <c r="AFA117" s="30"/>
      <c r="AFB117" s="30"/>
      <c r="AFC117" s="30"/>
      <c r="AFD117" s="30"/>
      <c r="AFE117" s="30"/>
      <c r="AFF117" s="30"/>
      <c r="AFG117" s="30"/>
      <c r="AFH117" s="30"/>
      <c r="AFI117" s="30"/>
      <c r="AFJ117" s="30"/>
      <c r="AFK117" s="30"/>
      <c r="AFL117" s="30"/>
      <c r="AFM117" s="30"/>
      <c r="AFN117" s="30"/>
      <c r="AFO117" s="30"/>
      <c r="AFP117" s="30"/>
      <c r="AFQ117" s="30"/>
      <c r="AFR117" s="30"/>
      <c r="AFS117" s="30"/>
      <c r="AFT117" s="30"/>
      <c r="AFU117" s="30"/>
      <c r="AFV117" s="30"/>
      <c r="AFW117" s="30"/>
      <c r="AFX117" s="30"/>
      <c r="AFY117" s="30"/>
      <c r="AFZ117" s="30"/>
      <c r="AGA117" s="30"/>
      <c r="AGB117" s="30"/>
      <c r="AGC117" s="30"/>
      <c r="AGD117" s="30"/>
      <c r="AGE117" s="30"/>
      <c r="AGF117" s="30"/>
      <c r="AGG117" s="30"/>
      <c r="AGH117" s="30"/>
      <c r="AGI117" s="30"/>
      <c r="AGJ117" s="30"/>
      <c r="AGK117" s="30"/>
      <c r="AGL117" s="30"/>
      <c r="AGM117" s="30"/>
      <c r="AGN117" s="30"/>
      <c r="AGO117" s="30"/>
      <c r="AGP117" s="30"/>
      <c r="AGQ117" s="30"/>
      <c r="AGR117" s="30"/>
      <c r="AGS117" s="30"/>
      <c r="AGT117" s="30"/>
      <c r="AGU117" s="30"/>
      <c r="AGV117" s="30"/>
      <c r="AGW117" s="30"/>
      <c r="AGX117" s="30"/>
      <c r="AGY117" s="30"/>
      <c r="AGZ117" s="30"/>
      <c r="AHA117" s="30"/>
      <c r="AHB117" s="30"/>
      <c r="AHC117" s="30"/>
      <c r="AHD117" s="30"/>
      <c r="AHE117" s="30"/>
      <c r="AHF117" s="30"/>
      <c r="AHG117" s="30"/>
      <c r="AHH117" s="30"/>
      <c r="AHI117" s="30"/>
      <c r="AHJ117" s="30"/>
      <c r="AHK117" s="30"/>
      <c r="AHL117" s="30"/>
      <c r="AHM117" s="30"/>
      <c r="AHN117" s="30"/>
      <c r="AHO117" s="30"/>
      <c r="AHP117" s="30"/>
      <c r="AHQ117" s="30"/>
      <c r="AHR117" s="30"/>
      <c r="AHS117" s="30"/>
      <c r="AHT117" s="30"/>
      <c r="AHU117" s="30"/>
      <c r="AHV117" s="30"/>
      <c r="AHW117" s="30"/>
      <c r="AHX117" s="30"/>
      <c r="AHY117" s="30"/>
      <c r="AHZ117" s="30"/>
      <c r="AIA117" s="30"/>
      <c r="AIB117" s="30"/>
      <c r="AIC117" s="30"/>
      <c r="AID117" s="30"/>
      <c r="AIE117" s="30"/>
      <c r="AIF117" s="30"/>
      <c r="AIG117" s="30"/>
      <c r="AIH117" s="30"/>
      <c r="AII117" s="30"/>
      <c r="AIJ117" s="30"/>
      <c r="AIK117" s="30"/>
      <c r="AIL117" s="30"/>
      <c r="AIM117" s="30"/>
      <c r="AIN117" s="30"/>
      <c r="AIO117" s="30"/>
      <c r="AIP117" s="30"/>
      <c r="AIQ117" s="30"/>
      <c r="AIR117" s="30"/>
      <c r="AIS117" s="30"/>
      <c r="AIT117" s="30"/>
      <c r="AIU117" s="30"/>
      <c r="AIV117" s="30"/>
      <c r="AIW117" s="30"/>
      <c r="AIX117" s="30"/>
      <c r="AIY117" s="30"/>
      <c r="AIZ117" s="30"/>
      <c r="AJA117" s="30"/>
      <c r="AJB117" s="30"/>
      <c r="AJC117" s="30"/>
      <c r="AJD117" s="30"/>
      <c r="AJE117" s="30"/>
      <c r="AJF117" s="30"/>
      <c r="AJG117" s="30"/>
      <c r="AJH117" s="30"/>
      <c r="AJI117" s="30"/>
      <c r="AJJ117" s="30"/>
      <c r="AJK117" s="30"/>
      <c r="AJL117" s="30"/>
      <c r="AJM117" s="30"/>
      <c r="AJN117" s="30"/>
      <c r="AJO117" s="30"/>
      <c r="AJP117" s="30"/>
      <c r="AJQ117" s="30"/>
      <c r="AJR117" s="30"/>
      <c r="AJS117" s="30"/>
      <c r="AJT117" s="30"/>
      <c r="AJU117" s="30"/>
      <c r="AJV117" s="30"/>
      <c r="AJW117" s="30"/>
      <c r="AJX117" s="30"/>
      <c r="AJY117" s="30"/>
      <c r="AJZ117" s="30"/>
      <c r="AKA117" s="30"/>
      <c r="AKB117" s="30"/>
      <c r="AKC117" s="30"/>
      <c r="AKD117" s="30"/>
      <c r="AKE117" s="30"/>
      <c r="AKF117" s="30"/>
      <c r="AKG117" s="30"/>
      <c r="AKH117" s="30"/>
      <c r="AKI117" s="30"/>
      <c r="AKJ117" s="30"/>
      <c r="AKK117" s="30"/>
      <c r="AKL117" s="30"/>
      <c r="AKM117" s="30"/>
      <c r="AKN117" s="30"/>
      <c r="AKO117" s="30"/>
      <c r="AKP117" s="30"/>
      <c r="AKQ117" s="30"/>
      <c r="AKR117" s="30"/>
      <c r="AKS117" s="30"/>
      <c r="AKT117" s="30"/>
      <c r="AKU117" s="30"/>
      <c r="AKV117" s="30"/>
      <c r="AKW117" s="30"/>
      <c r="AKX117" s="30"/>
      <c r="AKY117" s="30"/>
      <c r="AKZ117" s="30"/>
      <c r="ALA117" s="30"/>
      <c r="ALB117" s="30"/>
      <c r="ALC117" s="30"/>
      <c r="ALD117" s="30"/>
      <c r="ALE117" s="30"/>
      <c r="ALF117" s="30"/>
      <c r="ALG117" s="30"/>
      <c r="ALH117" s="30"/>
      <c r="ALI117" s="30"/>
      <c r="ALJ117" s="30"/>
      <c r="ALK117" s="30"/>
      <c r="ALL117" s="30"/>
      <c r="ALM117" s="30"/>
      <c r="ALN117" s="30"/>
      <c r="ALO117" s="30"/>
      <c r="ALP117" s="30"/>
      <c r="ALQ117" s="30"/>
      <c r="ALR117" s="30"/>
      <c r="ALS117" s="30"/>
      <c r="ALT117" s="30"/>
      <c r="ALU117" s="30"/>
      <c r="ALV117" s="30"/>
      <c r="ALW117" s="30"/>
      <c r="ALX117" s="30"/>
      <c r="ALY117" s="30"/>
      <c r="ALZ117" s="30"/>
      <c r="AMA117" s="30"/>
      <c r="AMB117" s="30"/>
      <c r="AMC117" s="30"/>
      <c r="AMD117" s="30"/>
      <c r="AME117" s="30"/>
      <c r="AMF117" s="30"/>
      <c r="AMG117" s="30"/>
      <c r="AMH117" s="30"/>
      <c r="AMI117" s="30"/>
      <c r="AMJ117" s="30"/>
      <c r="AMK117" s="30"/>
      <c r="AML117" s="30"/>
      <c r="AMM117" s="30"/>
      <c r="AMN117" s="30"/>
      <c r="AMO117" s="30"/>
      <c r="AMP117" s="30"/>
      <c r="AMQ117" s="30"/>
      <c r="AMR117" s="30"/>
      <c r="AMS117" s="30"/>
      <c r="AMT117" s="30"/>
      <c r="AMU117" s="30"/>
      <c r="AMV117" s="30"/>
      <c r="AMW117" s="30"/>
      <c r="AMX117" s="30"/>
      <c r="AMY117" s="30"/>
      <c r="AMZ117" s="30"/>
      <c r="ANA117" s="30"/>
      <c r="ANB117" s="30"/>
      <c r="ANC117" s="30"/>
      <c r="AND117" s="30"/>
      <c r="ANE117" s="30"/>
      <c r="ANF117" s="30"/>
      <c r="ANG117" s="30"/>
      <c r="ANH117" s="30"/>
      <c r="ANI117" s="30"/>
      <c r="ANJ117" s="30"/>
      <c r="ANK117" s="30"/>
      <c r="ANL117" s="30"/>
      <c r="ANM117" s="30"/>
      <c r="ANN117" s="30"/>
      <c r="ANO117" s="30"/>
      <c r="ANP117" s="30"/>
      <c r="ANQ117" s="30"/>
      <c r="ANR117" s="30"/>
      <c r="ANS117" s="30"/>
      <c r="ANT117" s="30"/>
      <c r="ANU117" s="30"/>
      <c r="ANV117" s="30"/>
      <c r="ANW117" s="30"/>
      <c r="ANX117" s="30"/>
      <c r="ANY117" s="30"/>
      <c r="ANZ117" s="30"/>
      <c r="AOA117" s="30"/>
      <c r="AOB117" s="30"/>
      <c r="AOC117" s="30"/>
      <c r="AOD117" s="30"/>
      <c r="AOE117" s="30"/>
      <c r="AOF117" s="30"/>
      <c r="AOG117" s="30"/>
      <c r="AOH117" s="30"/>
      <c r="AOI117" s="30"/>
      <c r="AOJ117" s="30"/>
      <c r="AOK117" s="30"/>
      <c r="AOL117" s="30"/>
      <c r="AOM117" s="30"/>
      <c r="AON117" s="30"/>
      <c r="AOO117" s="30"/>
      <c r="AOP117" s="30"/>
      <c r="AOQ117" s="30"/>
      <c r="AOR117" s="30"/>
      <c r="AOS117" s="30"/>
      <c r="AOT117" s="30"/>
      <c r="AOU117" s="30"/>
      <c r="AOV117" s="30"/>
      <c r="AOW117" s="30"/>
      <c r="AOX117" s="30"/>
      <c r="AOY117" s="30"/>
      <c r="AOZ117" s="30"/>
      <c r="APA117" s="30"/>
      <c r="APB117" s="30"/>
      <c r="APC117" s="30"/>
      <c r="APD117" s="30"/>
      <c r="APE117" s="30"/>
      <c r="APF117" s="30"/>
      <c r="APG117" s="30"/>
      <c r="APH117" s="30"/>
      <c r="API117" s="30"/>
      <c r="APJ117" s="30"/>
      <c r="APK117" s="30"/>
      <c r="APL117" s="30"/>
      <c r="APM117" s="30"/>
      <c r="APN117" s="30"/>
      <c r="APO117" s="30"/>
      <c r="APP117" s="30"/>
      <c r="APQ117" s="30"/>
      <c r="APR117" s="30"/>
      <c r="APS117" s="30"/>
      <c r="APT117" s="30"/>
      <c r="APU117" s="30"/>
      <c r="APV117" s="30"/>
      <c r="APW117" s="30"/>
      <c r="APX117" s="30"/>
      <c r="APY117" s="30"/>
      <c r="APZ117" s="30"/>
      <c r="AQA117" s="30"/>
      <c r="AQB117" s="30"/>
      <c r="AQC117" s="30"/>
      <c r="AQD117" s="30"/>
      <c r="AQE117" s="30"/>
      <c r="AQF117" s="30"/>
      <c r="AQG117" s="30"/>
      <c r="AQH117" s="30"/>
      <c r="AQI117" s="30"/>
      <c r="AQJ117" s="30"/>
      <c r="AQK117" s="30"/>
      <c r="AQL117" s="30"/>
      <c r="AQM117" s="30"/>
      <c r="AQN117" s="30"/>
      <c r="AQO117" s="30"/>
      <c r="AQP117" s="30"/>
      <c r="AQQ117" s="30"/>
      <c r="AQR117" s="30"/>
      <c r="AQS117" s="30"/>
      <c r="AQT117" s="30"/>
      <c r="AQU117" s="30"/>
      <c r="AQV117" s="30"/>
      <c r="AQW117" s="30"/>
      <c r="AQX117" s="30"/>
      <c r="AQY117" s="30"/>
      <c r="AQZ117" s="30"/>
      <c r="ARA117" s="30"/>
      <c r="ARB117" s="30"/>
      <c r="ARC117" s="30"/>
      <c r="ARD117" s="30"/>
      <c r="ARE117" s="30"/>
      <c r="ARF117" s="30"/>
      <c r="ARG117" s="30"/>
      <c r="ARH117" s="30"/>
      <c r="ARI117" s="30"/>
      <c r="ARJ117" s="30"/>
      <c r="ARK117" s="30"/>
      <c r="ARL117" s="30"/>
      <c r="ARM117" s="30"/>
      <c r="ARN117" s="30"/>
      <c r="ARO117" s="30"/>
      <c r="ARP117" s="30"/>
      <c r="ARQ117" s="30"/>
      <c r="ARR117" s="30"/>
      <c r="ARS117" s="30"/>
      <c r="ART117" s="30"/>
      <c r="ARU117" s="30"/>
      <c r="ARV117" s="30"/>
      <c r="ARW117" s="30"/>
      <c r="ARX117" s="30"/>
      <c r="ARY117" s="30"/>
      <c r="ARZ117" s="30"/>
      <c r="ASA117" s="30"/>
      <c r="ASB117" s="30"/>
      <c r="ASC117" s="30"/>
      <c r="ASD117" s="30"/>
      <c r="ASE117" s="30"/>
      <c r="ASF117" s="30"/>
      <c r="ASG117" s="30"/>
      <c r="ASH117" s="30"/>
      <c r="ASI117" s="30"/>
      <c r="ASJ117" s="30"/>
      <c r="ASK117" s="30"/>
      <c r="ASL117" s="30"/>
      <c r="ASM117" s="30"/>
      <c r="ASN117" s="30"/>
      <c r="ASO117" s="30"/>
      <c r="ASP117" s="30"/>
      <c r="ASQ117" s="30"/>
      <c r="ASR117" s="30"/>
      <c r="ASS117" s="30"/>
      <c r="AST117" s="30"/>
      <c r="ASU117" s="30"/>
      <c r="ASV117" s="30"/>
      <c r="ASW117" s="30"/>
      <c r="ASX117" s="30"/>
      <c r="ASY117" s="30"/>
      <c r="ASZ117" s="30"/>
      <c r="ATA117" s="30"/>
      <c r="ATB117" s="30"/>
      <c r="ATC117" s="30"/>
      <c r="ATD117" s="30"/>
      <c r="ATE117" s="30"/>
      <c r="ATF117" s="30"/>
      <c r="ATG117" s="30"/>
      <c r="ATH117" s="30"/>
      <c r="ATI117" s="30"/>
      <c r="ATJ117" s="30"/>
      <c r="ATK117" s="30"/>
      <c r="ATL117" s="30"/>
      <c r="ATM117" s="30"/>
      <c r="ATN117" s="30"/>
      <c r="ATO117" s="30"/>
      <c r="ATP117" s="30"/>
      <c r="ATQ117" s="30"/>
      <c r="ATR117" s="30"/>
      <c r="ATS117" s="30"/>
      <c r="ATT117" s="30"/>
      <c r="ATU117" s="30"/>
      <c r="ATV117" s="30"/>
      <c r="ATW117" s="30"/>
      <c r="ATX117" s="30"/>
      <c r="ATY117" s="30"/>
      <c r="ATZ117" s="30"/>
      <c r="AUA117" s="30"/>
      <c r="AUB117" s="30"/>
      <c r="AUC117" s="30"/>
      <c r="AUD117" s="30"/>
      <c r="AUE117" s="30"/>
      <c r="AUF117" s="30"/>
      <c r="AUG117" s="30"/>
      <c r="AUH117" s="30"/>
      <c r="AUI117" s="30"/>
      <c r="AUJ117" s="30"/>
      <c r="AUK117" s="30"/>
      <c r="AUL117" s="30"/>
      <c r="AUM117" s="30"/>
      <c r="AUN117" s="30"/>
      <c r="AUO117" s="30"/>
      <c r="AUP117" s="30"/>
      <c r="AUQ117" s="30"/>
      <c r="AUR117" s="30"/>
      <c r="AUS117" s="30"/>
      <c r="AUT117" s="30"/>
      <c r="AUU117" s="30"/>
      <c r="AUV117" s="30"/>
      <c r="AUW117" s="30"/>
      <c r="AUX117" s="30"/>
      <c r="AUY117" s="30"/>
      <c r="AUZ117" s="30"/>
      <c r="AVA117" s="30"/>
      <c r="AVB117" s="30"/>
      <c r="AVC117" s="30"/>
      <c r="AVD117" s="30"/>
      <c r="AVE117" s="30"/>
      <c r="AVF117" s="30"/>
      <c r="AVG117" s="30"/>
      <c r="AVH117" s="30"/>
      <c r="AVI117" s="30"/>
      <c r="AVJ117" s="30"/>
      <c r="AVK117" s="30"/>
      <c r="AVL117" s="30"/>
      <c r="AVM117" s="30"/>
      <c r="AVN117" s="30"/>
      <c r="AVO117" s="30"/>
      <c r="AVP117" s="30"/>
      <c r="AVQ117" s="30"/>
      <c r="AVR117" s="30"/>
      <c r="AVS117" s="30"/>
      <c r="AVT117" s="30"/>
      <c r="AVU117" s="30"/>
      <c r="AVV117" s="30"/>
      <c r="AVW117" s="30"/>
      <c r="AVX117" s="30"/>
      <c r="AVY117" s="30"/>
      <c r="AVZ117" s="30"/>
      <c r="AWA117" s="30"/>
      <c r="AWB117" s="30"/>
      <c r="AWC117" s="30"/>
      <c r="AWD117" s="30"/>
      <c r="AWE117" s="30"/>
      <c r="AWF117" s="30"/>
      <c r="AWG117" s="30"/>
      <c r="AWH117" s="30"/>
      <c r="AWI117" s="30"/>
      <c r="AWJ117" s="30"/>
      <c r="AWK117" s="30"/>
      <c r="AWL117" s="30"/>
      <c r="AWM117" s="30"/>
      <c r="AWN117" s="30"/>
      <c r="AWO117" s="30"/>
      <c r="AWP117" s="30"/>
      <c r="AWQ117" s="30"/>
      <c r="AWR117" s="30"/>
      <c r="AWS117" s="30"/>
      <c r="AWT117" s="30"/>
      <c r="AWU117" s="30"/>
      <c r="AWV117" s="30"/>
      <c r="AWW117" s="30"/>
      <c r="AWX117" s="30"/>
      <c r="AWY117" s="30"/>
      <c r="AWZ117" s="30"/>
      <c r="AXA117" s="30"/>
      <c r="AXB117" s="30"/>
      <c r="AXC117" s="30"/>
      <c r="AXD117" s="30"/>
      <c r="AXE117" s="30"/>
      <c r="AXF117" s="30"/>
      <c r="AXG117" s="30"/>
      <c r="AXH117" s="30"/>
      <c r="AXI117" s="30"/>
      <c r="AXJ117" s="30"/>
      <c r="AXK117" s="30"/>
      <c r="AXL117" s="30"/>
      <c r="AXM117" s="30"/>
      <c r="AXN117" s="30"/>
      <c r="AXO117" s="30"/>
      <c r="AXP117" s="30"/>
      <c r="AXQ117" s="30"/>
      <c r="AXR117" s="30"/>
      <c r="AXS117" s="30"/>
      <c r="AXT117" s="30"/>
      <c r="AXU117" s="30"/>
      <c r="AXV117" s="30"/>
      <c r="AXW117" s="30"/>
      <c r="AXX117" s="30"/>
      <c r="AXY117" s="30"/>
      <c r="AXZ117" s="30"/>
      <c r="AYA117" s="30"/>
      <c r="AYB117" s="30"/>
      <c r="AYC117" s="30"/>
      <c r="AYD117" s="30"/>
      <c r="AYE117" s="30"/>
      <c r="AYF117" s="30"/>
      <c r="AYG117" s="30"/>
      <c r="AYH117" s="30"/>
      <c r="AYI117" s="30"/>
      <c r="AYJ117" s="30"/>
      <c r="AYK117" s="30"/>
      <c r="AYL117" s="30"/>
      <c r="AYM117" s="30"/>
      <c r="AYN117" s="30"/>
      <c r="AYO117" s="30"/>
      <c r="AYP117" s="30"/>
      <c r="AYQ117" s="30"/>
      <c r="AYR117" s="30"/>
      <c r="AYS117" s="30"/>
      <c r="AYT117" s="30"/>
      <c r="AYU117" s="30"/>
      <c r="AYV117" s="30"/>
      <c r="AYW117" s="30"/>
      <c r="AYX117" s="30"/>
      <c r="AYY117" s="30"/>
      <c r="AYZ117" s="30"/>
      <c r="AZA117" s="30"/>
      <c r="AZB117" s="30"/>
      <c r="AZC117" s="30"/>
      <c r="AZD117" s="30"/>
      <c r="AZE117" s="30"/>
      <c r="AZF117" s="30"/>
      <c r="AZG117" s="30"/>
      <c r="AZH117" s="30"/>
      <c r="AZI117" s="30"/>
      <c r="AZJ117" s="30"/>
      <c r="AZK117" s="30"/>
      <c r="AZL117" s="30"/>
      <c r="AZM117" s="30"/>
      <c r="AZN117" s="30"/>
      <c r="AZO117" s="30"/>
      <c r="AZP117" s="30"/>
      <c r="AZQ117" s="30"/>
      <c r="AZR117" s="30"/>
      <c r="AZS117" s="30"/>
      <c r="AZT117" s="30"/>
      <c r="AZU117" s="30"/>
      <c r="AZV117" s="30"/>
      <c r="AZW117" s="30"/>
      <c r="AZX117" s="30"/>
      <c r="AZY117" s="30"/>
      <c r="AZZ117" s="30"/>
      <c r="BAA117" s="30"/>
      <c r="BAB117" s="30"/>
      <c r="BAC117" s="30"/>
      <c r="BAD117" s="30"/>
      <c r="BAE117" s="30"/>
      <c r="BAF117" s="30"/>
      <c r="BAG117" s="30"/>
      <c r="BAH117" s="30"/>
      <c r="BAI117" s="30"/>
      <c r="BAJ117" s="30"/>
      <c r="BAK117" s="30"/>
      <c r="BAL117" s="30"/>
      <c r="BAM117" s="30"/>
      <c r="BAN117" s="30"/>
      <c r="BAO117" s="30"/>
      <c r="BAP117" s="30"/>
      <c r="BAQ117" s="30"/>
      <c r="BAR117" s="30"/>
      <c r="BAS117" s="30"/>
      <c r="BAT117" s="30"/>
      <c r="BAU117" s="30"/>
      <c r="BAV117" s="30"/>
      <c r="BAW117" s="30"/>
      <c r="BAX117" s="30"/>
      <c r="BAY117" s="30"/>
      <c r="BAZ117" s="30"/>
      <c r="BBA117" s="30"/>
      <c r="BBB117" s="30"/>
      <c r="BBC117" s="30"/>
      <c r="BBD117" s="30"/>
      <c r="BBE117" s="30"/>
      <c r="BBF117" s="30"/>
      <c r="BBG117" s="30"/>
      <c r="BBH117" s="30"/>
      <c r="BBI117" s="30"/>
      <c r="BBJ117" s="30"/>
      <c r="BBK117" s="30"/>
      <c r="BBL117" s="30"/>
      <c r="BBM117" s="30"/>
      <c r="BBN117" s="30"/>
      <c r="BBO117" s="30"/>
      <c r="BBP117" s="30"/>
      <c r="BBQ117" s="30"/>
      <c r="BBR117" s="30"/>
      <c r="BBS117" s="30"/>
      <c r="BBT117" s="30"/>
      <c r="BBU117" s="30"/>
      <c r="BBV117" s="30"/>
      <c r="BBW117" s="30"/>
      <c r="BBX117" s="30"/>
      <c r="BBY117" s="30"/>
      <c r="BBZ117" s="30"/>
      <c r="BCA117" s="30"/>
      <c r="BCB117" s="30"/>
      <c r="BCC117" s="30"/>
      <c r="BCD117" s="30"/>
      <c r="BCE117" s="30"/>
      <c r="BCF117" s="30"/>
      <c r="BCG117" s="30"/>
      <c r="BCH117" s="30"/>
      <c r="BCI117" s="30"/>
      <c r="BCJ117" s="30"/>
      <c r="BCK117" s="30"/>
      <c r="BCL117" s="30"/>
      <c r="BCM117" s="30"/>
      <c r="BCN117" s="30"/>
      <c r="BCO117" s="30"/>
      <c r="BCP117" s="30"/>
      <c r="BCQ117" s="30"/>
      <c r="BCR117" s="30"/>
      <c r="BCS117" s="30"/>
      <c r="BCT117" s="30"/>
      <c r="BCU117" s="30"/>
      <c r="BCV117" s="30"/>
      <c r="BCW117" s="30"/>
      <c r="BCX117" s="30"/>
      <c r="BCY117" s="30"/>
      <c r="BCZ117" s="30"/>
      <c r="BDA117" s="30"/>
      <c r="BDB117" s="30"/>
      <c r="BDC117" s="30"/>
      <c r="BDD117" s="30"/>
      <c r="BDE117" s="30"/>
      <c r="BDF117" s="30"/>
      <c r="BDG117" s="30"/>
      <c r="BDH117" s="30"/>
      <c r="BDI117" s="30"/>
      <c r="BDJ117" s="30"/>
      <c r="BDK117" s="30"/>
      <c r="BDL117" s="30"/>
      <c r="BDM117" s="30"/>
      <c r="BDN117" s="30"/>
      <c r="BDO117" s="30"/>
      <c r="BDP117" s="30"/>
      <c r="BDQ117" s="30"/>
      <c r="BDR117" s="30"/>
      <c r="BDS117" s="30"/>
      <c r="BDT117" s="30"/>
      <c r="BDU117" s="30"/>
      <c r="BDV117" s="30"/>
      <c r="BDW117" s="30"/>
      <c r="BDX117" s="30"/>
      <c r="BDY117" s="30"/>
      <c r="BDZ117" s="30"/>
      <c r="BEA117" s="30"/>
      <c r="BEB117" s="30"/>
      <c r="BEC117" s="30"/>
      <c r="BED117" s="30"/>
      <c r="BEE117" s="30"/>
      <c r="BEF117" s="30"/>
      <c r="BEG117" s="30"/>
      <c r="BEH117" s="30"/>
      <c r="BEI117" s="30"/>
      <c r="BEJ117" s="30"/>
      <c r="BEK117" s="30"/>
      <c r="BEL117" s="30"/>
      <c r="BEM117" s="30"/>
      <c r="BEN117" s="30"/>
      <c r="BEO117" s="30"/>
      <c r="BEP117" s="30"/>
      <c r="BEQ117" s="30"/>
      <c r="BER117" s="30"/>
      <c r="BES117" s="30"/>
      <c r="BET117" s="30"/>
      <c r="BEU117" s="30"/>
      <c r="BEV117" s="30"/>
      <c r="BEW117" s="30"/>
      <c r="BEX117" s="30"/>
      <c r="BEY117" s="30"/>
      <c r="BEZ117" s="30"/>
      <c r="BFA117" s="30"/>
      <c r="BFB117" s="30"/>
      <c r="BFC117" s="30"/>
      <c r="BFD117" s="30"/>
      <c r="BFE117" s="30"/>
      <c r="BFF117" s="30"/>
      <c r="BFG117" s="30"/>
      <c r="BFH117" s="30"/>
      <c r="BFI117" s="30"/>
      <c r="BFJ117" s="30"/>
      <c r="BFK117" s="30"/>
      <c r="BFL117" s="30"/>
      <c r="BFM117" s="30"/>
      <c r="BFN117" s="30"/>
      <c r="BFO117" s="30"/>
      <c r="BFP117" s="30"/>
      <c r="BFQ117" s="30"/>
      <c r="BFR117" s="30"/>
      <c r="BFS117" s="30"/>
      <c r="BFT117" s="30"/>
      <c r="BFU117" s="30"/>
      <c r="BFV117" s="30"/>
      <c r="BFW117" s="30"/>
      <c r="BFX117" s="30"/>
      <c r="BFY117" s="30"/>
      <c r="BFZ117" s="30"/>
      <c r="BGA117" s="30"/>
      <c r="BGB117" s="30"/>
      <c r="BGC117" s="30"/>
      <c r="BGD117" s="30"/>
      <c r="BGE117" s="30"/>
      <c r="BGF117" s="30"/>
      <c r="BGG117" s="30"/>
      <c r="BGH117" s="30"/>
      <c r="BGI117" s="30"/>
      <c r="BGJ117" s="30"/>
      <c r="BGK117" s="30"/>
      <c r="BGL117" s="30"/>
      <c r="BGM117" s="30"/>
      <c r="BGN117" s="30"/>
      <c r="BGO117" s="30"/>
      <c r="BGP117" s="30"/>
      <c r="BGQ117" s="30"/>
      <c r="BGR117" s="30"/>
      <c r="BGS117" s="30"/>
      <c r="BGT117" s="30"/>
      <c r="BGU117" s="30"/>
      <c r="BGV117" s="30"/>
      <c r="BGW117" s="30"/>
      <c r="BGX117" s="30"/>
      <c r="BGY117" s="30"/>
      <c r="BGZ117" s="30"/>
      <c r="BHA117" s="30"/>
      <c r="BHB117" s="30"/>
      <c r="BHC117" s="30"/>
      <c r="BHD117" s="30"/>
      <c r="BHE117" s="30"/>
      <c r="BHF117" s="30"/>
      <c r="BHG117" s="30"/>
      <c r="BHH117" s="30"/>
      <c r="BHI117" s="30"/>
      <c r="BHJ117" s="30"/>
      <c r="BHK117" s="30"/>
      <c r="BHL117" s="30"/>
      <c r="BHM117" s="30"/>
      <c r="BHN117" s="30"/>
      <c r="BHO117" s="30"/>
      <c r="BHP117" s="30"/>
      <c r="BHQ117" s="30"/>
      <c r="BHR117" s="30"/>
      <c r="BHS117" s="30"/>
      <c r="BHT117" s="30"/>
      <c r="BHU117" s="30"/>
      <c r="BHV117" s="30"/>
      <c r="BHW117" s="30"/>
      <c r="BHX117" s="30"/>
      <c r="BHY117" s="30"/>
      <c r="BHZ117" s="30"/>
      <c r="BIA117" s="30"/>
      <c r="BIB117" s="30"/>
      <c r="BIC117" s="30"/>
      <c r="BID117" s="30"/>
      <c r="BIE117" s="30"/>
      <c r="BIF117" s="30"/>
      <c r="BIG117" s="30"/>
      <c r="BIH117" s="30"/>
      <c r="BII117" s="30"/>
      <c r="BIJ117" s="30"/>
      <c r="BIK117" s="30"/>
      <c r="BIL117" s="30"/>
      <c r="BIM117" s="30"/>
      <c r="BIN117" s="30"/>
      <c r="BIO117" s="30"/>
      <c r="BIP117" s="30"/>
      <c r="BIQ117" s="30"/>
      <c r="BIR117" s="30"/>
      <c r="BIS117" s="30"/>
      <c r="BIT117" s="30"/>
      <c r="BIU117" s="30"/>
      <c r="BIV117" s="30"/>
      <c r="BIW117" s="30"/>
      <c r="BIX117" s="30"/>
      <c r="BIY117" s="30"/>
      <c r="BIZ117" s="30"/>
      <c r="BJA117" s="30"/>
      <c r="BJB117" s="30"/>
      <c r="BJC117" s="30"/>
      <c r="BJD117" s="30"/>
      <c r="BJE117" s="30"/>
      <c r="BJF117" s="30"/>
      <c r="BJG117" s="30"/>
      <c r="BJH117" s="30"/>
      <c r="BJI117" s="30"/>
      <c r="BJJ117" s="30"/>
      <c r="BJK117" s="30"/>
      <c r="BJL117" s="30"/>
      <c r="BJM117" s="30"/>
      <c r="BJN117" s="30"/>
      <c r="BJO117" s="30"/>
      <c r="BJP117" s="30"/>
      <c r="BJQ117" s="30"/>
      <c r="BJR117" s="30"/>
      <c r="BJS117" s="30"/>
      <c r="BJT117" s="30"/>
      <c r="BJU117" s="30"/>
      <c r="BJV117" s="30"/>
      <c r="BJW117" s="30"/>
      <c r="BJX117" s="30"/>
      <c r="BJY117" s="30"/>
      <c r="BJZ117" s="30"/>
      <c r="BKA117" s="30"/>
      <c r="BKB117" s="30"/>
      <c r="BKC117" s="30"/>
      <c r="BKD117" s="30"/>
      <c r="BKE117" s="30"/>
      <c r="BKF117" s="30"/>
      <c r="BKG117" s="30"/>
      <c r="BKH117" s="30"/>
      <c r="BKI117" s="30"/>
      <c r="BKJ117" s="30"/>
      <c r="BKK117" s="30"/>
      <c r="BKL117" s="30"/>
      <c r="BKM117" s="30"/>
      <c r="BKN117" s="30"/>
      <c r="BKO117" s="30"/>
      <c r="BKP117" s="30"/>
      <c r="BKQ117" s="30"/>
      <c r="BKR117" s="30"/>
      <c r="BKS117" s="30"/>
      <c r="BKT117" s="30"/>
      <c r="BKU117" s="30"/>
      <c r="BKV117" s="30"/>
      <c r="BKW117" s="30"/>
      <c r="BKX117" s="30"/>
      <c r="BKY117" s="30"/>
      <c r="BKZ117" s="30"/>
      <c r="BLA117" s="30"/>
      <c r="BLB117" s="30"/>
      <c r="BLC117" s="30"/>
      <c r="BLD117" s="30"/>
      <c r="BLE117" s="30"/>
      <c r="BLF117" s="30"/>
      <c r="BLG117" s="30"/>
      <c r="BLH117" s="30"/>
      <c r="BLI117" s="30"/>
      <c r="BLJ117" s="30"/>
      <c r="BLK117" s="30"/>
      <c r="BLL117" s="30"/>
      <c r="BLM117" s="30"/>
      <c r="BLN117" s="30"/>
      <c r="BLO117" s="30"/>
      <c r="BLP117" s="30"/>
      <c r="BLQ117" s="30"/>
      <c r="BLR117" s="30"/>
      <c r="BLS117" s="30"/>
      <c r="BLT117" s="30"/>
      <c r="BLU117" s="30"/>
      <c r="BLV117" s="30"/>
      <c r="BLW117" s="30"/>
      <c r="BLX117" s="30"/>
      <c r="BLY117" s="30"/>
      <c r="BLZ117" s="30"/>
      <c r="BMA117" s="30"/>
      <c r="BMB117" s="30"/>
      <c r="BMC117" s="30"/>
      <c r="BMD117" s="30"/>
      <c r="BME117" s="30"/>
      <c r="BMF117" s="30"/>
      <c r="BMG117" s="30"/>
      <c r="BMH117" s="30"/>
      <c r="BMI117" s="30"/>
      <c r="BMJ117" s="30"/>
      <c r="BMK117" s="30"/>
      <c r="BML117" s="30"/>
      <c r="BMM117" s="30"/>
      <c r="BMN117" s="30"/>
      <c r="BMO117" s="30"/>
      <c r="BMP117" s="30"/>
      <c r="BMQ117" s="30"/>
      <c r="BMR117" s="30"/>
      <c r="BMS117" s="30"/>
      <c r="BMT117" s="30"/>
      <c r="BMU117" s="30"/>
      <c r="BMV117" s="30"/>
      <c r="BMW117" s="30"/>
      <c r="BMX117" s="30"/>
      <c r="BMY117" s="30"/>
      <c r="BMZ117" s="30"/>
      <c r="BNA117" s="30"/>
      <c r="BNB117" s="30"/>
      <c r="BNC117" s="30"/>
      <c r="BND117" s="30"/>
      <c r="BNE117" s="30"/>
      <c r="BNF117" s="30"/>
      <c r="BNG117" s="30"/>
      <c r="BNH117" s="30"/>
      <c r="BNI117" s="30"/>
      <c r="BNJ117" s="30"/>
      <c r="BNK117" s="30"/>
      <c r="BNL117" s="30"/>
      <c r="BNM117" s="30"/>
      <c r="BNN117" s="30"/>
      <c r="BNO117" s="30"/>
      <c r="BNP117" s="30"/>
      <c r="BNQ117" s="30"/>
      <c r="BNR117" s="30"/>
      <c r="BNS117" s="30"/>
      <c r="BNT117" s="30"/>
      <c r="BNU117" s="30"/>
      <c r="BNV117" s="30"/>
      <c r="BNW117" s="30"/>
      <c r="BNX117" s="30"/>
      <c r="BNY117" s="30"/>
      <c r="BNZ117" s="30"/>
      <c r="BOA117" s="30"/>
      <c r="BOB117" s="30"/>
      <c r="BOC117" s="30"/>
      <c r="BOD117" s="30"/>
      <c r="BOE117" s="30"/>
      <c r="BOF117" s="30"/>
      <c r="BOG117" s="30"/>
      <c r="BOH117" s="30"/>
      <c r="BOI117" s="30"/>
      <c r="BOJ117" s="30"/>
      <c r="BOK117" s="30"/>
      <c r="BOL117" s="30"/>
      <c r="BOM117" s="30"/>
      <c r="BON117" s="30"/>
      <c r="BOO117" s="30"/>
      <c r="BOP117" s="30"/>
      <c r="BOQ117" s="30"/>
      <c r="BOR117" s="30"/>
      <c r="BOS117" s="30"/>
      <c r="BOT117" s="30"/>
      <c r="BOU117" s="30"/>
      <c r="BOV117" s="30"/>
      <c r="BOW117" s="30"/>
      <c r="BOX117" s="30"/>
      <c r="BOY117" s="30"/>
      <c r="BOZ117" s="30"/>
      <c r="BPA117" s="30"/>
      <c r="BPB117" s="30"/>
      <c r="BPC117" s="30"/>
      <c r="BPD117" s="30"/>
      <c r="BPE117" s="30"/>
      <c r="BPF117" s="30"/>
      <c r="BPG117" s="30"/>
      <c r="BPH117" s="30"/>
      <c r="BPI117" s="30"/>
      <c r="BPJ117" s="30"/>
      <c r="BPK117" s="30"/>
      <c r="BPL117" s="30"/>
      <c r="BPM117" s="30"/>
      <c r="BPN117" s="30"/>
      <c r="BPO117" s="30"/>
      <c r="BPP117" s="30"/>
      <c r="BPQ117" s="30"/>
      <c r="BPR117" s="30"/>
      <c r="BPS117" s="30"/>
      <c r="BPT117" s="30"/>
      <c r="BPU117" s="30"/>
      <c r="BPV117" s="30"/>
      <c r="BPW117" s="30"/>
      <c r="BPX117" s="30"/>
      <c r="BPY117" s="30"/>
      <c r="BPZ117" s="30"/>
      <c r="BQA117" s="30"/>
      <c r="BQB117" s="30"/>
      <c r="BQC117" s="30"/>
      <c r="BQD117" s="30"/>
      <c r="BQE117" s="30"/>
      <c r="BQF117" s="30"/>
      <c r="BQG117" s="30"/>
      <c r="BQH117" s="30"/>
      <c r="BQI117" s="30"/>
      <c r="BQJ117" s="30"/>
      <c r="BQK117" s="30"/>
      <c r="BQL117" s="30"/>
      <c r="BQM117" s="30"/>
      <c r="BQN117" s="30"/>
      <c r="BQO117" s="30"/>
      <c r="BQP117" s="30"/>
      <c r="BQQ117" s="30"/>
      <c r="BQR117" s="30"/>
      <c r="BQS117" s="30"/>
      <c r="BQT117" s="30"/>
      <c r="BQU117" s="30"/>
      <c r="BQV117" s="30"/>
      <c r="BQW117" s="30"/>
      <c r="BQX117" s="30"/>
      <c r="BQY117" s="30"/>
      <c r="BQZ117" s="30"/>
      <c r="BRA117" s="30"/>
      <c r="BRB117" s="30"/>
      <c r="BRC117" s="30"/>
      <c r="BRD117" s="30"/>
      <c r="BRE117" s="30"/>
      <c r="BRF117" s="30"/>
      <c r="BRG117" s="30"/>
      <c r="BRH117" s="30"/>
      <c r="BRI117" s="30"/>
      <c r="BRJ117" s="30"/>
      <c r="BRK117" s="30"/>
      <c r="BRL117" s="30"/>
      <c r="BRM117" s="30"/>
      <c r="BRN117" s="30"/>
      <c r="BRO117" s="30"/>
      <c r="BRP117" s="30"/>
      <c r="BRQ117" s="30"/>
      <c r="BRR117" s="30"/>
      <c r="BRS117" s="30"/>
      <c r="BRT117" s="30"/>
      <c r="BRU117" s="30"/>
      <c r="BRV117" s="30"/>
      <c r="BRW117" s="30"/>
      <c r="BRX117" s="30"/>
      <c r="BRY117" s="30"/>
      <c r="BRZ117" s="30"/>
      <c r="BSA117" s="30"/>
      <c r="BSB117" s="30"/>
      <c r="BSC117" s="30"/>
      <c r="BSD117" s="30"/>
      <c r="BSE117" s="30"/>
      <c r="BSF117" s="30"/>
      <c r="BSG117" s="30"/>
      <c r="BSH117" s="30"/>
      <c r="BSI117" s="30"/>
      <c r="BSJ117" s="30"/>
      <c r="BSK117" s="30"/>
      <c r="BSL117" s="30"/>
      <c r="BSM117" s="30"/>
      <c r="BSN117" s="30"/>
      <c r="BSO117" s="30"/>
      <c r="BSP117" s="30"/>
      <c r="BSQ117" s="30"/>
      <c r="BSR117" s="30"/>
      <c r="BSS117" s="30"/>
      <c r="BST117" s="30"/>
      <c r="BSU117" s="30"/>
      <c r="BSV117" s="30"/>
      <c r="BSW117" s="30"/>
      <c r="BSX117" s="30"/>
      <c r="BSY117" s="30"/>
      <c r="BSZ117" s="30"/>
      <c r="BTA117" s="30"/>
      <c r="BTB117" s="30"/>
      <c r="BTC117" s="30"/>
      <c r="BTD117" s="30"/>
      <c r="BTE117" s="30"/>
      <c r="BTF117" s="30"/>
      <c r="BTG117" s="30"/>
      <c r="BTH117" s="30"/>
      <c r="BTI117" s="30"/>
      <c r="BTJ117" s="30"/>
      <c r="BTK117" s="30"/>
      <c r="BTL117" s="30"/>
      <c r="BTM117" s="30"/>
      <c r="BTN117" s="30"/>
      <c r="BTO117" s="30"/>
      <c r="BTP117" s="30"/>
      <c r="BTQ117" s="30"/>
      <c r="BTR117" s="30"/>
      <c r="BTS117" s="30"/>
      <c r="BTT117" s="30"/>
      <c r="BTU117" s="30"/>
      <c r="BTV117" s="30"/>
      <c r="BTW117" s="30"/>
      <c r="BTX117" s="30"/>
      <c r="BTY117" s="30"/>
      <c r="BTZ117" s="30"/>
      <c r="BUA117" s="30"/>
      <c r="BUB117" s="30"/>
      <c r="BUC117" s="30"/>
      <c r="BUD117" s="30"/>
      <c r="BUE117" s="30"/>
      <c r="BUF117" s="30"/>
      <c r="BUG117" s="30"/>
      <c r="BUH117" s="30"/>
      <c r="BUI117" s="30"/>
      <c r="BUJ117" s="30"/>
      <c r="BUK117" s="30"/>
      <c r="BUL117" s="30"/>
      <c r="BUM117" s="30"/>
      <c r="BUN117" s="30"/>
      <c r="BUO117" s="30"/>
      <c r="BUP117" s="30"/>
      <c r="BUQ117" s="30"/>
      <c r="BUR117" s="30"/>
      <c r="BUS117" s="30"/>
      <c r="BUT117" s="30"/>
      <c r="BUU117" s="30"/>
      <c r="BUV117" s="30"/>
      <c r="BUW117" s="30"/>
      <c r="BUX117" s="30"/>
      <c r="BUY117" s="30"/>
      <c r="BUZ117" s="30"/>
      <c r="BVA117" s="30"/>
      <c r="BVB117" s="30"/>
      <c r="BVC117" s="30"/>
      <c r="BVD117" s="30"/>
      <c r="BVE117" s="30"/>
      <c r="BVF117" s="30"/>
      <c r="BVG117" s="30"/>
      <c r="BVH117" s="30"/>
      <c r="BVI117" s="30"/>
      <c r="BVJ117" s="30"/>
      <c r="BVK117" s="30"/>
      <c r="BVL117" s="30"/>
      <c r="BVM117" s="30"/>
      <c r="BVN117" s="30"/>
      <c r="BVO117" s="30"/>
      <c r="BVP117" s="30"/>
      <c r="BVQ117" s="30"/>
      <c r="BVR117" s="30"/>
      <c r="BVS117" s="30"/>
      <c r="BVT117" s="30"/>
      <c r="BVU117" s="30"/>
      <c r="BVV117" s="30"/>
      <c r="BVW117" s="30"/>
      <c r="BVX117" s="30"/>
      <c r="BVY117" s="30"/>
      <c r="BVZ117" s="30"/>
      <c r="BWA117" s="30"/>
      <c r="BWB117" s="30"/>
      <c r="BWC117" s="30"/>
      <c r="BWD117" s="30"/>
      <c r="BWE117" s="30"/>
      <c r="BWF117" s="30"/>
      <c r="BWG117" s="30"/>
      <c r="BWH117" s="30"/>
      <c r="BWI117" s="30"/>
      <c r="BWJ117" s="30"/>
      <c r="BWK117" s="30"/>
      <c r="BWL117" s="30"/>
      <c r="BWM117" s="30"/>
      <c r="BWN117" s="30"/>
      <c r="BWO117" s="30"/>
      <c r="BWP117" s="30"/>
      <c r="BWQ117" s="30"/>
      <c r="BWR117" s="30"/>
      <c r="BWS117" s="30"/>
      <c r="BWT117" s="30"/>
      <c r="BWU117" s="30"/>
      <c r="BWV117" s="30"/>
      <c r="BWW117" s="30"/>
      <c r="BWX117" s="30"/>
      <c r="BWY117" s="30"/>
      <c r="BWZ117" s="30"/>
      <c r="BXA117" s="30"/>
      <c r="BXB117" s="30"/>
      <c r="BXC117" s="30"/>
      <c r="BXD117" s="30"/>
      <c r="BXE117" s="30"/>
      <c r="BXF117" s="30"/>
      <c r="BXG117" s="30"/>
      <c r="BXH117" s="30"/>
      <c r="BXI117" s="30"/>
      <c r="BXJ117" s="30"/>
      <c r="BXK117" s="30"/>
      <c r="BXL117" s="30"/>
      <c r="BXM117" s="30"/>
      <c r="BXN117" s="30"/>
      <c r="BXO117" s="30"/>
      <c r="BXP117" s="30"/>
      <c r="BXQ117" s="30"/>
      <c r="BXR117" s="30"/>
      <c r="BXS117" s="30"/>
      <c r="BXT117" s="30"/>
      <c r="BXU117" s="30"/>
      <c r="BXV117" s="30"/>
      <c r="BXW117" s="30"/>
      <c r="BXX117" s="30"/>
      <c r="BXY117" s="30"/>
      <c r="BXZ117" s="30"/>
      <c r="BYA117" s="30"/>
      <c r="BYB117" s="30"/>
      <c r="BYC117" s="30"/>
      <c r="BYD117" s="30"/>
      <c r="BYE117" s="30"/>
      <c r="BYF117" s="30"/>
      <c r="BYG117" s="30"/>
      <c r="BYH117" s="30"/>
      <c r="BYI117" s="30"/>
      <c r="BYJ117" s="30"/>
      <c r="BYK117" s="30"/>
      <c r="BYL117" s="30"/>
      <c r="BYM117" s="30"/>
      <c r="BYN117" s="30"/>
      <c r="BYO117" s="30"/>
      <c r="BYP117" s="30"/>
      <c r="BYQ117" s="30"/>
      <c r="BYR117" s="30"/>
      <c r="BYS117" s="30"/>
      <c r="BYT117" s="30"/>
      <c r="BYU117" s="30"/>
      <c r="BYV117" s="30"/>
      <c r="BYW117" s="30"/>
      <c r="BYX117" s="30"/>
      <c r="BYY117" s="30"/>
      <c r="BYZ117" s="30"/>
      <c r="BZA117" s="30"/>
      <c r="BZB117" s="30"/>
      <c r="BZC117" s="30"/>
      <c r="BZD117" s="30"/>
      <c r="BZE117" s="30"/>
      <c r="BZF117" s="30"/>
      <c r="BZG117" s="30"/>
      <c r="BZH117" s="30"/>
      <c r="BZI117" s="30"/>
      <c r="BZJ117" s="30"/>
      <c r="BZK117" s="30"/>
      <c r="BZL117" s="30"/>
      <c r="BZM117" s="30"/>
      <c r="BZN117" s="30"/>
      <c r="BZO117" s="30"/>
      <c r="BZP117" s="30"/>
      <c r="BZQ117" s="30"/>
      <c r="BZR117" s="30"/>
      <c r="BZS117" s="30"/>
      <c r="BZT117" s="30"/>
      <c r="BZU117" s="30"/>
      <c r="BZV117" s="30"/>
      <c r="BZW117" s="30"/>
      <c r="BZX117" s="30"/>
      <c r="BZY117" s="30"/>
      <c r="BZZ117" s="30"/>
      <c r="CAA117" s="30"/>
      <c r="CAB117" s="30"/>
      <c r="CAC117" s="30"/>
      <c r="CAD117" s="30"/>
      <c r="CAE117" s="30"/>
      <c r="CAF117" s="30"/>
      <c r="CAG117" s="30"/>
      <c r="CAH117" s="30"/>
      <c r="CAI117" s="30"/>
      <c r="CAJ117" s="30"/>
      <c r="CAK117" s="30"/>
      <c r="CAL117" s="30"/>
      <c r="CAM117" s="30"/>
      <c r="CAN117" s="30"/>
      <c r="CAO117" s="30"/>
      <c r="CAP117" s="30"/>
      <c r="CAQ117" s="30"/>
      <c r="CAR117" s="30"/>
      <c r="CAS117" s="30"/>
      <c r="CAT117" s="30"/>
      <c r="CAU117" s="30"/>
      <c r="CAV117" s="30"/>
      <c r="CAW117" s="30"/>
      <c r="CAX117" s="30"/>
      <c r="CAY117" s="30"/>
      <c r="CAZ117" s="30"/>
      <c r="CBA117" s="30"/>
      <c r="CBB117" s="30"/>
      <c r="CBC117" s="30"/>
      <c r="CBD117" s="30"/>
      <c r="CBE117" s="30"/>
      <c r="CBF117" s="30"/>
      <c r="CBG117" s="30"/>
      <c r="CBH117" s="30"/>
      <c r="CBI117" s="30"/>
      <c r="CBJ117" s="30"/>
      <c r="CBK117" s="30"/>
      <c r="CBL117" s="30"/>
      <c r="CBM117" s="30"/>
      <c r="CBN117" s="30"/>
      <c r="CBO117" s="30"/>
      <c r="CBP117" s="30"/>
      <c r="CBQ117" s="30"/>
      <c r="CBR117" s="30"/>
      <c r="CBS117" s="30"/>
      <c r="CBT117" s="30"/>
      <c r="CBU117" s="30"/>
      <c r="CBV117" s="30"/>
      <c r="CBW117" s="30"/>
      <c r="CBX117" s="30"/>
      <c r="CBY117" s="30"/>
      <c r="CBZ117" s="30"/>
      <c r="CCA117" s="30"/>
      <c r="CCB117" s="30"/>
      <c r="CCC117" s="30"/>
      <c r="CCD117" s="30"/>
      <c r="CCE117" s="30"/>
      <c r="CCF117" s="30"/>
      <c r="CCG117" s="30"/>
      <c r="CCH117" s="30"/>
      <c r="CCI117" s="30"/>
      <c r="CCJ117" s="30"/>
      <c r="CCK117" s="30"/>
      <c r="CCL117" s="30"/>
      <c r="CCM117" s="30"/>
      <c r="CCN117" s="30"/>
      <c r="CCO117" s="30"/>
      <c r="CCP117" s="30"/>
      <c r="CCQ117" s="30"/>
      <c r="CCR117" s="30"/>
      <c r="CCS117" s="30"/>
      <c r="CCT117" s="30"/>
      <c r="CCU117" s="30"/>
      <c r="CCV117" s="30"/>
      <c r="CCW117" s="30"/>
      <c r="CCX117" s="30"/>
      <c r="CCY117" s="30"/>
      <c r="CCZ117" s="30"/>
      <c r="CDA117" s="30"/>
      <c r="CDB117" s="30"/>
      <c r="CDC117" s="30"/>
      <c r="CDD117" s="30"/>
      <c r="CDE117" s="30"/>
      <c r="CDF117" s="30"/>
      <c r="CDG117" s="30"/>
      <c r="CDH117" s="30"/>
      <c r="CDI117" s="30"/>
      <c r="CDJ117" s="30"/>
      <c r="CDK117" s="30"/>
      <c r="CDL117" s="30"/>
      <c r="CDM117" s="30"/>
      <c r="CDN117" s="30"/>
      <c r="CDO117" s="30"/>
      <c r="CDP117" s="30"/>
      <c r="CDQ117" s="30"/>
      <c r="CDR117" s="30"/>
      <c r="CDS117" s="30"/>
      <c r="CDT117" s="30"/>
      <c r="CDU117" s="30"/>
      <c r="CDV117" s="30"/>
      <c r="CDW117" s="30"/>
      <c r="CDX117" s="30"/>
      <c r="CDY117" s="30"/>
      <c r="CDZ117" s="30"/>
      <c r="CEA117" s="30"/>
      <c r="CEB117" s="30"/>
      <c r="CEC117" s="30"/>
      <c r="CED117" s="30"/>
      <c r="CEE117" s="30"/>
      <c r="CEF117" s="30"/>
      <c r="CEG117" s="30"/>
      <c r="CEH117" s="30"/>
      <c r="CEI117" s="30"/>
      <c r="CEJ117" s="30"/>
      <c r="CEK117" s="30"/>
      <c r="CEL117" s="30"/>
      <c r="CEM117" s="30"/>
      <c r="CEN117" s="30"/>
      <c r="CEO117" s="30"/>
      <c r="CEP117" s="30"/>
      <c r="CEQ117" s="30"/>
      <c r="CER117" s="30"/>
      <c r="CES117" s="30"/>
      <c r="CET117" s="30"/>
      <c r="CEU117" s="30"/>
      <c r="CEV117" s="30"/>
      <c r="CEW117" s="30"/>
      <c r="CEX117" s="30"/>
      <c r="CEY117" s="30"/>
      <c r="CEZ117" s="30"/>
      <c r="CFA117" s="30"/>
      <c r="CFB117" s="30"/>
      <c r="CFC117" s="30"/>
      <c r="CFD117" s="30"/>
      <c r="CFE117" s="30"/>
      <c r="CFF117" s="30"/>
      <c r="CFG117" s="30"/>
      <c r="CFH117" s="30"/>
      <c r="CFI117" s="30"/>
      <c r="CFJ117" s="30"/>
      <c r="CFK117" s="30"/>
      <c r="CFL117" s="30"/>
      <c r="CFM117" s="30"/>
      <c r="CFN117" s="30"/>
      <c r="CFO117" s="30"/>
      <c r="CFP117" s="30"/>
      <c r="CFQ117" s="30"/>
      <c r="CFR117" s="30"/>
      <c r="CFS117" s="30"/>
      <c r="CFT117" s="30"/>
      <c r="CFU117" s="30"/>
      <c r="CFV117" s="30"/>
      <c r="CFW117" s="30"/>
      <c r="CFX117" s="30"/>
      <c r="CFY117" s="30"/>
      <c r="CFZ117" s="30"/>
      <c r="CGA117" s="30"/>
      <c r="CGB117" s="30"/>
      <c r="CGC117" s="30"/>
      <c r="CGD117" s="30"/>
      <c r="CGE117" s="30"/>
      <c r="CGF117" s="30"/>
      <c r="CGG117" s="30"/>
      <c r="CGH117" s="30"/>
      <c r="CGI117" s="30"/>
      <c r="CGJ117" s="30"/>
      <c r="CGK117" s="30"/>
      <c r="CGL117" s="30"/>
      <c r="CGM117" s="30"/>
      <c r="CGN117" s="30"/>
      <c r="CGO117" s="30"/>
      <c r="CGP117" s="30"/>
      <c r="CGQ117" s="30"/>
      <c r="CGR117" s="30"/>
      <c r="CGS117" s="30"/>
      <c r="CGT117" s="30"/>
      <c r="CGU117" s="30"/>
      <c r="CGV117" s="30"/>
      <c r="CGW117" s="30"/>
      <c r="CGX117" s="30"/>
      <c r="CGY117" s="30"/>
      <c r="CGZ117" s="30"/>
      <c r="CHA117" s="30"/>
      <c r="CHB117" s="30"/>
      <c r="CHC117" s="30"/>
      <c r="CHD117" s="30"/>
      <c r="CHE117" s="30"/>
      <c r="CHF117" s="30"/>
      <c r="CHG117" s="30"/>
      <c r="CHH117" s="30"/>
      <c r="CHI117" s="30"/>
      <c r="CHJ117" s="30"/>
      <c r="CHK117" s="30"/>
      <c r="CHL117" s="30"/>
      <c r="CHM117" s="30"/>
      <c r="CHN117" s="30"/>
      <c r="CHO117" s="30"/>
      <c r="CHP117" s="30"/>
      <c r="CHQ117" s="30"/>
      <c r="CHR117" s="30"/>
      <c r="CHS117" s="30"/>
      <c r="CHT117" s="30"/>
      <c r="CHU117" s="30"/>
      <c r="CHV117" s="30"/>
      <c r="CHW117" s="30"/>
      <c r="CHX117" s="30"/>
      <c r="CHY117" s="30"/>
      <c r="CHZ117" s="30"/>
      <c r="CIA117" s="30"/>
      <c r="CIB117" s="30"/>
      <c r="CIC117" s="30"/>
      <c r="CID117" s="30"/>
      <c r="CIE117" s="30"/>
      <c r="CIF117" s="30"/>
      <c r="CIG117" s="30"/>
      <c r="CIH117" s="30"/>
      <c r="CII117" s="30"/>
      <c r="CIJ117" s="30"/>
      <c r="CIK117" s="30"/>
      <c r="CIL117" s="30"/>
      <c r="CIM117" s="30"/>
      <c r="CIN117" s="30"/>
      <c r="CIO117" s="30"/>
      <c r="CIP117" s="30"/>
      <c r="CIQ117" s="30"/>
      <c r="CIR117" s="30"/>
      <c r="CIS117" s="30"/>
      <c r="CIT117" s="30"/>
      <c r="CIU117" s="30"/>
      <c r="CIV117" s="30"/>
      <c r="CIW117" s="30"/>
      <c r="CIX117" s="30"/>
      <c r="CIY117" s="30"/>
      <c r="CIZ117" s="30"/>
      <c r="CJA117" s="30"/>
      <c r="CJB117" s="30"/>
      <c r="CJC117" s="30"/>
      <c r="CJD117" s="30"/>
      <c r="CJE117" s="30"/>
      <c r="CJF117" s="30"/>
      <c r="CJG117" s="30"/>
      <c r="CJH117" s="30"/>
      <c r="CJI117" s="30"/>
      <c r="CJJ117" s="30"/>
      <c r="CJK117" s="30"/>
      <c r="CJL117" s="30"/>
      <c r="CJM117" s="30"/>
      <c r="CJN117" s="30"/>
      <c r="CJO117" s="30"/>
      <c r="CJP117" s="30"/>
      <c r="CJQ117" s="30"/>
      <c r="CJR117" s="30"/>
      <c r="CJS117" s="30"/>
      <c r="CJT117" s="30"/>
      <c r="CJU117" s="30"/>
      <c r="CJV117" s="30"/>
      <c r="CJW117" s="30"/>
      <c r="CJX117" s="30"/>
      <c r="CJY117" s="30"/>
      <c r="CJZ117" s="30"/>
      <c r="CKA117" s="30"/>
      <c r="CKB117" s="30"/>
      <c r="CKC117" s="30"/>
      <c r="CKD117" s="30"/>
      <c r="CKE117" s="30"/>
      <c r="CKF117" s="30"/>
      <c r="CKG117" s="30"/>
      <c r="CKH117" s="30"/>
      <c r="CKI117" s="30"/>
      <c r="CKJ117" s="30"/>
      <c r="CKK117" s="30"/>
      <c r="CKL117" s="30"/>
      <c r="CKM117" s="30"/>
      <c r="CKN117" s="30"/>
      <c r="CKO117" s="30"/>
      <c r="CKP117" s="30"/>
      <c r="CKQ117" s="30"/>
      <c r="CKR117" s="30"/>
      <c r="CKS117" s="30"/>
      <c r="CKT117" s="30"/>
      <c r="CKU117" s="30"/>
      <c r="CKV117" s="30"/>
      <c r="CKW117" s="30"/>
      <c r="CKX117" s="30"/>
      <c r="CKY117" s="30"/>
      <c r="CKZ117" s="30"/>
      <c r="CLA117" s="30"/>
      <c r="CLB117" s="30"/>
      <c r="CLC117" s="30"/>
      <c r="CLD117" s="30"/>
      <c r="CLE117" s="30"/>
      <c r="CLF117" s="30"/>
      <c r="CLG117" s="30"/>
      <c r="CLH117" s="30"/>
      <c r="CLI117" s="30"/>
      <c r="CLJ117" s="30"/>
      <c r="CLK117" s="30"/>
      <c r="CLL117" s="30"/>
      <c r="CLM117" s="30"/>
      <c r="CLN117" s="30"/>
      <c r="CLO117" s="30"/>
      <c r="CLP117" s="30"/>
      <c r="CLQ117" s="30"/>
      <c r="CLR117" s="30"/>
      <c r="CLS117" s="30"/>
      <c r="CLT117" s="30"/>
      <c r="CLU117" s="30"/>
      <c r="CLV117" s="30"/>
      <c r="CLW117" s="30"/>
      <c r="CLX117" s="30"/>
      <c r="CLY117" s="30"/>
      <c r="CLZ117" s="30"/>
      <c r="CMA117" s="30"/>
      <c r="CMB117" s="30"/>
      <c r="CMC117" s="30"/>
      <c r="CMD117" s="30"/>
      <c r="CME117" s="30"/>
      <c r="CMF117" s="30"/>
      <c r="CMG117" s="30"/>
      <c r="CMH117" s="30"/>
      <c r="CMI117" s="30"/>
      <c r="CMJ117" s="30"/>
      <c r="CMK117" s="30"/>
      <c r="CML117" s="30"/>
      <c r="CMM117" s="30"/>
      <c r="CMN117" s="30"/>
      <c r="CMO117" s="30"/>
      <c r="CMP117" s="30"/>
      <c r="CMQ117" s="30"/>
      <c r="CMR117" s="30"/>
      <c r="CMS117" s="30"/>
      <c r="CMT117" s="30"/>
      <c r="CMU117" s="30"/>
      <c r="CMV117" s="30"/>
      <c r="CMW117" s="30"/>
      <c r="CMX117" s="30"/>
      <c r="CMY117" s="30"/>
      <c r="CMZ117" s="30"/>
      <c r="CNA117" s="30"/>
      <c r="CNB117" s="30"/>
      <c r="CNC117" s="30"/>
      <c r="CND117" s="30"/>
      <c r="CNE117" s="30"/>
      <c r="CNF117" s="30"/>
      <c r="CNG117" s="30"/>
      <c r="CNH117" s="30"/>
      <c r="CNI117" s="30"/>
      <c r="CNJ117" s="30"/>
      <c r="CNK117" s="30"/>
      <c r="CNL117" s="30"/>
      <c r="CNM117" s="30"/>
      <c r="CNN117" s="30"/>
      <c r="CNO117" s="30"/>
      <c r="CNP117" s="30"/>
      <c r="CNQ117" s="30"/>
      <c r="CNR117" s="30"/>
      <c r="CNS117" s="30"/>
      <c r="CNT117" s="30"/>
      <c r="CNU117" s="30"/>
      <c r="CNV117" s="30"/>
      <c r="CNW117" s="30"/>
      <c r="CNX117" s="30"/>
      <c r="CNY117" s="30"/>
      <c r="CNZ117" s="30"/>
      <c r="COA117" s="30"/>
      <c r="COB117" s="30"/>
      <c r="COC117" s="30"/>
      <c r="COD117" s="30"/>
      <c r="COE117" s="30"/>
      <c r="COF117" s="30"/>
      <c r="COG117" s="30"/>
      <c r="COH117" s="30"/>
      <c r="COI117" s="30"/>
      <c r="COJ117" s="30"/>
      <c r="COK117" s="30"/>
      <c r="COL117" s="30"/>
      <c r="COM117" s="30"/>
      <c r="CON117" s="30"/>
      <c r="COO117" s="30"/>
      <c r="COP117" s="30"/>
      <c r="COQ117" s="30"/>
      <c r="COR117" s="30"/>
      <c r="COS117" s="30"/>
      <c r="COT117" s="30"/>
      <c r="COU117" s="30"/>
      <c r="COV117" s="30"/>
      <c r="COW117" s="30"/>
      <c r="COX117" s="30"/>
      <c r="COY117" s="30"/>
      <c r="COZ117" s="30"/>
      <c r="CPA117" s="30"/>
      <c r="CPB117" s="30"/>
      <c r="CPC117" s="30"/>
      <c r="CPD117" s="30"/>
      <c r="CPE117" s="30"/>
      <c r="CPF117" s="30"/>
      <c r="CPG117" s="30"/>
      <c r="CPH117" s="30"/>
      <c r="CPI117" s="30"/>
      <c r="CPJ117" s="30"/>
      <c r="CPK117" s="30"/>
      <c r="CPL117" s="30"/>
      <c r="CPM117" s="30"/>
      <c r="CPN117" s="30"/>
      <c r="CPO117" s="30"/>
      <c r="CPP117" s="30"/>
      <c r="CPQ117" s="30"/>
      <c r="CPR117" s="30"/>
      <c r="CPS117" s="30"/>
      <c r="CPT117" s="30"/>
      <c r="CPU117" s="30"/>
      <c r="CPV117" s="30"/>
      <c r="CPW117" s="30"/>
      <c r="CPX117" s="30"/>
      <c r="CPY117" s="30"/>
      <c r="CPZ117" s="30"/>
      <c r="CQA117" s="30"/>
      <c r="CQB117" s="30"/>
      <c r="CQC117" s="30"/>
      <c r="CQD117" s="30"/>
      <c r="CQE117" s="30"/>
      <c r="CQF117" s="30"/>
      <c r="CQG117" s="30"/>
      <c r="CQH117" s="30"/>
      <c r="CQI117" s="30"/>
      <c r="CQJ117" s="30"/>
      <c r="CQK117" s="30"/>
      <c r="CQL117" s="30"/>
      <c r="CQM117" s="30"/>
      <c r="CQN117" s="30"/>
      <c r="CQO117" s="30"/>
      <c r="CQP117" s="30"/>
      <c r="CQQ117" s="30"/>
      <c r="CQR117" s="30"/>
      <c r="CQS117" s="30"/>
      <c r="CQT117" s="30"/>
      <c r="CQU117" s="30"/>
      <c r="CQV117" s="30"/>
      <c r="CQW117" s="30"/>
      <c r="CQX117" s="30"/>
      <c r="CQY117" s="30"/>
      <c r="CQZ117" s="30"/>
      <c r="CRA117" s="30"/>
      <c r="CRB117" s="30"/>
      <c r="CRC117" s="30"/>
      <c r="CRD117" s="30"/>
      <c r="CRE117" s="30"/>
      <c r="CRF117" s="30"/>
      <c r="CRG117" s="30"/>
      <c r="CRH117" s="30"/>
      <c r="CRI117" s="30"/>
      <c r="CRJ117" s="30"/>
      <c r="CRK117" s="30"/>
      <c r="CRL117" s="30"/>
      <c r="CRM117" s="30"/>
      <c r="CRN117" s="30"/>
      <c r="CRO117" s="30"/>
      <c r="CRP117" s="30"/>
      <c r="CRQ117" s="30"/>
      <c r="CRR117" s="30"/>
      <c r="CRS117" s="30"/>
      <c r="CRT117" s="30"/>
      <c r="CRU117" s="30"/>
      <c r="CRV117" s="30"/>
      <c r="CRW117" s="30"/>
      <c r="CRX117" s="30"/>
      <c r="CRY117" s="30"/>
      <c r="CRZ117" s="30"/>
      <c r="CSA117" s="30"/>
      <c r="CSB117" s="30"/>
      <c r="CSC117" s="30"/>
      <c r="CSD117" s="30"/>
      <c r="CSE117" s="30"/>
      <c r="CSF117" s="30"/>
      <c r="CSG117" s="30"/>
      <c r="CSH117" s="30"/>
      <c r="CSI117" s="30"/>
      <c r="CSJ117" s="30"/>
      <c r="CSK117" s="30"/>
      <c r="CSL117" s="30"/>
      <c r="CSM117" s="30"/>
      <c r="CSN117" s="30"/>
      <c r="CSO117" s="30"/>
      <c r="CSP117" s="30"/>
      <c r="CSQ117" s="30"/>
      <c r="CSR117" s="30"/>
      <c r="CSS117" s="30"/>
      <c r="CST117" s="30"/>
      <c r="CSU117" s="30"/>
      <c r="CSV117" s="30"/>
      <c r="CSW117" s="30"/>
      <c r="CSX117" s="30"/>
      <c r="CSY117" s="30"/>
      <c r="CSZ117" s="30"/>
      <c r="CTA117" s="30"/>
      <c r="CTB117" s="30"/>
      <c r="CTC117" s="30"/>
      <c r="CTD117" s="30"/>
      <c r="CTE117" s="30"/>
      <c r="CTF117" s="30"/>
      <c r="CTG117" s="30"/>
      <c r="CTH117" s="30"/>
      <c r="CTI117" s="30"/>
      <c r="CTJ117" s="30"/>
      <c r="CTK117" s="30"/>
      <c r="CTL117" s="30"/>
      <c r="CTM117" s="30"/>
      <c r="CTN117" s="30"/>
      <c r="CTO117" s="30"/>
      <c r="CTP117" s="30"/>
      <c r="CTQ117" s="30"/>
      <c r="CTR117" s="30"/>
      <c r="CTS117" s="30"/>
      <c r="CTT117" s="30"/>
      <c r="CTU117" s="30"/>
      <c r="CTV117" s="30"/>
      <c r="CTW117" s="30"/>
      <c r="CTX117" s="30"/>
      <c r="CTY117" s="30"/>
      <c r="CTZ117" s="30"/>
      <c r="CUA117" s="30"/>
    </row>
    <row r="118" s="267" customFormat="1" ht="23" customHeight="1" spans="1:2575">
      <c r="A118" s="268">
        <v>124</v>
      </c>
      <c r="B118" s="268" t="s">
        <v>15</v>
      </c>
      <c r="C118" s="268" t="s">
        <v>37</v>
      </c>
      <c r="D118" s="82" t="s">
        <v>675</v>
      </c>
      <c r="E118" s="29" t="s">
        <v>945</v>
      </c>
      <c r="F118" s="31"/>
      <c r="G118" s="31" t="s">
        <v>946</v>
      </c>
      <c r="H118" s="32">
        <v>23072857</v>
      </c>
      <c r="I118" s="119"/>
      <c r="J118" s="31"/>
      <c r="K118" s="31"/>
      <c r="L118" s="29" t="s">
        <v>673</v>
      </c>
      <c r="M118" s="29" t="s">
        <v>677</v>
      </c>
      <c r="N118" s="94">
        <v>45826</v>
      </c>
      <c r="O118" s="317">
        <v>46190</v>
      </c>
      <c r="P118" s="142"/>
      <c r="Q118" s="251"/>
      <c r="R118" s="85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  <c r="FS118" s="30"/>
      <c r="FT118" s="30"/>
      <c r="FU118" s="30"/>
      <c r="FV118" s="30"/>
      <c r="FW118" s="3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0"/>
      <c r="GT118" s="30"/>
      <c r="GU118" s="30"/>
      <c r="GV118" s="30"/>
      <c r="GW118" s="30"/>
      <c r="GX118" s="30"/>
      <c r="GY118" s="30"/>
      <c r="GZ118" s="30"/>
      <c r="HA118" s="30"/>
      <c r="HB118" s="30"/>
      <c r="HC118" s="30"/>
      <c r="HD118" s="30"/>
      <c r="HE118" s="30"/>
      <c r="HF118" s="30"/>
      <c r="HG118" s="30"/>
      <c r="HH118" s="30"/>
      <c r="HI118" s="30"/>
      <c r="HJ118" s="30"/>
      <c r="HK118" s="30"/>
      <c r="HL118" s="30"/>
      <c r="HM118" s="30"/>
      <c r="HN118" s="30"/>
      <c r="HO118" s="30"/>
      <c r="HP118" s="30"/>
      <c r="HQ118" s="30"/>
      <c r="HR118" s="30"/>
      <c r="HS118" s="30"/>
      <c r="HT118" s="30"/>
      <c r="HU118" s="30"/>
      <c r="HV118" s="30"/>
      <c r="HW118" s="30"/>
      <c r="HX118" s="30"/>
      <c r="HY118" s="30"/>
      <c r="HZ118" s="30"/>
      <c r="IA118" s="30"/>
      <c r="IB118" s="30"/>
      <c r="IC118" s="30"/>
      <c r="ID118" s="30"/>
      <c r="IE118" s="30"/>
      <c r="IF118" s="30"/>
      <c r="IG118" s="30"/>
      <c r="IH118" s="30"/>
      <c r="II118" s="30"/>
      <c r="IJ118" s="30"/>
      <c r="IK118" s="30"/>
      <c r="IL118" s="30"/>
      <c r="IM118" s="30"/>
      <c r="IN118" s="30"/>
      <c r="IO118" s="30"/>
      <c r="IP118" s="30"/>
      <c r="IQ118" s="30"/>
      <c r="IR118" s="30"/>
      <c r="IS118" s="30"/>
      <c r="IT118" s="30"/>
      <c r="IU118" s="30"/>
      <c r="IV118" s="30"/>
      <c r="IW118" s="30"/>
      <c r="IX118" s="30"/>
      <c r="IY118" s="30"/>
      <c r="IZ118" s="30"/>
      <c r="JA118" s="30"/>
      <c r="JB118" s="30"/>
      <c r="JC118" s="30"/>
      <c r="JD118" s="30"/>
      <c r="JE118" s="30"/>
      <c r="JF118" s="30"/>
      <c r="JG118" s="30"/>
      <c r="JH118" s="30"/>
      <c r="JI118" s="30"/>
      <c r="JJ118" s="30"/>
      <c r="JK118" s="30"/>
      <c r="JL118" s="30"/>
      <c r="JM118" s="30"/>
      <c r="JN118" s="30"/>
      <c r="JO118" s="30"/>
      <c r="JP118" s="30"/>
      <c r="JQ118" s="30"/>
      <c r="JR118" s="30"/>
      <c r="JS118" s="30"/>
      <c r="JT118" s="30"/>
      <c r="JU118" s="30"/>
      <c r="JV118" s="30"/>
      <c r="JW118" s="30"/>
      <c r="JX118" s="30"/>
      <c r="JY118" s="30"/>
      <c r="JZ118" s="30"/>
      <c r="KA118" s="30"/>
      <c r="KB118" s="30"/>
      <c r="KC118" s="30"/>
      <c r="KD118" s="30"/>
      <c r="KE118" s="30"/>
      <c r="KF118" s="30"/>
      <c r="KG118" s="30"/>
      <c r="KH118" s="30"/>
      <c r="KI118" s="30"/>
      <c r="KJ118" s="30"/>
      <c r="KK118" s="30"/>
      <c r="KL118" s="30"/>
      <c r="KM118" s="30"/>
      <c r="KN118" s="30"/>
      <c r="KO118" s="30"/>
      <c r="KP118" s="30"/>
      <c r="KQ118" s="30"/>
      <c r="KR118" s="30"/>
      <c r="KS118" s="30"/>
      <c r="KT118" s="30"/>
      <c r="KU118" s="30"/>
      <c r="KV118" s="30"/>
      <c r="KW118" s="30"/>
      <c r="KX118" s="30"/>
      <c r="KY118" s="30"/>
      <c r="KZ118" s="30"/>
      <c r="LA118" s="30"/>
      <c r="LB118" s="30"/>
      <c r="LC118" s="30"/>
      <c r="LD118" s="30"/>
      <c r="LE118" s="30"/>
      <c r="LF118" s="30"/>
      <c r="LG118" s="30"/>
      <c r="LH118" s="30"/>
      <c r="LI118" s="30"/>
      <c r="LJ118" s="30"/>
      <c r="LK118" s="30"/>
      <c r="LL118" s="30"/>
      <c r="LM118" s="30"/>
      <c r="LN118" s="30"/>
      <c r="LO118" s="30"/>
      <c r="LP118" s="30"/>
      <c r="LQ118" s="30"/>
      <c r="LR118" s="30"/>
      <c r="LS118" s="30"/>
      <c r="LT118" s="30"/>
      <c r="LU118" s="30"/>
      <c r="LV118" s="30"/>
      <c r="LW118" s="30"/>
      <c r="LX118" s="30"/>
      <c r="LY118" s="30"/>
      <c r="LZ118" s="30"/>
      <c r="MA118" s="30"/>
      <c r="MB118" s="30"/>
      <c r="MC118" s="30"/>
      <c r="MD118" s="30"/>
      <c r="ME118" s="30"/>
      <c r="MF118" s="30"/>
      <c r="MG118" s="30"/>
      <c r="MH118" s="30"/>
      <c r="MI118" s="30"/>
      <c r="MJ118" s="30"/>
      <c r="MK118" s="30"/>
      <c r="ML118" s="30"/>
      <c r="MM118" s="30"/>
      <c r="MN118" s="30"/>
      <c r="MO118" s="30"/>
      <c r="MP118" s="30"/>
      <c r="MQ118" s="30"/>
      <c r="MR118" s="30"/>
      <c r="MS118" s="30"/>
      <c r="MT118" s="30"/>
      <c r="MU118" s="30"/>
      <c r="MV118" s="30"/>
      <c r="MW118" s="30"/>
      <c r="MX118" s="30"/>
      <c r="MY118" s="30"/>
      <c r="MZ118" s="30"/>
      <c r="NA118" s="30"/>
      <c r="NB118" s="30"/>
      <c r="NC118" s="30"/>
      <c r="ND118" s="30"/>
      <c r="NE118" s="30"/>
      <c r="NF118" s="30"/>
      <c r="NG118" s="30"/>
      <c r="NH118" s="30"/>
      <c r="NI118" s="30"/>
      <c r="NJ118" s="30"/>
      <c r="NK118" s="30"/>
      <c r="NL118" s="30"/>
      <c r="NM118" s="30"/>
      <c r="NN118" s="30"/>
      <c r="NO118" s="30"/>
      <c r="NP118" s="30"/>
      <c r="NQ118" s="30"/>
      <c r="NR118" s="30"/>
      <c r="NS118" s="30"/>
      <c r="NT118" s="30"/>
      <c r="NU118" s="30"/>
      <c r="NV118" s="30"/>
      <c r="NW118" s="30"/>
      <c r="NX118" s="30"/>
      <c r="NY118" s="30"/>
      <c r="NZ118" s="30"/>
      <c r="OA118" s="30"/>
      <c r="OB118" s="30"/>
      <c r="OC118" s="30"/>
      <c r="OD118" s="30"/>
      <c r="OE118" s="30"/>
      <c r="OF118" s="30"/>
      <c r="OG118" s="30"/>
      <c r="OH118" s="30"/>
      <c r="OI118" s="30"/>
      <c r="OJ118" s="30"/>
      <c r="OK118" s="30"/>
      <c r="OL118" s="30"/>
      <c r="OM118" s="30"/>
      <c r="ON118" s="30"/>
      <c r="OO118" s="30"/>
      <c r="OP118" s="30"/>
      <c r="OQ118" s="30"/>
      <c r="OR118" s="30"/>
      <c r="OS118" s="30"/>
      <c r="OT118" s="30"/>
      <c r="OU118" s="30"/>
      <c r="OV118" s="30"/>
      <c r="OW118" s="30"/>
      <c r="OX118" s="30"/>
      <c r="OY118" s="30"/>
      <c r="OZ118" s="30"/>
      <c r="PA118" s="30"/>
      <c r="PB118" s="30"/>
      <c r="PC118" s="30"/>
      <c r="PD118" s="30"/>
      <c r="PE118" s="30"/>
      <c r="PF118" s="30"/>
      <c r="PG118" s="30"/>
      <c r="PH118" s="30"/>
      <c r="PI118" s="30"/>
      <c r="PJ118" s="30"/>
      <c r="PK118" s="30"/>
      <c r="PL118" s="30"/>
      <c r="PM118" s="30"/>
      <c r="PN118" s="30"/>
      <c r="PO118" s="30"/>
      <c r="PP118" s="30"/>
      <c r="PQ118" s="30"/>
      <c r="PR118" s="30"/>
      <c r="PS118" s="30"/>
      <c r="PT118" s="30"/>
      <c r="PU118" s="30"/>
      <c r="PV118" s="30"/>
      <c r="PW118" s="30"/>
      <c r="PX118" s="30"/>
      <c r="PY118" s="30"/>
      <c r="PZ118" s="30"/>
      <c r="QA118" s="30"/>
      <c r="QB118" s="30"/>
      <c r="QC118" s="30"/>
      <c r="QD118" s="30"/>
      <c r="QE118" s="30"/>
      <c r="QF118" s="30"/>
      <c r="QG118" s="30"/>
      <c r="QH118" s="30"/>
      <c r="QI118" s="30"/>
      <c r="QJ118" s="30"/>
      <c r="QK118" s="30"/>
      <c r="QL118" s="30"/>
      <c r="QM118" s="30"/>
      <c r="QN118" s="30"/>
      <c r="QO118" s="30"/>
      <c r="QP118" s="30"/>
      <c r="QQ118" s="30"/>
      <c r="QR118" s="30"/>
      <c r="QS118" s="30"/>
      <c r="QT118" s="30"/>
      <c r="QU118" s="30"/>
      <c r="QV118" s="30"/>
      <c r="QW118" s="30"/>
      <c r="QX118" s="30"/>
      <c r="QY118" s="30"/>
      <c r="QZ118" s="30"/>
      <c r="RA118" s="30"/>
      <c r="RB118" s="30"/>
      <c r="RC118" s="30"/>
      <c r="RD118" s="30"/>
      <c r="RE118" s="30"/>
      <c r="RF118" s="30"/>
      <c r="RG118" s="30"/>
      <c r="RH118" s="30"/>
      <c r="RI118" s="30"/>
      <c r="RJ118" s="30"/>
      <c r="RK118" s="30"/>
      <c r="RL118" s="30"/>
      <c r="RM118" s="30"/>
      <c r="RN118" s="30"/>
      <c r="RO118" s="30"/>
      <c r="RP118" s="30"/>
      <c r="RQ118" s="30"/>
      <c r="RR118" s="30"/>
      <c r="RS118" s="30"/>
      <c r="RT118" s="30"/>
      <c r="RU118" s="30"/>
      <c r="RV118" s="30"/>
      <c r="RW118" s="30"/>
      <c r="RX118" s="30"/>
      <c r="RY118" s="30"/>
      <c r="RZ118" s="30"/>
      <c r="SA118" s="30"/>
      <c r="SB118" s="30"/>
      <c r="SC118" s="30"/>
      <c r="SD118" s="30"/>
      <c r="SE118" s="30"/>
      <c r="SF118" s="30"/>
      <c r="SG118" s="30"/>
      <c r="SH118" s="30"/>
      <c r="SI118" s="30"/>
      <c r="SJ118" s="30"/>
      <c r="SK118" s="30"/>
      <c r="SL118" s="30"/>
      <c r="SM118" s="30"/>
      <c r="SN118" s="30"/>
      <c r="SO118" s="30"/>
      <c r="SP118" s="30"/>
      <c r="SQ118" s="30"/>
      <c r="SR118" s="30"/>
      <c r="SS118" s="30"/>
      <c r="ST118" s="30"/>
      <c r="SU118" s="30"/>
      <c r="SV118" s="30"/>
      <c r="SW118" s="30"/>
      <c r="SX118" s="30"/>
      <c r="SY118" s="30"/>
      <c r="SZ118" s="30"/>
      <c r="TA118" s="30"/>
      <c r="TB118" s="30"/>
      <c r="TC118" s="30"/>
      <c r="TD118" s="30"/>
      <c r="TE118" s="30"/>
      <c r="TF118" s="30"/>
      <c r="TG118" s="30"/>
      <c r="TH118" s="30"/>
      <c r="TI118" s="30"/>
      <c r="TJ118" s="30"/>
      <c r="TK118" s="30"/>
      <c r="TL118" s="30"/>
      <c r="TM118" s="30"/>
      <c r="TN118" s="30"/>
      <c r="TO118" s="30"/>
      <c r="TP118" s="30"/>
      <c r="TQ118" s="30"/>
      <c r="TR118" s="30"/>
      <c r="TS118" s="30"/>
      <c r="TT118" s="30"/>
      <c r="TU118" s="30"/>
      <c r="TV118" s="30"/>
      <c r="TW118" s="30"/>
      <c r="TX118" s="30"/>
      <c r="TY118" s="30"/>
      <c r="TZ118" s="30"/>
      <c r="UA118" s="30"/>
      <c r="UB118" s="30"/>
      <c r="UC118" s="30"/>
      <c r="UD118" s="30"/>
      <c r="UE118" s="30"/>
      <c r="UF118" s="30"/>
      <c r="UG118" s="30"/>
      <c r="UH118" s="30"/>
      <c r="UI118" s="30"/>
      <c r="UJ118" s="30"/>
      <c r="UK118" s="30"/>
      <c r="UL118" s="30"/>
      <c r="UM118" s="30"/>
      <c r="UN118" s="30"/>
      <c r="UO118" s="30"/>
      <c r="UP118" s="30"/>
      <c r="UQ118" s="30"/>
      <c r="UR118" s="30"/>
      <c r="US118" s="30"/>
      <c r="UT118" s="30"/>
      <c r="UU118" s="30"/>
      <c r="UV118" s="30"/>
      <c r="UW118" s="30"/>
      <c r="UX118" s="30"/>
      <c r="UY118" s="30"/>
      <c r="UZ118" s="30"/>
      <c r="VA118" s="30"/>
      <c r="VB118" s="30"/>
      <c r="VC118" s="30"/>
      <c r="VD118" s="30"/>
      <c r="VE118" s="30"/>
      <c r="VF118" s="30"/>
      <c r="VG118" s="30"/>
      <c r="VH118" s="30"/>
      <c r="VI118" s="30"/>
      <c r="VJ118" s="30"/>
      <c r="VK118" s="30"/>
      <c r="VL118" s="30"/>
      <c r="VM118" s="30"/>
      <c r="VN118" s="30"/>
      <c r="VO118" s="30"/>
      <c r="VP118" s="30"/>
      <c r="VQ118" s="30"/>
      <c r="VR118" s="30"/>
      <c r="VS118" s="30"/>
      <c r="VT118" s="30"/>
      <c r="VU118" s="30"/>
      <c r="VV118" s="30"/>
      <c r="VW118" s="30"/>
      <c r="VX118" s="30"/>
      <c r="VY118" s="30"/>
      <c r="VZ118" s="30"/>
      <c r="WA118" s="30"/>
      <c r="WB118" s="30"/>
      <c r="WC118" s="30"/>
      <c r="WD118" s="30"/>
      <c r="WE118" s="30"/>
      <c r="WF118" s="30"/>
      <c r="WG118" s="30"/>
      <c r="WH118" s="30"/>
      <c r="WI118" s="30"/>
      <c r="WJ118" s="30"/>
      <c r="WK118" s="30"/>
      <c r="WL118" s="30"/>
      <c r="WM118" s="30"/>
      <c r="WN118" s="30"/>
      <c r="WO118" s="30"/>
      <c r="WP118" s="30"/>
      <c r="WQ118" s="30"/>
      <c r="WR118" s="30"/>
      <c r="WS118" s="30"/>
      <c r="WT118" s="30"/>
      <c r="WU118" s="30"/>
      <c r="WV118" s="30"/>
      <c r="WW118" s="30"/>
      <c r="WX118" s="30"/>
      <c r="WY118" s="30"/>
      <c r="WZ118" s="30"/>
      <c r="XA118" s="30"/>
      <c r="XB118" s="30"/>
      <c r="XC118" s="30"/>
      <c r="XD118" s="30"/>
      <c r="XE118" s="30"/>
      <c r="XF118" s="30"/>
      <c r="XG118" s="30"/>
      <c r="XH118" s="30"/>
      <c r="XI118" s="30"/>
      <c r="XJ118" s="30"/>
      <c r="XK118" s="30"/>
      <c r="XL118" s="30"/>
      <c r="XM118" s="30"/>
      <c r="XN118" s="30"/>
      <c r="XO118" s="30"/>
      <c r="XP118" s="30"/>
      <c r="XQ118" s="30"/>
      <c r="XR118" s="30"/>
      <c r="XS118" s="30"/>
      <c r="XT118" s="30"/>
      <c r="XU118" s="30"/>
      <c r="XV118" s="30"/>
      <c r="XW118" s="30"/>
      <c r="XX118" s="30"/>
      <c r="XY118" s="30"/>
      <c r="XZ118" s="30"/>
      <c r="YA118" s="30"/>
      <c r="YB118" s="30"/>
      <c r="YC118" s="30"/>
      <c r="YD118" s="30"/>
      <c r="YE118" s="30"/>
      <c r="YF118" s="30"/>
      <c r="YG118" s="30"/>
      <c r="YH118" s="30"/>
      <c r="YI118" s="30"/>
      <c r="YJ118" s="30"/>
      <c r="YK118" s="30"/>
      <c r="YL118" s="30"/>
      <c r="YM118" s="30"/>
      <c r="YN118" s="30"/>
      <c r="YO118" s="30"/>
      <c r="YP118" s="30"/>
      <c r="YQ118" s="30"/>
      <c r="YR118" s="30"/>
      <c r="YS118" s="30"/>
      <c r="YT118" s="30"/>
      <c r="YU118" s="30"/>
      <c r="YV118" s="30"/>
      <c r="YW118" s="30"/>
      <c r="YX118" s="30"/>
      <c r="YY118" s="30"/>
      <c r="YZ118" s="30"/>
      <c r="ZA118" s="30"/>
      <c r="ZB118" s="30"/>
      <c r="ZC118" s="30"/>
      <c r="ZD118" s="30"/>
      <c r="ZE118" s="30"/>
      <c r="ZF118" s="30"/>
      <c r="ZG118" s="30"/>
      <c r="ZH118" s="30"/>
      <c r="ZI118" s="30"/>
      <c r="ZJ118" s="30"/>
      <c r="ZK118" s="30"/>
      <c r="ZL118" s="30"/>
      <c r="ZM118" s="30"/>
      <c r="ZN118" s="30"/>
      <c r="ZO118" s="30"/>
      <c r="ZP118" s="30"/>
      <c r="ZQ118" s="30"/>
      <c r="ZR118" s="30"/>
      <c r="ZS118" s="30"/>
      <c r="ZT118" s="30"/>
      <c r="ZU118" s="30"/>
      <c r="ZV118" s="30"/>
      <c r="ZW118" s="30"/>
      <c r="ZX118" s="30"/>
      <c r="ZY118" s="30"/>
      <c r="ZZ118" s="30"/>
      <c r="AAA118" s="30"/>
      <c r="AAB118" s="30"/>
      <c r="AAC118" s="30"/>
      <c r="AAD118" s="30"/>
      <c r="AAE118" s="30"/>
      <c r="AAF118" s="30"/>
      <c r="AAG118" s="30"/>
      <c r="AAH118" s="30"/>
      <c r="AAI118" s="30"/>
      <c r="AAJ118" s="30"/>
      <c r="AAK118" s="30"/>
      <c r="AAL118" s="30"/>
      <c r="AAM118" s="30"/>
      <c r="AAN118" s="30"/>
      <c r="AAO118" s="30"/>
      <c r="AAP118" s="30"/>
      <c r="AAQ118" s="30"/>
      <c r="AAR118" s="30"/>
      <c r="AAS118" s="30"/>
      <c r="AAT118" s="30"/>
      <c r="AAU118" s="30"/>
      <c r="AAV118" s="30"/>
      <c r="AAW118" s="30"/>
      <c r="AAX118" s="30"/>
      <c r="AAY118" s="30"/>
      <c r="AAZ118" s="30"/>
      <c r="ABA118" s="30"/>
      <c r="ABB118" s="30"/>
      <c r="ABC118" s="30"/>
      <c r="ABD118" s="30"/>
      <c r="ABE118" s="30"/>
      <c r="ABF118" s="30"/>
      <c r="ABG118" s="30"/>
      <c r="ABH118" s="30"/>
      <c r="ABI118" s="30"/>
      <c r="ABJ118" s="30"/>
      <c r="ABK118" s="30"/>
      <c r="ABL118" s="30"/>
      <c r="ABM118" s="30"/>
      <c r="ABN118" s="30"/>
      <c r="ABO118" s="30"/>
      <c r="ABP118" s="30"/>
      <c r="ABQ118" s="30"/>
      <c r="ABR118" s="30"/>
      <c r="ABS118" s="30"/>
      <c r="ABT118" s="30"/>
      <c r="ABU118" s="30"/>
      <c r="ABV118" s="30"/>
      <c r="ABW118" s="30"/>
      <c r="ABX118" s="30"/>
      <c r="ABY118" s="30"/>
      <c r="ABZ118" s="30"/>
      <c r="ACA118" s="30"/>
      <c r="ACB118" s="30"/>
      <c r="ACC118" s="30"/>
      <c r="ACD118" s="30"/>
      <c r="ACE118" s="30"/>
      <c r="ACF118" s="30"/>
      <c r="ACG118" s="30"/>
      <c r="ACH118" s="30"/>
      <c r="ACI118" s="30"/>
      <c r="ACJ118" s="30"/>
      <c r="ACK118" s="30"/>
      <c r="ACL118" s="30"/>
      <c r="ACM118" s="30"/>
      <c r="ACN118" s="30"/>
      <c r="ACO118" s="30"/>
      <c r="ACP118" s="30"/>
      <c r="ACQ118" s="30"/>
      <c r="ACR118" s="30"/>
      <c r="ACS118" s="30"/>
      <c r="ACT118" s="30"/>
      <c r="ACU118" s="30"/>
      <c r="ACV118" s="30"/>
      <c r="ACW118" s="30"/>
      <c r="ACX118" s="30"/>
      <c r="ACY118" s="30"/>
      <c r="ACZ118" s="30"/>
      <c r="ADA118" s="30"/>
      <c r="ADB118" s="30"/>
      <c r="ADC118" s="30"/>
      <c r="ADD118" s="30"/>
      <c r="ADE118" s="30"/>
      <c r="ADF118" s="30"/>
      <c r="ADG118" s="30"/>
      <c r="ADH118" s="30"/>
      <c r="ADI118" s="30"/>
      <c r="ADJ118" s="30"/>
      <c r="ADK118" s="30"/>
      <c r="ADL118" s="30"/>
      <c r="ADM118" s="30"/>
      <c r="ADN118" s="30"/>
      <c r="ADO118" s="30"/>
      <c r="ADP118" s="30"/>
      <c r="ADQ118" s="30"/>
      <c r="ADR118" s="30"/>
      <c r="ADS118" s="30"/>
      <c r="ADT118" s="30"/>
      <c r="ADU118" s="30"/>
      <c r="ADV118" s="30"/>
      <c r="ADW118" s="30"/>
      <c r="ADX118" s="30"/>
      <c r="ADY118" s="30"/>
      <c r="ADZ118" s="30"/>
      <c r="AEA118" s="30"/>
      <c r="AEB118" s="30"/>
      <c r="AEC118" s="30"/>
      <c r="AED118" s="30"/>
      <c r="AEE118" s="30"/>
      <c r="AEF118" s="30"/>
      <c r="AEG118" s="30"/>
      <c r="AEH118" s="30"/>
      <c r="AEI118" s="30"/>
      <c r="AEJ118" s="30"/>
      <c r="AEK118" s="30"/>
      <c r="AEL118" s="30"/>
      <c r="AEM118" s="30"/>
      <c r="AEN118" s="30"/>
      <c r="AEO118" s="30"/>
      <c r="AEP118" s="30"/>
      <c r="AEQ118" s="30"/>
      <c r="AER118" s="30"/>
      <c r="AES118" s="30"/>
      <c r="AET118" s="30"/>
      <c r="AEU118" s="30"/>
      <c r="AEV118" s="30"/>
      <c r="AEW118" s="30"/>
      <c r="AEX118" s="30"/>
      <c r="AEY118" s="30"/>
      <c r="AEZ118" s="30"/>
      <c r="AFA118" s="30"/>
      <c r="AFB118" s="30"/>
      <c r="AFC118" s="30"/>
      <c r="AFD118" s="30"/>
      <c r="AFE118" s="30"/>
      <c r="AFF118" s="30"/>
      <c r="AFG118" s="30"/>
      <c r="AFH118" s="30"/>
      <c r="AFI118" s="30"/>
      <c r="AFJ118" s="30"/>
      <c r="AFK118" s="30"/>
      <c r="AFL118" s="30"/>
      <c r="AFM118" s="30"/>
      <c r="AFN118" s="30"/>
      <c r="AFO118" s="30"/>
      <c r="AFP118" s="30"/>
      <c r="AFQ118" s="30"/>
      <c r="AFR118" s="30"/>
      <c r="AFS118" s="30"/>
      <c r="AFT118" s="30"/>
      <c r="AFU118" s="30"/>
      <c r="AFV118" s="30"/>
      <c r="AFW118" s="30"/>
      <c r="AFX118" s="30"/>
      <c r="AFY118" s="30"/>
      <c r="AFZ118" s="30"/>
      <c r="AGA118" s="30"/>
      <c r="AGB118" s="30"/>
      <c r="AGC118" s="30"/>
      <c r="AGD118" s="30"/>
      <c r="AGE118" s="30"/>
      <c r="AGF118" s="30"/>
      <c r="AGG118" s="30"/>
      <c r="AGH118" s="30"/>
      <c r="AGI118" s="30"/>
      <c r="AGJ118" s="30"/>
      <c r="AGK118" s="30"/>
      <c r="AGL118" s="30"/>
      <c r="AGM118" s="30"/>
      <c r="AGN118" s="30"/>
      <c r="AGO118" s="30"/>
      <c r="AGP118" s="30"/>
      <c r="AGQ118" s="30"/>
      <c r="AGR118" s="30"/>
      <c r="AGS118" s="30"/>
      <c r="AGT118" s="30"/>
      <c r="AGU118" s="30"/>
      <c r="AGV118" s="30"/>
      <c r="AGW118" s="30"/>
      <c r="AGX118" s="30"/>
      <c r="AGY118" s="30"/>
      <c r="AGZ118" s="30"/>
      <c r="AHA118" s="30"/>
      <c r="AHB118" s="30"/>
      <c r="AHC118" s="30"/>
      <c r="AHD118" s="30"/>
      <c r="AHE118" s="30"/>
      <c r="AHF118" s="30"/>
      <c r="AHG118" s="30"/>
      <c r="AHH118" s="30"/>
      <c r="AHI118" s="30"/>
      <c r="AHJ118" s="30"/>
      <c r="AHK118" s="30"/>
      <c r="AHL118" s="30"/>
      <c r="AHM118" s="30"/>
      <c r="AHN118" s="30"/>
      <c r="AHO118" s="30"/>
      <c r="AHP118" s="30"/>
      <c r="AHQ118" s="30"/>
      <c r="AHR118" s="30"/>
      <c r="AHS118" s="30"/>
      <c r="AHT118" s="30"/>
      <c r="AHU118" s="30"/>
      <c r="AHV118" s="30"/>
      <c r="AHW118" s="30"/>
      <c r="AHX118" s="30"/>
      <c r="AHY118" s="30"/>
      <c r="AHZ118" s="30"/>
      <c r="AIA118" s="30"/>
      <c r="AIB118" s="30"/>
      <c r="AIC118" s="30"/>
      <c r="AID118" s="30"/>
      <c r="AIE118" s="30"/>
      <c r="AIF118" s="30"/>
      <c r="AIG118" s="30"/>
      <c r="AIH118" s="30"/>
      <c r="AII118" s="30"/>
      <c r="AIJ118" s="30"/>
      <c r="AIK118" s="30"/>
      <c r="AIL118" s="30"/>
      <c r="AIM118" s="30"/>
      <c r="AIN118" s="30"/>
      <c r="AIO118" s="30"/>
      <c r="AIP118" s="30"/>
      <c r="AIQ118" s="30"/>
      <c r="AIR118" s="30"/>
      <c r="AIS118" s="30"/>
      <c r="AIT118" s="30"/>
      <c r="AIU118" s="30"/>
      <c r="AIV118" s="30"/>
      <c r="AIW118" s="30"/>
      <c r="AIX118" s="30"/>
      <c r="AIY118" s="30"/>
      <c r="AIZ118" s="30"/>
      <c r="AJA118" s="30"/>
      <c r="AJB118" s="30"/>
      <c r="AJC118" s="30"/>
      <c r="AJD118" s="30"/>
      <c r="AJE118" s="30"/>
      <c r="AJF118" s="30"/>
      <c r="AJG118" s="30"/>
      <c r="AJH118" s="30"/>
      <c r="AJI118" s="30"/>
      <c r="AJJ118" s="30"/>
      <c r="AJK118" s="30"/>
      <c r="AJL118" s="30"/>
      <c r="AJM118" s="30"/>
      <c r="AJN118" s="30"/>
      <c r="AJO118" s="30"/>
      <c r="AJP118" s="30"/>
      <c r="AJQ118" s="30"/>
      <c r="AJR118" s="30"/>
      <c r="AJS118" s="30"/>
      <c r="AJT118" s="30"/>
      <c r="AJU118" s="30"/>
      <c r="AJV118" s="30"/>
      <c r="AJW118" s="30"/>
      <c r="AJX118" s="30"/>
      <c r="AJY118" s="30"/>
      <c r="AJZ118" s="30"/>
      <c r="AKA118" s="30"/>
      <c r="AKB118" s="30"/>
      <c r="AKC118" s="30"/>
      <c r="AKD118" s="30"/>
      <c r="AKE118" s="30"/>
      <c r="AKF118" s="30"/>
      <c r="AKG118" s="30"/>
      <c r="AKH118" s="30"/>
      <c r="AKI118" s="30"/>
      <c r="AKJ118" s="30"/>
      <c r="AKK118" s="30"/>
      <c r="AKL118" s="30"/>
      <c r="AKM118" s="30"/>
      <c r="AKN118" s="30"/>
      <c r="AKO118" s="30"/>
      <c r="AKP118" s="30"/>
      <c r="AKQ118" s="30"/>
      <c r="AKR118" s="30"/>
      <c r="AKS118" s="30"/>
      <c r="AKT118" s="30"/>
      <c r="AKU118" s="30"/>
      <c r="AKV118" s="30"/>
      <c r="AKW118" s="30"/>
      <c r="AKX118" s="30"/>
      <c r="AKY118" s="30"/>
      <c r="AKZ118" s="30"/>
      <c r="ALA118" s="30"/>
      <c r="ALB118" s="30"/>
      <c r="ALC118" s="30"/>
      <c r="ALD118" s="30"/>
      <c r="ALE118" s="30"/>
      <c r="ALF118" s="30"/>
      <c r="ALG118" s="30"/>
      <c r="ALH118" s="30"/>
      <c r="ALI118" s="30"/>
      <c r="ALJ118" s="30"/>
      <c r="ALK118" s="30"/>
      <c r="ALL118" s="30"/>
      <c r="ALM118" s="30"/>
      <c r="ALN118" s="30"/>
      <c r="ALO118" s="30"/>
      <c r="ALP118" s="30"/>
      <c r="ALQ118" s="30"/>
      <c r="ALR118" s="30"/>
      <c r="ALS118" s="30"/>
      <c r="ALT118" s="30"/>
      <c r="ALU118" s="30"/>
      <c r="ALV118" s="30"/>
      <c r="ALW118" s="30"/>
      <c r="ALX118" s="30"/>
      <c r="ALY118" s="30"/>
      <c r="ALZ118" s="30"/>
      <c r="AMA118" s="30"/>
      <c r="AMB118" s="30"/>
      <c r="AMC118" s="30"/>
      <c r="AMD118" s="30"/>
      <c r="AME118" s="30"/>
      <c r="AMF118" s="30"/>
      <c r="AMG118" s="30"/>
      <c r="AMH118" s="30"/>
      <c r="AMI118" s="30"/>
      <c r="AMJ118" s="30"/>
      <c r="AMK118" s="30"/>
      <c r="AML118" s="30"/>
      <c r="AMM118" s="30"/>
      <c r="AMN118" s="30"/>
      <c r="AMO118" s="30"/>
      <c r="AMP118" s="30"/>
      <c r="AMQ118" s="30"/>
      <c r="AMR118" s="30"/>
      <c r="AMS118" s="30"/>
      <c r="AMT118" s="30"/>
      <c r="AMU118" s="30"/>
      <c r="AMV118" s="30"/>
      <c r="AMW118" s="30"/>
      <c r="AMX118" s="30"/>
      <c r="AMY118" s="30"/>
      <c r="AMZ118" s="30"/>
      <c r="ANA118" s="30"/>
      <c r="ANB118" s="30"/>
      <c r="ANC118" s="30"/>
      <c r="AND118" s="30"/>
      <c r="ANE118" s="30"/>
      <c r="ANF118" s="30"/>
      <c r="ANG118" s="30"/>
      <c r="ANH118" s="30"/>
      <c r="ANI118" s="30"/>
      <c r="ANJ118" s="30"/>
      <c r="ANK118" s="30"/>
      <c r="ANL118" s="30"/>
      <c r="ANM118" s="30"/>
      <c r="ANN118" s="30"/>
      <c r="ANO118" s="30"/>
      <c r="ANP118" s="30"/>
      <c r="ANQ118" s="30"/>
      <c r="ANR118" s="30"/>
      <c r="ANS118" s="30"/>
      <c r="ANT118" s="30"/>
      <c r="ANU118" s="30"/>
      <c r="ANV118" s="30"/>
      <c r="ANW118" s="30"/>
      <c r="ANX118" s="30"/>
      <c r="ANY118" s="30"/>
      <c r="ANZ118" s="30"/>
      <c r="AOA118" s="30"/>
      <c r="AOB118" s="30"/>
      <c r="AOC118" s="30"/>
      <c r="AOD118" s="30"/>
      <c r="AOE118" s="30"/>
      <c r="AOF118" s="30"/>
      <c r="AOG118" s="30"/>
      <c r="AOH118" s="30"/>
      <c r="AOI118" s="30"/>
      <c r="AOJ118" s="30"/>
      <c r="AOK118" s="30"/>
      <c r="AOL118" s="30"/>
      <c r="AOM118" s="30"/>
      <c r="AON118" s="30"/>
      <c r="AOO118" s="30"/>
      <c r="AOP118" s="30"/>
      <c r="AOQ118" s="30"/>
      <c r="AOR118" s="30"/>
      <c r="AOS118" s="30"/>
      <c r="AOT118" s="30"/>
      <c r="AOU118" s="30"/>
      <c r="AOV118" s="30"/>
      <c r="AOW118" s="30"/>
      <c r="AOX118" s="30"/>
      <c r="AOY118" s="30"/>
      <c r="AOZ118" s="30"/>
      <c r="APA118" s="30"/>
      <c r="APB118" s="30"/>
      <c r="APC118" s="30"/>
      <c r="APD118" s="30"/>
      <c r="APE118" s="30"/>
      <c r="APF118" s="30"/>
      <c r="APG118" s="30"/>
      <c r="APH118" s="30"/>
      <c r="API118" s="30"/>
      <c r="APJ118" s="30"/>
      <c r="APK118" s="30"/>
      <c r="APL118" s="30"/>
      <c r="APM118" s="30"/>
      <c r="APN118" s="30"/>
      <c r="APO118" s="30"/>
      <c r="APP118" s="30"/>
      <c r="APQ118" s="30"/>
      <c r="APR118" s="30"/>
      <c r="APS118" s="30"/>
      <c r="APT118" s="30"/>
      <c r="APU118" s="30"/>
      <c r="APV118" s="30"/>
      <c r="APW118" s="30"/>
      <c r="APX118" s="30"/>
      <c r="APY118" s="30"/>
      <c r="APZ118" s="30"/>
      <c r="AQA118" s="30"/>
      <c r="AQB118" s="30"/>
      <c r="AQC118" s="30"/>
      <c r="AQD118" s="30"/>
      <c r="AQE118" s="30"/>
      <c r="AQF118" s="30"/>
      <c r="AQG118" s="30"/>
      <c r="AQH118" s="30"/>
      <c r="AQI118" s="30"/>
      <c r="AQJ118" s="30"/>
      <c r="AQK118" s="30"/>
      <c r="AQL118" s="30"/>
      <c r="AQM118" s="30"/>
      <c r="AQN118" s="30"/>
      <c r="AQO118" s="30"/>
      <c r="AQP118" s="30"/>
      <c r="AQQ118" s="30"/>
      <c r="AQR118" s="30"/>
      <c r="AQS118" s="30"/>
      <c r="AQT118" s="30"/>
      <c r="AQU118" s="30"/>
      <c r="AQV118" s="30"/>
      <c r="AQW118" s="30"/>
      <c r="AQX118" s="30"/>
      <c r="AQY118" s="30"/>
      <c r="AQZ118" s="30"/>
      <c r="ARA118" s="30"/>
      <c r="ARB118" s="30"/>
      <c r="ARC118" s="30"/>
      <c r="ARD118" s="30"/>
      <c r="ARE118" s="30"/>
      <c r="ARF118" s="30"/>
      <c r="ARG118" s="30"/>
      <c r="ARH118" s="30"/>
      <c r="ARI118" s="30"/>
      <c r="ARJ118" s="30"/>
      <c r="ARK118" s="30"/>
      <c r="ARL118" s="30"/>
      <c r="ARM118" s="30"/>
      <c r="ARN118" s="30"/>
      <c r="ARO118" s="30"/>
      <c r="ARP118" s="30"/>
      <c r="ARQ118" s="30"/>
      <c r="ARR118" s="30"/>
      <c r="ARS118" s="30"/>
      <c r="ART118" s="30"/>
      <c r="ARU118" s="30"/>
      <c r="ARV118" s="30"/>
      <c r="ARW118" s="30"/>
      <c r="ARX118" s="30"/>
      <c r="ARY118" s="30"/>
      <c r="ARZ118" s="30"/>
      <c r="ASA118" s="30"/>
      <c r="ASB118" s="30"/>
      <c r="ASC118" s="30"/>
      <c r="ASD118" s="30"/>
      <c r="ASE118" s="30"/>
      <c r="ASF118" s="30"/>
      <c r="ASG118" s="30"/>
      <c r="ASH118" s="30"/>
      <c r="ASI118" s="30"/>
      <c r="ASJ118" s="30"/>
      <c r="ASK118" s="30"/>
      <c r="ASL118" s="30"/>
      <c r="ASM118" s="30"/>
      <c r="ASN118" s="30"/>
      <c r="ASO118" s="30"/>
      <c r="ASP118" s="30"/>
      <c r="ASQ118" s="30"/>
      <c r="ASR118" s="30"/>
      <c r="ASS118" s="30"/>
      <c r="AST118" s="30"/>
      <c r="ASU118" s="30"/>
      <c r="ASV118" s="30"/>
      <c r="ASW118" s="30"/>
      <c r="ASX118" s="30"/>
      <c r="ASY118" s="30"/>
      <c r="ASZ118" s="30"/>
      <c r="ATA118" s="30"/>
      <c r="ATB118" s="30"/>
      <c r="ATC118" s="30"/>
      <c r="ATD118" s="30"/>
      <c r="ATE118" s="30"/>
      <c r="ATF118" s="30"/>
      <c r="ATG118" s="30"/>
      <c r="ATH118" s="30"/>
      <c r="ATI118" s="30"/>
      <c r="ATJ118" s="30"/>
      <c r="ATK118" s="30"/>
      <c r="ATL118" s="30"/>
      <c r="ATM118" s="30"/>
      <c r="ATN118" s="30"/>
      <c r="ATO118" s="30"/>
      <c r="ATP118" s="30"/>
      <c r="ATQ118" s="30"/>
      <c r="ATR118" s="30"/>
      <c r="ATS118" s="30"/>
      <c r="ATT118" s="30"/>
      <c r="ATU118" s="30"/>
      <c r="ATV118" s="30"/>
      <c r="ATW118" s="30"/>
      <c r="ATX118" s="30"/>
      <c r="ATY118" s="30"/>
      <c r="ATZ118" s="30"/>
      <c r="AUA118" s="30"/>
      <c r="AUB118" s="30"/>
      <c r="AUC118" s="30"/>
      <c r="AUD118" s="30"/>
      <c r="AUE118" s="30"/>
      <c r="AUF118" s="30"/>
      <c r="AUG118" s="30"/>
      <c r="AUH118" s="30"/>
      <c r="AUI118" s="30"/>
      <c r="AUJ118" s="30"/>
      <c r="AUK118" s="30"/>
      <c r="AUL118" s="30"/>
      <c r="AUM118" s="30"/>
      <c r="AUN118" s="30"/>
      <c r="AUO118" s="30"/>
      <c r="AUP118" s="30"/>
      <c r="AUQ118" s="30"/>
      <c r="AUR118" s="30"/>
      <c r="AUS118" s="30"/>
      <c r="AUT118" s="30"/>
      <c r="AUU118" s="30"/>
      <c r="AUV118" s="30"/>
      <c r="AUW118" s="30"/>
      <c r="AUX118" s="30"/>
      <c r="AUY118" s="30"/>
      <c r="AUZ118" s="30"/>
      <c r="AVA118" s="30"/>
      <c r="AVB118" s="30"/>
      <c r="AVC118" s="30"/>
      <c r="AVD118" s="30"/>
      <c r="AVE118" s="30"/>
      <c r="AVF118" s="30"/>
      <c r="AVG118" s="30"/>
      <c r="AVH118" s="30"/>
      <c r="AVI118" s="30"/>
      <c r="AVJ118" s="30"/>
      <c r="AVK118" s="30"/>
      <c r="AVL118" s="30"/>
      <c r="AVM118" s="30"/>
      <c r="AVN118" s="30"/>
      <c r="AVO118" s="30"/>
      <c r="AVP118" s="30"/>
      <c r="AVQ118" s="30"/>
      <c r="AVR118" s="30"/>
      <c r="AVS118" s="30"/>
      <c r="AVT118" s="30"/>
      <c r="AVU118" s="30"/>
      <c r="AVV118" s="30"/>
      <c r="AVW118" s="30"/>
      <c r="AVX118" s="30"/>
      <c r="AVY118" s="30"/>
      <c r="AVZ118" s="30"/>
      <c r="AWA118" s="30"/>
      <c r="AWB118" s="30"/>
      <c r="AWC118" s="30"/>
      <c r="AWD118" s="30"/>
      <c r="AWE118" s="30"/>
      <c r="AWF118" s="30"/>
      <c r="AWG118" s="30"/>
      <c r="AWH118" s="30"/>
      <c r="AWI118" s="30"/>
      <c r="AWJ118" s="30"/>
      <c r="AWK118" s="30"/>
      <c r="AWL118" s="30"/>
      <c r="AWM118" s="30"/>
      <c r="AWN118" s="30"/>
      <c r="AWO118" s="30"/>
      <c r="AWP118" s="30"/>
      <c r="AWQ118" s="30"/>
      <c r="AWR118" s="30"/>
      <c r="AWS118" s="30"/>
      <c r="AWT118" s="30"/>
      <c r="AWU118" s="30"/>
      <c r="AWV118" s="30"/>
      <c r="AWW118" s="30"/>
      <c r="AWX118" s="30"/>
      <c r="AWY118" s="30"/>
      <c r="AWZ118" s="30"/>
      <c r="AXA118" s="30"/>
      <c r="AXB118" s="30"/>
      <c r="AXC118" s="30"/>
      <c r="AXD118" s="30"/>
      <c r="AXE118" s="30"/>
      <c r="AXF118" s="30"/>
      <c r="AXG118" s="30"/>
      <c r="AXH118" s="30"/>
      <c r="AXI118" s="30"/>
      <c r="AXJ118" s="30"/>
      <c r="AXK118" s="30"/>
      <c r="AXL118" s="30"/>
      <c r="AXM118" s="30"/>
      <c r="AXN118" s="30"/>
      <c r="AXO118" s="30"/>
      <c r="AXP118" s="30"/>
      <c r="AXQ118" s="30"/>
      <c r="AXR118" s="30"/>
      <c r="AXS118" s="30"/>
      <c r="AXT118" s="30"/>
      <c r="AXU118" s="30"/>
      <c r="AXV118" s="30"/>
      <c r="AXW118" s="30"/>
      <c r="AXX118" s="30"/>
      <c r="AXY118" s="30"/>
      <c r="AXZ118" s="30"/>
      <c r="AYA118" s="30"/>
      <c r="AYB118" s="30"/>
      <c r="AYC118" s="30"/>
      <c r="AYD118" s="30"/>
      <c r="AYE118" s="30"/>
      <c r="AYF118" s="30"/>
      <c r="AYG118" s="30"/>
      <c r="AYH118" s="30"/>
      <c r="AYI118" s="30"/>
      <c r="AYJ118" s="30"/>
      <c r="AYK118" s="30"/>
      <c r="AYL118" s="30"/>
      <c r="AYM118" s="30"/>
      <c r="AYN118" s="30"/>
      <c r="AYO118" s="30"/>
      <c r="AYP118" s="30"/>
      <c r="AYQ118" s="30"/>
      <c r="AYR118" s="30"/>
      <c r="AYS118" s="30"/>
      <c r="AYT118" s="30"/>
      <c r="AYU118" s="30"/>
      <c r="AYV118" s="30"/>
      <c r="AYW118" s="30"/>
      <c r="AYX118" s="30"/>
      <c r="AYY118" s="30"/>
      <c r="AYZ118" s="30"/>
      <c r="AZA118" s="30"/>
      <c r="AZB118" s="30"/>
      <c r="AZC118" s="30"/>
      <c r="AZD118" s="30"/>
      <c r="AZE118" s="30"/>
      <c r="AZF118" s="30"/>
      <c r="AZG118" s="30"/>
      <c r="AZH118" s="30"/>
      <c r="AZI118" s="30"/>
      <c r="AZJ118" s="30"/>
      <c r="AZK118" s="30"/>
      <c r="AZL118" s="30"/>
      <c r="AZM118" s="30"/>
      <c r="AZN118" s="30"/>
      <c r="AZO118" s="30"/>
      <c r="AZP118" s="30"/>
      <c r="AZQ118" s="30"/>
      <c r="AZR118" s="30"/>
      <c r="AZS118" s="30"/>
      <c r="AZT118" s="30"/>
      <c r="AZU118" s="30"/>
      <c r="AZV118" s="30"/>
      <c r="AZW118" s="30"/>
      <c r="AZX118" s="30"/>
      <c r="AZY118" s="30"/>
      <c r="AZZ118" s="30"/>
      <c r="BAA118" s="30"/>
      <c r="BAB118" s="30"/>
      <c r="BAC118" s="30"/>
      <c r="BAD118" s="30"/>
      <c r="BAE118" s="30"/>
      <c r="BAF118" s="30"/>
      <c r="BAG118" s="30"/>
      <c r="BAH118" s="30"/>
      <c r="BAI118" s="30"/>
      <c r="BAJ118" s="30"/>
      <c r="BAK118" s="30"/>
      <c r="BAL118" s="30"/>
      <c r="BAM118" s="30"/>
      <c r="BAN118" s="30"/>
      <c r="BAO118" s="30"/>
      <c r="BAP118" s="30"/>
      <c r="BAQ118" s="30"/>
      <c r="BAR118" s="30"/>
      <c r="BAS118" s="30"/>
      <c r="BAT118" s="30"/>
      <c r="BAU118" s="30"/>
      <c r="BAV118" s="30"/>
      <c r="BAW118" s="30"/>
      <c r="BAX118" s="30"/>
      <c r="BAY118" s="30"/>
      <c r="BAZ118" s="30"/>
      <c r="BBA118" s="30"/>
      <c r="BBB118" s="30"/>
      <c r="BBC118" s="30"/>
      <c r="BBD118" s="30"/>
      <c r="BBE118" s="30"/>
      <c r="BBF118" s="30"/>
      <c r="BBG118" s="30"/>
      <c r="BBH118" s="30"/>
      <c r="BBI118" s="30"/>
      <c r="BBJ118" s="30"/>
      <c r="BBK118" s="30"/>
      <c r="BBL118" s="30"/>
      <c r="BBM118" s="30"/>
      <c r="BBN118" s="30"/>
      <c r="BBO118" s="30"/>
      <c r="BBP118" s="30"/>
      <c r="BBQ118" s="30"/>
      <c r="BBR118" s="30"/>
      <c r="BBS118" s="30"/>
      <c r="BBT118" s="30"/>
      <c r="BBU118" s="30"/>
      <c r="BBV118" s="30"/>
      <c r="BBW118" s="30"/>
      <c r="BBX118" s="30"/>
      <c r="BBY118" s="30"/>
      <c r="BBZ118" s="30"/>
      <c r="BCA118" s="30"/>
      <c r="BCB118" s="30"/>
      <c r="BCC118" s="30"/>
      <c r="BCD118" s="30"/>
      <c r="BCE118" s="30"/>
      <c r="BCF118" s="30"/>
      <c r="BCG118" s="30"/>
      <c r="BCH118" s="30"/>
      <c r="BCI118" s="30"/>
      <c r="BCJ118" s="30"/>
      <c r="BCK118" s="30"/>
      <c r="BCL118" s="30"/>
      <c r="BCM118" s="30"/>
      <c r="BCN118" s="30"/>
      <c r="BCO118" s="30"/>
      <c r="BCP118" s="30"/>
      <c r="BCQ118" s="30"/>
      <c r="BCR118" s="30"/>
      <c r="BCS118" s="30"/>
      <c r="BCT118" s="30"/>
      <c r="BCU118" s="30"/>
      <c r="BCV118" s="30"/>
      <c r="BCW118" s="30"/>
      <c r="BCX118" s="30"/>
      <c r="BCY118" s="30"/>
      <c r="BCZ118" s="30"/>
      <c r="BDA118" s="30"/>
      <c r="BDB118" s="30"/>
      <c r="BDC118" s="30"/>
      <c r="BDD118" s="30"/>
      <c r="BDE118" s="30"/>
      <c r="BDF118" s="30"/>
      <c r="BDG118" s="30"/>
      <c r="BDH118" s="30"/>
      <c r="BDI118" s="30"/>
      <c r="BDJ118" s="30"/>
      <c r="BDK118" s="30"/>
      <c r="BDL118" s="30"/>
      <c r="BDM118" s="30"/>
      <c r="BDN118" s="30"/>
      <c r="BDO118" s="30"/>
      <c r="BDP118" s="30"/>
      <c r="BDQ118" s="30"/>
      <c r="BDR118" s="30"/>
      <c r="BDS118" s="30"/>
      <c r="BDT118" s="30"/>
      <c r="BDU118" s="30"/>
      <c r="BDV118" s="30"/>
      <c r="BDW118" s="30"/>
      <c r="BDX118" s="30"/>
      <c r="BDY118" s="30"/>
      <c r="BDZ118" s="30"/>
      <c r="BEA118" s="30"/>
      <c r="BEB118" s="30"/>
      <c r="BEC118" s="30"/>
      <c r="BED118" s="30"/>
      <c r="BEE118" s="30"/>
      <c r="BEF118" s="30"/>
      <c r="BEG118" s="30"/>
      <c r="BEH118" s="30"/>
      <c r="BEI118" s="30"/>
      <c r="BEJ118" s="30"/>
      <c r="BEK118" s="30"/>
      <c r="BEL118" s="30"/>
      <c r="BEM118" s="30"/>
      <c r="BEN118" s="30"/>
      <c r="BEO118" s="30"/>
      <c r="BEP118" s="30"/>
      <c r="BEQ118" s="30"/>
      <c r="BER118" s="30"/>
      <c r="BES118" s="30"/>
      <c r="BET118" s="30"/>
      <c r="BEU118" s="30"/>
      <c r="BEV118" s="30"/>
      <c r="BEW118" s="30"/>
      <c r="BEX118" s="30"/>
      <c r="BEY118" s="30"/>
      <c r="BEZ118" s="30"/>
      <c r="BFA118" s="30"/>
      <c r="BFB118" s="30"/>
      <c r="BFC118" s="30"/>
      <c r="BFD118" s="30"/>
      <c r="BFE118" s="30"/>
      <c r="BFF118" s="30"/>
      <c r="BFG118" s="30"/>
      <c r="BFH118" s="30"/>
      <c r="BFI118" s="30"/>
      <c r="BFJ118" s="30"/>
      <c r="BFK118" s="30"/>
      <c r="BFL118" s="30"/>
      <c r="BFM118" s="30"/>
      <c r="BFN118" s="30"/>
      <c r="BFO118" s="30"/>
      <c r="BFP118" s="30"/>
      <c r="BFQ118" s="30"/>
      <c r="BFR118" s="30"/>
      <c r="BFS118" s="30"/>
      <c r="BFT118" s="30"/>
      <c r="BFU118" s="30"/>
      <c r="BFV118" s="30"/>
      <c r="BFW118" s="30"/>
      <c r="BFX118" s="30"/>
      <c r="BFY118" s="30"/>
      <c r="BFZ118" s="30"/>
      <c r="BGA118" s="30"/>
      <c r="BGB118" s="30"/>
      <c r="BGC118" s="30"/>
      <c r="BGD118" s="30"/>
      <c r="BGE118" s="30"/>
      <c r="BGF118" s="30"/>
      <c r="BGG118" s="30"/>
      <c r="BGH118" s="30"/>
      <c r="BGI118" s="30"/>
      <c r="BGJ118" s="30"/>
      <c r="BGK118" s="30"/>
      <c r="BGL118" s="30"/>
      <c r="BGM118" s="30"/>
      <c r="BGN118" s="30"/>
      <c r="BGO118" s="30"/>
      <c r="BGP118" s="30"/>
      <c r="BGQ118" s="30"/>
      <c r="BGR118" s="30"/>
      <c r="BGS118" s="30"/>
      <c r="BGT118" s="30"/>
      <c r="BGU118" s="30"/>
      <c r="BGV118" s="30"/>
      <c r="BGW118" s="30"/>
      <c r="BGX118" s="30"/>
      <c r="BGY118" s="30"/>
      <c r="BGZ118" s="30"/>
      <c r="BHA118" s="30"/>
      <c r="BHB118" s="30"/>
      <c r="BHC118" s="30"/>
      <c r="BHD118" s="30"/>
      <c r="BHE118" s="30"/>
      <c r="BHF118" s="30"/>
      <c r="BHG118" s="30"/>
      <c r="BHH118" s="30"/>
      <c r="BHI118" s="30"/>
      <c r="BHJ118" s="30"/>
      <c r="BHK118" s="30"/>
      <c r="BHL118" s="30"/>
      <c r="BHM118" s="30"/>
      <c r="BHN118" s="30"/>
      <c r="BHO118" s="30"/>
      <c r="BHP118" s="30"/>
      <c r="BHQ118" s="30"/>
      <c r="BHR118" s="30"/>
      <c r="BHS118" s="30"/>
      <c r="BHT118" s="30"/>
      <c r="BHU118" s="30"/>
      <c r="BHV118" s="30"/>
      <c r="BHW118" s="30"/>
      <c r="BHX118" s="30"/>
      <c r="BHY118" s="30"/>
      <c r="BHZ118" s="30"/>
      <c r="BIA118" s="30"/>
      <c r="BIB118" s="30"/>
      <c r="BIC118" s="30"/>
      <c r="BID118" s="30"/>
      <c r="BIE118" s="30"/>
      <c r="BIF118" s="30"/>
      <c r="BIG118" s="30"/>
      <c r="BIH118" s="30"/>
      <c r="BII118" s="30"/>
      <c r="BIJ118" s="30"/>
      <c r="BIK118" s="30"/>
      <c r="BIL118" s="30"/>
      <c r="BIM118" s="30"/>
      <c r="BIN118" s="30"/>
      <c r="BIO118" s="30"/>
      <c r="BIP118" s="30"/>
      <c r="BIQ118" s="30"/>
      <c r="BIR118" s="30"/>
      <c r="BIS118" s="30"/>
      <c r="BIT118" s="30"/>
      <c r="BIU118" s="30"/>
      <c r="BIV118" s="30"/>
      <c r="BIW118" s="30"/>
      <c r="BIX118" s="30"/>
      <c r="BIY118" s="30"/>
      <c r="BIZ118" s="30"/>
      <c r="BJA118" s="30"/>
      <c r="BJB118" s="30"/>
      <c r="BJC118" s="30"/>
      <c r="BJD118" s="30"/>
      <c r="BJE118" s="30"/>
      <c r="BJF118" s="30"/>
      <c r="BJG118" s="30"/>
      <c r="BJH118" s="30"/>
      <c r="BJI118" s="30"/>
      <c r="BJJ118" s="30"/>
      <c r="BJK118" s="30"/>
      <c r="BJL118" s="30"/>
      <c r="BJM118" s="30"/>
      <c r="BJN118" s="30"/>
      <c r="BJO118" s="30"/>
      <c r="BJP118" s="30"/>
      <c r="BJQ118" s="30"/>
      <c r="BJR118" s="30"/>
      <c r="BJS118" s="30"/>
      <c r="BJT118" s="30"/>
      <c r="BJU118" s="30"/>
      <c r="BJV118" s="30"/>
      <c r="BJW118" s="30"/>
      <c r="BJX118" s="30"/>
      <c r="BJY118" s="30"/>
      <c r="BJZ118" s="30"/>
      <c r="BKA118" s="30"/>
      <c r="BKB118" s="30"/>
      <c r="BKC118" s="30"/>
      <c r="BKD118" s="30"/>
      <c r="BKE118" s="30"/>
      <c r="BKF118" s="30"/>
      <c r="BKG118" s="30"/>
      <c r="BKH118" s="30"/>
      <c r="BKI118" s="30"/>
      <c r="BKJ118" s="30"/>
      <c r="BKK118" s="30"/>
      <c r="BKL118" s="30"/>
      <c r="BKM118" s="30"/>
      <c r="BKN118" s="30"/>
      <c r="BKO118" s="30"/>
      <c r="BKP118" s="30"/>
      <c r="BKQ118" s="30"/>
      <c r="BKR118" s="30"/>
      <c r="BKS118" s="30"/>
      <c r="BKT118" s="30"/>
      <c r="BKU118" s="30"/>
      <c r="BKV118" s="30"/>
      <c r="BKW118" s="30"/>
      <c r="BKX118" s="30"/>
      <c r="BKY118" s="30"/>
      <c r="BKZ118" s="30"/>
      <c r="BLA118" s="30"/>
      <c r="BLB118" s="30"/>
      <c r="BLC118" s="30"/>
      <c r="BLD118" s="30"/>
      <c r="BLE118" s="30"/>
      <c r="BLF118" s="30"/>
      <c r="BLG118" s="30"/>
      <c r="BLH118" s="30"/>
      <c r="BLI118" s="30"/>
      <c r="BLJ118" s="30"/>
      <c r="BLK118" s="30"/>
      <c r="BLL118" s="30"/>
      <c r="BLM118" s="30"/>
      <c r="BLN118" s="30"/>
      <c r="BLO118" s="30"/>
      <c r="BLP118" s="30"/>
      <c r="BLQ118" s="30"/>
      <c r="BLR118" s="30"/>
      <c r="BLS118" s="30"/>
      <c r="BLT118" s="30"/>
      <c r="BLU118" s="30"/>
      <c r="BLV118" s="30"/>
      <c r="BLW118" s="30"/>
      <c r="BLX118" s="30"/>
      <c r="BLY118" s="30"/>
      <c r="BLZ118" s="30"/>
      <c r="BMA118" s="30"/>
      <c r="BMB118" s="30"/>
      <c r="BMC118" s="30"/>
      <c r="BMD118" s="30"/>
      <c r="BME118" s="30"/>
      <c r="BMF118" s="30"/>
      <c r="BMG118" s="30"/>
      <c r="BMH118" s="30"/>
      <c r="BMI118" s="30"/>
      <c r="BMJ118" s="30"/>
      <c r="BMK118" s="30"/>
      <c r="BML118" s="30"/>
      <c r="BMM118" s="30"/>
      <c r="BMN118" s="30"/>
      <c r="BMO118" s="30"/>
      <c r="BMP118" s="30"/>
      <c r="BMQ118" s="30"/>
      <c r="BMR118" s="30"/>
      <c r="BMS118" s="30"/>
      <c r="BMT118" s="30"/>
      <c r="BMU118" s="30"/>
      <c r="BMV118" s="30"/>
      <c r="BMW118" s="30"/>
      <c r="BMX118" s="30"/>
      <c r="BMY118" s="30"/>
      <c r="BMZ118" s="30"/>
      <c r="BNA118" s="30"/>
      <c r="BNB118" s="30"/>
      <c r="BNC118" s="30"/>
      <c r="BND118" s="30"/>
      <c r="BNE118" s="30"/>
      <c r="BNF118" s="30"/>
      <c r="BNG118" s="30"/>
      <c r="BNH118" s="30"/>
      <c r="BNI118" s="30"/>
      <c r="BNJ118" s="30"/>
      <c r="BNK118" s="30"/>
      <c r="BNL118" s="30"/>
      <c r="BNM118" s="30"/>
      <c r="BNN118" s="30"/>
      <c r="BNO118" s="30"/>
      <c r="BNP118" s="30"/>
      <c r="BNQ118" s="30"/>
      <c r="BNR118" s="30"/>
      <c r="BNS118" s="30"/>
      <c r="BNT118" s="30"/>
      <c r="BNU118" s="30"/>
      <c r="BNV118" s="30"/>
      <c r="BNW118" s="30"/>
      <c r="BNX118" s="30"/>
      <c r="BNY118" s="30"/>
      <c r="BNZ118" s="30"/>
      <c r="BOA118" s="30"/>
      <c r="BOB118" s="30"/>
      <c r="BOC118" s="30"/>
      <c r="BOD118" s="30"/>
      <c r="BOE118" s="30"/>
      <c r="BOF118" s="30"/>
      <c r="BOG118" s="30"/>
      <c r="BOH118" s="30"/>
      <c r="BOI118" s="30"/>
      <c r="BOJ118" s="30"/>
      <c r="BOK118" s="30"/>
      <c r="BOL118" s="30"/>
      <c r="BOM118" s="30"/>
      <c r="BON118" s="30"/>
      <c r="BOO118" s="30"/>
      <c r="BOP118" s="30"/>
      <c r="BOQ118" s="30"/>
      <c r="BOR118" s="30"/>
      <c r="BOS118" s="30"/>
      <c r="BOT118" s="30"/>
      <c r="BOU118" s="30"/>
      <c r="BOV118" s="30"/>
      <c r="BOW118" s="30"/>
      <c r="BOX118" s="30"/>
      <c r="BOY118" s="30"/>
      <c r="BOZ118" s="30"/>
      <c r="BPA118" s="30"/>
      <c r="BPB118" s="30"/>
      <c r="BPC118" s="30"/>
      <c r="BPD118" s="30"/>
      <c r="BPE118" s="30"/>
      <c r="BPF118" s="30"/>
      <c r="BPG118" s="30"/>
      <c r="BPH118" s="30"/>
      <c r="BPI118" s="30"/>
      <c r="BPJ118" s="30"/>
      <c r="BPK118" s="30"/>
      <c r="BPL118" s="30"/>
      <c r="BPM118" s="30"/>
      <c r="BPN118" s="30"/>
      <c r="BPO118" s="30"/>
      <c r="BPP118" s="30"/>
      <c r="BPQ118" s="30"/>
      <c r="BPR118" s="30"/>
      <c r="BPS118" s="30"/>
      <c r="BPT118" s="30"/>
      <c r="BPU118" s="30"/>
      <c r="BPV118" s="30"/>
      <c r="BPW118" s="30"/>
      <c r="BPX118" s="30"/>
      <c r="BPY118" s="30"/>
      <c r="BPZ118" s="30"/>
      <c r="BQA118" s="30"/>
      <c r="BQB118" s="30"/>
      <c r="BQC118" s="30"/>
      <c r="BQD118" s="30"/>
      <c r="BQE118" s="30"/>
      <c r="BQF118" s="30"/>
      <c r="BQG118" s="30"/>
      <c r="BQH118" s="30"/>
      <c r="BQI118" s="30"/>
      <c r="BQJ118" s="30"/>
      <c r="BQK118" s="30"/>
      <c r="BQL118" s="30"/>
      <c r="BQM118" s="30"/>
      <c r="BQN118" s="30"/>
      <c r="BQO118" s="30"/>
      <c r="BQP118" s="30"/>
      <c r="BQQ118" s="30"/>
      <c r="BQR118" s="30"/>
      <c r="BQS118" s="30"/>
      <c r="BQT118" s="30"/>
      <c r="BQU118" s="30"/>
      <c r="BQV118" s="30"/>
      <c r="BQW118" s="30"/>
      <c r="BQX118" s="30"/>
      <c r="BQY118" s="30"/>
      <c r="BQZ118" s="30"/>
      <c r="BRA118" s="30"/>
      <c r="BRB118" s="30"/>
      <c r="BRC118" s="30"/>
      <c r="BRD118" s="30"/>
      <c r="BRE118" s="30"/>
      <c r="BRF118" s="30"/>
      <c r="BRG118" s="30"/>
      <c r="BRH118" s="30"/>
      <c r="BRI118" s="30"/>
      <c r="BRJ118" s="30"/>
      <c r="BRK118" s="30"/>
      <c r="BRL118" s="30"/>
      <c r="BRM118" s="30"/>
      <c r="BRN118" s="30"/>
      <c r="BRO118" s="30"/>
      <c r="BRP118" s="30"/>
      <c r="BRQ118" s="30"/>
      <c r="BRR118" s="30"/>
      <c r="BRS118" s="30"/>
      <c r="BRT118" s="30"/>
      <c r="BRU118" s="30"/>
      <c r="BRV118" s="30"/>
      <c r="BRW118" s="30"/>
      <c r="BRX118" s="30"/>
      <c r="BRY118" s="30"/>
      <c r="BRZ118" s="30"/>
      <c r="BSA118" s="30"/>
      <c r="BSB118" s="30"/>
      <c r="BSC118" s="30"/>
      <c r="BSD118" s="30"/>
      <c r="BSE118" s="30"/>
      <c r="BSF118" s="30"/>
      <c r="BSG118" s="30"/>
      <c r="BSH118" s="30"/>
      <c r="BSI118" s="30"/>
      <c r="BSJ118" s="30"/>
      <c r="BSK118" s="30"/>
      <c r="BSL118" s="30"/>
      <c r="BSM118" s="30"/>
      <c r="BSN118" s="30"/>
      <c r="BSO118" s="30"/>
      <c r="BSP118" s="30"/>
      <c r="BSQ118" s="30"/>
      <c r="BSR118" s="30"/>
      <c r="BSS118" s="30"/>
      <c r="BST118" s="30"/>
      <c r="BSU118" s="30"/>
      <c r="BSV118" s="30"/>
      <c r="BSW118" s="30"/>
      <c r="BSX118" s="30"/>
      <c r="BSY118" s="30"/>
      <c r="BSZ118" s="30"/>
      <c r="BTA118" s="30"/>
      <c r="BTB118" s="30"/>
      <c r="BTC118" s="30"/>
      <c r="BTD118" s="30"/>
      <c r="BTE118" s="30"/>
      <c r="BTF118" s="30"/>
      <c r="BTG118" s="30"/>
      <c r="BTH118" s="30"/>
      <c r="BTI118" s="30"/>
      <c r="BTJ118" s="30"/>
      <c r="BTK118" s="30"/>
      <c r="BTL118" s="30"/>
      <c r="BTM118" s="30"/>
      <c r="BTN118" s="30"/>
      <c r="BTO118" s="30"/>
      <c r="BTP118" s="30"/>
      <c r="BTQ118" s="30"/>
      <c r="BTR118" s="30"/>
      <c r="BTS118" s="30"/>
      <c r="BTT118" s="30"/>
      <c r="BTU118" s="30"/>
      <c r="BTV118" s="30"/>
      <c r="BTW118" s="30"/>
      <c r="BTX118" s="30"/>
      <c r="BTY118" s="30"/>
      <c r="BTZ118" s="30"/>
      <c r="BUA118" s="30"/>
      <c r="BUB118" s="30"/>
      <c r="BUC118" s="30"/>
      <c r="BUD118" s="30"/>
      <c r="BUE118" s="30"/>
      <c r="BUF118" s="30"/>
      <c r="BUG118" s="30"/>
      <c r="BUH118" s="30"/>
      <c r="BUI118" s="30"/>
      <c r="BUJ118" s="30"/>
      <c r="BUK118" s="30"/>
      <c r="BUL118" s="30"/>
      <c r="BUM118" s="30"/>
      <c r="BUN118" s="30"/>
      <c r="BUO118" s="30"/>
      <c r="BUP118" s="30"/>
      <c r="BUQ118" s="30"/>
      <c r="BUR118" s="30"/>
      <c r="BUS118" s="30"/>
      <c r="BUT118" s="30"/>
      <c r="BUU118" s="30"/>
      <c r="BUV118" s="30"/>
      <c r="BUW118" s="30"/>
      <c r="BUX118" s="30"/>
      <c r="BUY118" s="30"/>
      <c r="BUZ118" s="30"/>
      <c r="BVA118" s="30"/>
      <c r="BVB118" s="30"/>
      <c r="BVC118" s="30"/>
      <c r="BVD118" s="30"/>
      <c r="BVE118" s="30"/>
      <c r="BVF118" s="30"/>
      <c r="BVG118" s="30"/>
      <c r="BVH118" s="30"/>
      <c r="BVI118" s="30"/>
      <c r="BVJ118" s="30"/>
      <c r="BVK118" s="30"/>
      <c r="BVL118" s="30"/>
      <c r="BVM118" s="30"/>
      <c r="BVN118" s="30"/>
      <c r="BVO118" s="30"/>
      <c r="BVP118" s="30"/>
      <c r="BVQ118" s="30"/>
      <c r="BVR118" s="30"/>
      <c r="BVS118" s="30"/>
      <c r="BVT118" s="30"/>
      <c r="BVU118" s="30"/>
      <c r="BVV118" s="30"/>
      <c r="BVW118" s="30"/>
      <c r="BVX118" s="30"/>
      <c r="BVY118" s="30"/>
      <c r="BVZ118" s="30"/>
      <c r="BWA118" s="30"/>
      <c r="BWB118" s="30"/>
      <c r="BWC118" s="30"/>
      <c r="BWD118" s="30"/>
      <c r="BWE118" s="30"/>
      <c r="BWF118" s="30"/>
      <c r="BWG118" s="30"/>
      <c r="BWH118" s="30"/>
      <c r="BWI118" s="30"/>
      <c r="BWJ118" s="30"/>
      <c r="BWK118" s="30"/>
      <c r="BWL118" s="30"/>
      <c r="BWM118" s="30"/>
      <c r="BWN118" s="30"/>
      <c r="BWO118" s="30"/>
      <c r="BWP118" s="30"/>
      <c r="BWQ118" s="30"/>
      <c r="BWR118" s="30"/>
      <c r="BWS118" s="30"/>
      <c r="BWT118" s="30"/>
      <c r="BWU118" s="30"/>
      <c r="BWV118" s="30"/>
      <c r="BWW118" s="30"/>
      <c r="BWX118" s="30"/>
      <c r="BWY118" s="30"/>
      <c r="BWZ118" s="30"/>
      <c r="BXA118" s="30"/>
      <c r="BXB118" s="30"/>
      <c r="BXC118" s="30"/>
      <c r="BXD118" s="30"/>
      <c r="BXE118" s="30"/>
      <c r="BXF118" s="30"/>
      <c r="BXG118" s="30"/>
      <c r="BXH118" s="30"/>
      <c r="BXI118" s="30"/>
      <c r="BXJ118" s="30"/>
      <c r="BXK118" s="30"/>
      <c r="BXL118" s="30"/>
      <c r="BXM118" s="30"/>
      <c r="BXN118" s="30"/>
      <c r="BXO118" s="30"/>
      <c r="BXP118" s="30"/>
      <c r="BXQ118" s="30"/>
      <c r="BXR118" s="30"/>
      <c r="BXS118" s="30"/>
      <c r="BXT118" s="30"/>
      <c r="BXU118" s="30"/>
      <c r="BXV118" s="30"/>
      <c r="BXW118" s="30"/>
      <c r="BXX118" s="30"/>
      <c r="BXY118" s="30"/>
      <c r="BXZ118" s="30"/>
      <c r="BYA118" s="30"/>
      <c r="BYB118" s="30"/>
      <c r="BYC118" s="30"/>
      <c r="BYD118" s="30"/>
      <c r="BYE118" s="30"/>
      <c r="BYF118" s="30"/>
      <c r="BYG118" s="30"/>
      <c r="BYH118" s="30"/>
      <c r="BYI118" s="30"/>
      <c r="BYJ118" s="30"/>
      <c r="BYK118" s="30"/>
      <c r="BYL118" s="30"/>
      <c r="BYM118" s="30"/>
      <c r="BYN118" s="30"/>
      <c r="BYO118" s="30"/>
      <c r="BYP118" s="30"/>
      <c r="BYQ118" s="30"/>
      <c r="BYR118" s="30"/>
      <c r="BYS118" s="30"/>
      <c r="BYT118" s="30"/>
      <c r="BYU118" s="30"/>
      <c r="BYV118" s="30"/>
      <c r="BYW118" s="30"/>
      <c r="BYX118" s="30"/>
      <c r="BYY118" s="30"/>
      <c r="BYZ118" s="30"/>
      <c r="BZA118" s="30"/>
      <c r="BZB118" s="30"/>
      <c r="BZC118" s="30"/>
      <c r="BZD118" s="30"/>
      <c r="BZE118" s="30"/>
      <c r="BZF118" s="30"/>
      <c r="BZG118" s="30"/>
      <c r="BZH118" s="30"/>
      <c r="BZI118" s="30"/>
      <c r="BZJ118" s="30"/>
      <c r="BZK118" s="30"/>
      <c r="BZL118" s="30"/>
      <c r="BZM118" s="30"/>
      <c r="BZN118" s="30"/>
      <c r="BZO118" s="30"/>
      <c r="BZP118" s="30"/>
      <c r="BZQ118" s="30"/>
      <c r="BZR118" s="30"/>
      <c r="BZS118" s="30"/>
      <c r="BZT118" s="30"/>
      <c r="BZU118" s="30"/>
      <c r="BZV118" s="30"/>
      <c r="BZW118" s="30"/>
      <c r="BZX118" s="30"/>
      <c r="BZY118" s="30"/>
      <c r="BZZ118" s="30"/>
      <c r="CAA118" s="30"/>
      <c r="CAB118" s="30"/>
      <c r="CAC118" s="30"/>
      <c r="CAD118" s="30"/>
      <c r="CAE118" s="30"/>
      <c r="CAF118" s="30"/>
      <c r="CAG118" s="30"/>
      <c r="CAH118" s="30"/>
      <c r="CAI118" s="30"/>
      <c r="CAJ118" s="30"/>
      <c r="CAK118" s="30"/>
      <c r="CAL118" s="30"/>
      <c r="CAM118" s="30"/>
      <c r="CAN118" s="30"/>
      <c r="CAO118" s="30"/>
      <c r="CAP118" s="30"/>
      <c r="CAQ118" s="30"/>
      <c r="CAR118" s="30"/>
      <c r="CAS118" s="30"/>
      <c r="CAT118" s="30"/>
      <c r="CAU118" s="30"/>
      <c r="CAV118" s="30"/>
      <c r="CAW118" s="30"/>
      <c r="CAX118" s="30"/>
      <c r="CAY118" s="30"/>
      <c r="CAZ118" s="30"/>
      <c r="CBA118" s="30"/>
      <c r="CBB118" s="30"/>
      <c r="CBC118" s="30"/>
      <c r="CBD118" s="30"/>
      <c r="CBE118" s="30"/>
      <c r="CBF118" s="30"/>
      <c r="CBG118" s="30"/>
      <c r="CBH118" s="30"/>
      <c r="CBI118" s="30"/>
      <c r="CBJ118" s="30"/>
      <c r="CBK118" s="30"/>
      <c r="CBL118" s="30"/>
      <c r="CBM118" s="30"/>
      <c r="CBN118" s="30"/>
      <c r="CBO118" s="30"/>
      <c r="CBP118" s="30"/>
      <c r="CBQ118" s="30"/>
      <c r="CBR118" s="30"/>
      <c r="CBS118" s="30"/>
      <c r="CBT118" s="30"/>
      <c r="CBU118" s="30"/>
      <c r="CBV118" s="30"/>
      <c r="CBW118" s="30"/>
      <c r="CBX118" s="30"/>
      <c r="CBY118" s="30"/>
      <c r="CBZ118" s="30"/>
      <c r="CCA118" s="30"/>
      <c r="CCB118" s="30"/>
      <c r="CCC118" s="30"/>
      <c r="CCD118" s="30"/>
      <c r="CCE118" s="30"/>
      <c r="CCF118" s="30"/>
      <c r="CCG118" s="30"/>
      <c r="CCH118" s="30"/>
      <c r="CCI118" s="30"/>
      <c r="CCJ118" s="30"/>
      <c r="CCK118" s="30"/>
      <c r="CCL118" s="30"/>
      <c r="CCM118" s="30"/>
      <c r="CCN118" s="30"/>
      <c r="CCO118" s="30"/>
      <c r="CCP118" s="30"/>
      <c r="CCQ118" s="30"/>
      <c r="CCR118" s="30"/>
      <c r="CCS118" s="30"/>
      <c r="CCT118" s="30"/>
      <c r="CCU118" s="30"/>
      <c r="CCV118" s="30"/>
      <c r="CCW118" s="30"/>
      <c r="CCX118" s="30"/>
      <c r="CCY118" s="30"/>
      <c r="CCZ118" s="30"/>
      <c r="CDA118" s="30"/>
      <c r="CDB118" s="30"/>
      <c r="CDC118" s="30"/>
      <c r="CDD118" s="30"/>
      <c r="CDE118" s="30"/>
      <c r="CDF118" s="30"/>
      <c r="CDG118" s="30"/>
      <c r="CDH118" s="30"/>
      <c r="CDI118" s="30"/>
      <c r="CDJ118" s="30"/>
      <c r="CDK118" s="30"/>
      <c r="CDL118" s="30"/>
      <c r="CDM118" s="30"/>
      <c r="CDN118" s="30"/>
      <c r="CDO118" s="30"/>
      <c r="CDP118" s="30"/>
      <c r="CDQ118" s="30"/>
      <c r="CDR118" s="30"/>
      <c r="CDS118" s="30"/>
      <c r="CDT118" s="30"/>
      <c r="CDU118" s="30"/>
      <c r="CDV118" s="30"/>
      <c r="CDW118" s="30"/>
      <c r="CDX118" s="30"/>
      <c r="CDY118" s="30"/>
      <c r="CDZ118" s="30"/>
      <c r="CEA118" s="30"/>
      <c r="CEB118" s="30"/>
      <c r="CEC118" s="30"/>
      <c r="CED118" s="30"/>
      <c r="CEE118" s="30"/>
      <c r="CEF118" s="30"/>
      <c r="CEG118" s="30"/>
      <c r="CEH118" s="30"/>
      <c r="CEI118" s="30"/>
      <c r="CEJ118" s="30"/>
      <c r="CEK118" s="30"/>
      <c r="CEL118" s="30"/>
      <c r="CEM118" s="30"/>
      <c r="CEN118" s="30"/>
      <c r="CEO118" s="30"/>
      <c r="CEP118" s="30"/>
      <c r="CEQ118" s="30"/>
      <c r="CER118" s="30"/>
      <c r="CES118" s="30"/>
      <c r="CET118" s="30"/>
      <c r="CEU118" s="30"/>
      <c r="CEV118" s="30"/>
      <c r="CEW118" s="30"/>
      <c r="CEX118" s="30"/>
      <c r="CEY118" s="30"/>
      <c r="CEZ118" s="30"/>
      <c r="CFA118" s="30"/>
      <c r="CFB118" s="30"/>
      <c r="CFC118" s="30"/>
      <c r="CFD118" s="30"/>
      <c r="CFE118" s="30"/>
      <c r="CFF118" s="30"/>
      <c r="CFG118" s="30"/>
      <c r="CFH118" s="30"/>
      <c r="CFI118" s="30"/>
      <c r="CFJ118" s="30"/>
      <c r="CFK118" s="30"/>
      <c r="CFL118" s="30"/>
      <c r="CFM118" s="30"/>
      <c r="CFN118" s="30"/>
      <c r="CFO118" s="30"/>
      <c r="CFP118" s="30"/>
      <c r="CFQ118" s="30"/>
      <c r="CFR118" s="30"/>
      <c r="CFS118" s="30"/>
      <c r="CFT118" s="30"/>
      <c r="CFU118" s="30"/>
      <c r="CFV118" s="30"/>
      <c r="CFW118" s="30"/>
      <c r="CFX118" s="30"/>
      <c r="CFY118" s="30"/>
      <c r="CFZ118" s="30"/>
      <c r="CGA118" s="30"/>
      <c r="CGB118" s="30"/>
      <c r="CGC118" s="30"/>
      <c r="CGD118" s="30"/>
      <c r="CGE118" s="30"/>
      <c r="CGF118" s="30"/>
      <c r="CGG118" s="30"/>
      <c r="CGH118" s="30"/>
      <c r="CGI118" s="30"/>
      <c r="CGJ118" s="30"/>
      <c r="CGK118" s="30"/>
      <c r="CGL118" s="30"/>
      <c r="CGM118" s="30"/>
      <c r="CGN118" s="30"/>
      <c r="CGO118" s="30"/>
      <c r="CGP118" s="30"/>
      <c r="CGQ118" s="30"/>
      <c r="CGR118" s="30"/>
      <c r="CGS118" s="30"/>
      <c r="CGT118" s="30"/>
      <c r="CGU118" s="30"/>
      <c r="CGV118" s="30"/>
      <c r="CGW118" s="30"/>
      <c r="CGX118" s="30"/>
      <c r="CGY118" s="30"/>
      <c r="CGZ118" s="30"/>
      <c r="CHA118" s="30"/>
      <c r="CHB118" s="30"/>
      <c r="CHC118" s="30"/>
      <c r="CHD118" s="30"/>
      <c r="CHE118" s="30"/>
      <c r="CHF118" s="30"/>
      <c r="CHG118" s="30"/>
      <c r="CHH118" s="30"/>
      <c r="CHI118" s="30"/>
      <c r="CHJ118" s="30"/>
      <c r="CHK118" s="30"/>
      <c r="CHL118" s="30"/>
      <c r="CHM118" s="30"/>
      <c r="CHN118" s="30"/>
      <c r="CHO118" s="30"/>
      <c r="CHP118" s="30"/>
      <c r="CHQ118" s="30"/>
      <c r="CHR118" s="30"/>
      <c r="CHS118" s="30"/>
      <c r="CHT118" s="30"/>
      <c r="CHU118" s="30"/>
      <c r="CHV118" s="30"/>
      <c r="CHW118" s="30"/>
      <c r="CHX118" s="30"/>
      <c r="CHY118" s="30"/>
      <c r="CHZ118" s="30"/>
      <c r="CIA118" s="30"/>
      <c r="CIB118" s="30"/>
      <c r="CIC118" s="30"/>
      <c r="CID118" s="30"/>
      <c r="CIE118" s="30"/>
      <c r="CIF118" s="30"/>
      <c r="CIG118" s="30"/>
      <c r="CIH118" s="30"/>
      <c r="CII118" s="30"/>
      <c r="CIJ118" s="30"/>
      <c r="CIK118" s="30"/>
      <c r="CIL118" s="30"/>
      <c r="CIM118" s="30"/>
      <c r="CIN118" s="30"/>
      <c r="CIO118" s="30"/>
      <c r="CIP118" s="30"/>
      <c r="CIQ118" s="30"/>
      <c r="CIR118" s="30"/>
      <c r="CIS118" s="30"/>
      <c r="CIT118" s="30"/>
      <c r="CIU118" s="30"/>
      <c r="CIV118" s="30"/>
      <c r="CIW118" s="30"/>
      <c r="CIX118" s="30"/>
      <c r="CIY118" s="30"/>
      <c r="CIZ118" s="30"/>
      <c r="CJA118" s="30"/>
      <c r="CJB118" s="30"/>
      <c r="CJC118" s="30"/>
      <c r="CJD118" s="30"/>
      <c r="CJE118" s="30"/>
      <c r="CJF118" s="30"/>
      <c r="CJG118" s="30"/>
      <c r="CJH118" s="30"/>
      <c r="CJI118" s="30"/>
      <c r="CJJ118" s="30"/>
      <c r="CJK118" s="30"/>
      <c r="CJL118" s="30"/>
      <c r="CJM118" s="30"/>
      <c r="CJN118" s="30"/>
      <c r="CJO118" s="30"/>
      <c r="CJP118" s="30"/>
      <c r="CJQ118" s="30"/>
      <c r="CJR118" s="30"/>
      <c r="CJS118" s="30"/>
      <c r="CJT118" s="30"/>
      <c r="CJU118" s="30"/>
      <c r="CJV118" s="30"/>
      <c r="CJW118" s="30"/>
      <c r="CJX118" s="30"/>
      <c r="CJY118" s="30"/>
      <c r="CJZ118" s="30"/>
      <c r="CKA118" s="30"/>
      <c r="CKB118" s="30"/>
      <c r="CKC118" s="30"/>
      <c r="CKD118" s="30"/>
      <c r="CKE118" s="30"/>
      <c r="CKF118" s="30"/>
      <c r="CKG118" s="30"/>
      <c r="CKH118" s="30"/>
      <c r="CKI118" s="30"/>
      <c r="CKJ118" s="30"/>
      <c r="CKK118" s="30"/>
      <c r="CKL118" s="30"/>
      <c r="CKM118" s="30"/>
      <c r="CKN118" s="30"/>
      <c r="CKO118" s="30"/>
      <c r="CKP118" s="30"/>
      <c r="CKQ118" s="30"/>
      <c r="CKR118" s="30"/>
      <c r="CKS118" s="30"/>
      <c r="CKT118" s="30"/>
      <c r="CKU118" s="30"/>
      <c r="CKV118" s="30"/>
      <c r="CKW118" s="30"/>
      <c r="CKX118" s="30"/>
      <c r="CKY118" s="30"/>
      <c r="CKZ118" s="30"/>
      <c r="CLA118" s="30"/>
      <c r="CLB118" s="30"/>
      <c r="CLC118" s="30"/>
      <c r="CLD118" s="30"/>
      <c r="CLE118" s="30"/>
      <c r="CLF118" s="30"/>
      <c r="CLG118" s="30"/>
      <c r="CLH118" s="30"/>
      <c r="CLI118" s="30"/>
      <c r="CLJ118" s="30"/>
      <c r="CLK118" s="30"/>
      <c r="CLL118" s="30"/>
      <c r="CLM118" s="30"/>
      <c r="CLN118" s="30"/>
      <c r="CLO118" s="30"/>
      <c r="CLP118" s="30"/>
      <c r="CLQ118" s="30"/>
      <c r="CLR118" s="30"/>
      <c r="CLS118" s="30"/>
      <c r="CLT118" s="30"/>
      <c r="CLU118" s="30"/>
      <c r="CLV118" s="30"/>
      <c r="CLW118" s="30"/>
      <c r="CLX118" s="30"/>
      <c r="CLY118" s="30"/>
      <c r="CLZ118" s="30"/>
      <c r="CMA118" s="30"/>
      <c r="CMB118" s="30"/>
      <c r="CMC118" s="30"/>
      <c r="CMD118" s="30"/>
      <c r="CME118" s="30"/>
      <c r="CMF118" s="30"/>
      <c r="CMG118" s="30"/>
      <c r="CMH118" s="30"/>
      <c r="CMI118" s="30"/>
      <c r="CMJ118" s="30"/>
      <c r="CMK118" s="30"/>
      <c r="CML118" s="30"/>
      <c r="CMM118" s="30"/>
      <c r="CMN118" s="30"/>
      <c r="CMO118" s="30"/>
      <c r="CMP118" s="30"/>
      <c r="CMQ118" s="30"/>
      <c r="CMR118" s="30"/>
      <c r="CMS118" s="30"/>
      <c r="CMT118" s="30"/>
      <c r="CMU118" s="30"/>
      <c r="CMV118" s="30"/>
      <c r="CMW118" s="30"/>
      <c r="CMX118" s="30"/>
      <c r="CMY118" s="30"/>
      <c r="CMZ118" s="30"/>
      <c r="CNA118" s="30"/>
      <c r="CNB118" s="30"/>
      <c r="CNC118" s="30"/>
      <c r="CND118" s="30"/>
      <c r="CNE118" s="30"/>
      <c r="CNF118" s="30"/>
      <c r="CNG118" s="30"/>
      <c r="CNH118" s="30"/>
      <c r="CNI118" s="30"/>
      <c r="CNJ118" s="30"/>
      <c r="CNK118" s="30"/>
      <c r="CNL118" s="30"/>
      <c r="CNM118" s="30"/>
      <c r="CNN118" s="30"/>
      <c r="CNO118" s="30"/>
      <c r="CNP118" s="30"/>
      <c r="CNQ118" s="30"/>
      <c r="CNR118" s="30"/>
      <c r="CNS118" s="30"/>
      <c r="CNT118" s="30"/>
      <c r="CNU118" s="30"/>
      <c r="CNV118" s="30"/>
      <c r="CNW118" s="30"/>
      <c r="CNX118" s="30"/>
      <c r="CNY118" s="30"/>
      <c r="CNZ118" s="30"/>
      <c r="COA118" s="30"/>
      <c r="COB118" s="30"/>
      <c r="COC118" s="30"/>
      <c r="COD118" s="30"/>
      <c r="COE118" s="30"/>
      <c r="COF118" s="30"/>
      <c r="COG118" s="30"/>
      <c r="COH118" s="30"/>
      <c r="COI118" s="30"/>
      <c r="COJ118" s="30"/>
      <c r="COK118" s="30"/>
      <c r="COL118" s="30"/>
      <c r="COM118" s="30"/>
      <c r="CON118" s="30"/>
      <c r="COO118" s="30"/>
      <c r="COP118" s="30"/>
      <c r="COQ118" s="30"/>
      <c r="COR118" s="30"/>
      <c r="COS118" s="30"/>
      <c r="COT118" s="30"/>
      <c r="COU118" s="30"/>
      <c r="COV118" s="30"/>
      <c r="COW118" s="30"/>
      <c r="COX118" s="30"/>
      <c r="COY118" s="30"/>
      <c r="COZ118" s="30"/>
      <c r="CPA118" s="30"/>
      <c r="CPB118" s="30"/>
      <c r="CPC118" s="30"/>
      <c r="CPD118" s="30"/>
      <c r="CPE118" s="30"/>
      <c r="CPF118" s="30"/>
      <c r="CPG118" s="30"/>
      <c r="CPH118" s="30"/>
      <c r="CPI118" s="30"/>
      <c r="CPJ118" s="30"/>
      <c r="CPK118" s="30"/>
      <c r="CPL118" s="30"/>
      <c r="CPM118" s="30"/>
      <c r="CPN118" s="30"/>
      <c r="CPO118" s="30"/>
      <c r="CPP118" s="30"/>
      <c r="CPQ118" s="30"/>
      <c r="CPR118" s="30"/>
      <c r="CPS118" s="30"/>
      <c r="CPT118" s="30"/>
      <c r="CPU118" s="30"/>
      <c r="CPV118" s="30"/>
      <c r="CPW118" s="30"/>
      <c r="CPX118" s="30"/>
      <c r="CPY118" s="30"/>
      <c r="CPZ118" s="30"/>
      <c r="CQA118" s="30"/>
      <c r="CQB118" s="30"/>
      <c r="CQC118" s="30"/>
      <c r="CQD118" s="30"/>
      <c r="CQE118" s="30"/>
      <c r="CQF118" s="30"/>
      <c r="CQG118" s="30"/>
      <c r="CQH118" s="30"/>
      <c r="CQI118" s="30"/>
      <c r="CQJ118" s="30"/>
      <c r="CQK118" s="30"/>
      <c r="CQL118" s="30"/>
      <c r="CQM118" s="30"/>
      <c r="CQN118" s="30"/>
      <c r="CQO118" s="30"/>
      <c r="CQP118" s="30"/>
      <c r="CQQ118" s="30"/>
      <c r="CQR118" s="30"/>
      <c r="CQS118" s="30"/>
      <c r="CQT118" s="30"/>
      <c r="CQU118" s="30"/>
      <c r="CQV118" s="30"/>
      <c r="CQW118" s="30"/>
      <c r="CQX118" s="30"/>
      <c r="CQY118" s="30"/>
      <c r="CQZ118" s="30"/>
      <c r="CRA118" s="30"/>
      <c r="CRB118" s="30"/>
      <c r="CRC118" s="30"/>
      <c r="CRD118" s="30"/>
      <c r="CRE118" s="30"/>
      <c r="CRF118" s="30"/>
      <c r="CRG118" s="30"/>
      <c r="CRH118" s="30"/>
      <c r="CRI118" s="30"/>
      <c r="CRJ118" s="30"/>
      <c r="CRK118" s="30"/>
      <c r="CRL118" s="30"/>
      <c r="CRM118" s="30"/>
      <c r="CRN118" s="30"/>
      <c r="CRO118" s="30"/>
      <c r="CRP118" s="30"/>
      <c r="CRQ118" s="30"/>
      <c r="CRR118" s="30"/>
      <c r="CRS118" s="30"/>
      <c r="CRT118" s="30"/>
      <c r="CRU118" s="30"/>
      <c r="CRV118" s="30"/>
      <c r="CRW118" s="30"/>
      <c r="CRX118" s="30"/>
      <c r="CRY118" s="30"/>
      <c r="CRZ118" s="30"/>
      <c r="CSA118" s="30"/>
      <c r="CSB118" s="30"/>
      <c r="CSC118" s="30"/>
      <c r="CSD118" s="30"/>
      <c r="CSE118" s="30"/>
      <c r="CSF118" s="30"/>
      <c r="CSG118" s="30"/>
      <c r="CSH118" s="30"/>
      <c r="CSI118" s="30"/>
      <c r="CSJ118" s="30"/>
      <c r="CSK118" s="30"/>
      <c r="CSL118" s="30"/>
      <c r="CSM118" s="30"/>
      <c r="CSN118" s="30"/>
      <c r="CSO118" s="30"/>
      <c r="CSP118" s="30"/>
      <c r="CSQ118" s="30"/>
      <c r="CSR118" s="30"/>
      <c r="CSS118" s="30"/>
      <c r="CST118" s="30"/>
      <c r="CSU118" s="30"/>
      <c r="CSV118" s="30"/>
      <c r="CSW118" s="30"/>
      <c r="CSX118" s="30"/>
      <c r="CSY118" s="30"/>
      <c r="CSZ118" s="30"/>
      <c r="CTA118" s="30"/>
      <c r="CTB118" s="30"/>
      <c r="CTC118" s="30"/>
      <c r="CTD118" s="30"/>
      <c r="CTE118" s="30"/>
      <c r="CTF118" s="30"/>
      <c r="CTG118" s="30"/>
      <c r="CTH118" s="30"/>
      <c r="CTI118" s="30"/>
      <c r="CTJ118" s="30"/>
      <c r="CTK118" s="30"/>
      <c r="CTL118" s="30"/>
      <c r="CTM118" s="30"/>
      <c r="CTN118" s="30"/>
      <c r="CTO118" s="30"/>
      <c r="CTP118" s="30"/>
      <c r="CTQ118" s="30"/>
      <c r="CTR118" s="30"/>
      <c r="CTS118" s="30"/>
      <c r="CTT118" s="30"/>
      <c r="CTU118" s="30"/>
      <c r="CTV118" s="30"/>
      <c r="CTW118" s="30"/>
      <c r="CTX118" s="30"/>
      <c r="CTY118" s="30"/>
      <c r="CTZ118" s="30"/>
      <c r="CUA118" s="30"/>
    </row>
    <row r="119" s="267" customFormat="1" ht="23" customHeight="1" spans="1:2575">
      <c r="A119" s="268">
        <v>125</v>
      </c>
      <c r="B119" s="268" t="s">
        <v>15</v>
      </c>
      <c r="C119" s="268" t="s">
        <v>37</v>
      </c>
      <c r="D119" s="82" t="s">
        <v>675</v>
      </c>
      <c r="E119" s="29" t="s">
        <v>912</v>
      </c>
      <c r="F119" s="31" t="s">
        <v>947</v>
      </c>
      <c r="G119" s="31" t="s">
        <v>913</v>
      </c>
      <c r="H119" s="32">
        <v>3000127</v>
      </c>
      <c r="I119" s="32">
        <v>2012.01</v>
      </c>
      <c r="J119" s="31" t="s">
        <v>914</v>
      </c>
      <c r="K119" s="31" t="s">
        <v>915</v>
      </c>
      <c r="L119" s="31" t="s">
        <v>667</v>
      </c>
      <c r="M119" s="29" t="s">
        <v>674</v>
      </c>
      <c r="N119" s="94">
        <v>45826</v>
      </c>
      <c r="O119" s="317">
        <v>46190</v>
      </c>
      <c r="P119" s="142">
        <v>1000</v>
      </c>
      <c r="Q119" s="251"/>
      <c r="R119" s="85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/>
      <c r="HI119" s="30"/>
      <c r="HJ119" s="30"/>
      <c r="HK119" s="30"/>
      <c r="HL119" s="30"/>
      <c r="HM119" s="30"/>
      <c r="HN119" s="30"/>
      <c r="HO119" s="30"/>
      <c r="HP119" s="30"/>
      <c r="HQ119" s="30"/>
      <c r="HR119" s="30"/>
      <c r="HS119" s="30"/>
      <c r="HT119" s="30"/>
      <c r="HU119" s="30"/>
      <c r="HV119" s="30"/>
      <c r="HW119" s="30"/>
      <c r="HX119" s="30"/>
      <c r="HY119" s="30"/>
      <c r="HZ119" s="30"/>
      <c r="IA119" s="30"/>
      <c r="IB119" s="30"/>
      <c r="IC119" s="30"/>
      <c r="ID119" s="30"/>
      <c r="IE119" s="30"/>
      <c r="IF119" s="30"/>
      <c r="IG119" s="30"/>
      <c r="IH119" s="30"/>
      <c r="II119" s="30"/>
      <c r="IJ119" s="30"/>
      <c r="IK119" s="30"/>
      <c r="IL119" s="30"/>
      <c r="IM119" s="30"/>
      <c r="IN119" s="30"/>
      <c r="IO119" s="30"/>
      <c r="IP119" s="30"/>
      <c r="IQ119" s="30"/>
      <c r="IR119" s="30"/>
      <c r="IS119" s="30"/>
      <c r="IT119" s="30"/>
      <c r="IU119" s="30"/>
      <c r="IV119" s="30"/>
      <c r="IW119" s="30"/>
      <c r="IX119" s="30"/>
      <c r="IY119" s="30"/>
      <c r="IZ119" s="30"/>
      <c r="JA119" s="30"/>
      <c r="JB119" s="30"/>
      <c r="JC119" s="30"/>
      <c r="JD119" s="30"/>
      <c r="JE119" s="30"/>
      <c r="JF119" s="30"/>
      <c r="JG119" s="30"/>
      <c r="JH119" s="30"/>
      <c r="JI119" s="30"/>
      <c r="JJ119" s="30"/>
      <c r="JK119" s="30"/>
      <c r="JL119" s="30"/>
      <c r="JM119" s="30"/>
      <c r="JN119" s="30"/>
      <c r="JO119" s="30"/>
      <c r="JP119" s="30"/>
      <c r="JQ119" s="30"/>
      <c r="JR119" s="30"/>
      <c r="JS119" s="30"/>
      <c r="JT119" s="30"/>
      <c r="JU119" s="30"/>
      <c r="JV119" s="30"/>
      <c r="JW119" s="30"/>
      <c r="JX119" s="30"/>
      <c r="JY119" s="30"/>
      <c r="JZ119" s="30"/>
      <c r="KA119" s="30"/>
      <c r="KB119" s="30"/>
      <c r="KC119" s="30"/>
      <c r="KD119" s="30"/>
      <c r="KE119" s="30"/>
      <c r="KF119" s="30"/>
      <c r="KG119" s="30"/>
      <c r="KH119" s="30"/>
      <c r="KI119" s="30"/>
      <c r="KJ119" s="30"/>
      <c r="KK119" s="30"/>
      <c r="KL119" s="30"/>
      <c r="KM119" s="30"/>
      <c r="KN119" s="30"/>
      <c r="KO119" s="30"/>
      <c r="KP119" s="30"/>
      <c r="KQ119" s="30"/>
      <c r="KR119" s="30"/>
      <c r="KS119" s="30"/>
      <c r="KT119" s="30"/>
      <c r="KU119" s="30"/>
      <c r="KV119" s="30"/>
      <c r="KW119" s="30"/>
      <c r="KX119" s="30"/>
      <c r="KY119" s="30"/>
      <c r="KZ119" s="30"/>
      <c r="LA119" s="30"/>
      <c r="LB119" s="30"/>
      <c r="LC119" s="30"/>
      <c r="LD119" s="30"/>
      <c r="LE119" s="30"/>
      <c r="LF119" s="30"/>
      <c r="LG119" s="30"/>
      <c r="LH119" s="30"/>
      <c r="LI119" s="30"/>
      <c r="LJ119" s="30"/>
      <c r="LK119" s="30"/>
      <c r="LL119" s="30"/>
      <c r="LM119" s="30"/>
      <c r="LN119" s="30"/>
      <c r="LO119" s="30"/>
      <c r="LP119" s="30"/>
      <c r="LQ119" s="30"/>
      <c r="LR119" s="30"/>
      <c r="LS119" s="30"/>
      <c r="LT119" s="30"/>
      <c r="LU119" s="30"/>
      <c r="LV119" s="30"/>
      <c r="LW119" s="30"/>
      <c r="LX119" s="30"/>
      <c r="LY119" s="30"/>
      <c r="LZ119" s="30"/>
      <c r="MA119" s="30"/>
      <c r="MB119" s="30"/>
      <c r="MC119" s="30"/>
      <c r="MD119" s="30"/>
      <c r="ME119" s="30"/>
      <c r="MF119" s="30"/>
      <c r="MG119" s="30"/>
      <c r="MH119" s="30"/>
      <c r="MI119" s="30"/>
      <c r="MJ119" s="30"/>
      <c r="MK119" s="30"/>
      <c r="ML119" s="30"/>
      <c r="MM119" s="30"/>
      <c r="MN119" s="30"/>
      <c r="MO119" s="30"/>
      <c r="MP119" s="30"/>
      <c r="MQ119" s="30"/>
      <c r="MR119" s="30"/>
      <c r="MS119" s="30"/>
      <c r="MT119" s="30"/>
      <c r="MU119" s="30"/>
      <c r="MV119" s="30"/>
      <c r="MW119" s="30"/>
      <c r="MX119" s="30"/>
      <c r="MY119" s="30"/>
      <c r="MZ119" s="30"/>
      <c r="NA119" s="30"/>
      <c r="NB119" s="30"/>
      <c r="NC119" s="30"/>
      <c r="ND119" s="30"/>
      <c r="NE119" s="30"/>
      <c r="NF119" s="30"/>
      <c r="NG119" s="30"/>
      <c r="NH119" s="30"/>
      <c r="NI119" s="30"/>
      <c r="NJ119" s="30"/>
      <c r="NK119" s="30"/>
      <c r="NL119" s="30"/>
      <c r="NM119" s="30"/>
      <c r="NN119" s="30"/>
      <c r="NO119" s="30"/>
      <c r="NP119" s="30"/>
      <c r="NQ119" s="30"/>
      <c r="NR119" s="30"/>
      <c r="NS119" s="30"/>
      <c r="NT119" s="30"/>
      <c r="NU119" s="30"/>
      <c r="NV119" s="30"/>
      <c r="NW119" s="30"/>
      <c r="NX119" s="30"/>
      <c r="NY119" s="30"/>
      <c r="NZ119" s="30"/>
      <c r="OA119" s="30"/>
      <c r="OB119" s="30"/>
      <c r="OC119" s="30"/>
      <c r="OD119" s="30"/>
      <c r="OE119" s="30"/>
      <c r="OF119" s="30"/>
      <c r="OG119" s="30"/>
      <c r="OH119" s="30"/>
      <c r="OI119" s="30"/>
      <c r="OJ119" s="30"/>
      <c r="OK119" s="30"/>
      <c r="OL119" s="30"/>
      <c r="OM119" s="30"/>
      <c r="ON119" s="30"/>
      <c r="OO119" s="30"/>
      <c r="OP119" s="30"/>
      <c r="OQ119" s="30"/>
      <c r="OR119" s="30"/>
      <c r="OS119" s="30"/>
      <c r="OT119" s="30"/>
      <c r="OU119" s="30"/>
      <c r="OV119" s="30"/>
      <c r="OW119" s="30"/>
      <c r="OX119" s="30"/>
      <c r="OY119" s="30"/>
      <c r="OZ119" s="30"/>
      <c r="PA119" s="30"/>
      <c r="PB119" s="30"/>
      <c r="PC119" s="30"/>
      <c r="PD119" s="30"/>
      <c r="PE119" s="30"/>
      <c r="PF119" s="30"/>
      <c r="PG119" s="30"/>
      <c r="PH119" s="30"/>
      <c r="PI119" s="30"/>
      <c r="PJ119" s="30"/>
      <c r="PK119" s="30"/>
      <c r="PL119" s="30"/>
      <c r="PM119" s="30"/>
      <c r="PN119" s="30"/>
      <c r="PO119" s="30"/>
      <c r="PP119" s="30"/>
      <c r="PQ119" s="30"/>
      <c r="PR119" s="30"/>
      <c r="PS119" s="30"/>
      <c r="PT119" s="30"/>
      <c r="PU119" s="30"/>
      <c r="PV119" s="30"/>
      <c r="PW119" s="30"/>
      <c r="PX119" s="30"/>
      <c r="PY119" s="30"/>
      <c r="PZ119" s="30"/>
      <c r="QA119" s="30"/>
      <c r="QB119" s="30"/>
      <c r="QC119" s="30"/>
      <c r="QD119" s="30"/>
      <c r="QE119" s="30"/>
      <c r="QF119" s="30"/>
      <c r="QG119" s="30"/>
      <c r="QH119" s="30"/>
      <c r="QI119" s="30"/>
      <c r="QJ119" s="30"/>
      <c r="QK119" s="30"/>
      <c r="QL119" s="30"/>
      <c r="QM119" s="30"/>
      <c r="QN119" s="30"/>
      <c r="QO119" s="30"/>
      <c r="QP119" s="30"/>
      <c r="QQ119" s="30"/>
      <c r="QR119" s="30"/>
      <c r="QS119" s="30"/>
      <c r="QT119" s="30"/>
      <c r="QU119" s="30"/>
      <c r="QV119" s="30"/>
      <c r="QW119" s="30"/>
      <c r="QX119" s="30"/>
      <c r="QY119" s="30"/>
      <c r="QZ119" s="30"/>
      <c r="RA119" s="30"/>
      <c r="RB119" s="30"/>
      <c r="RC119" s="30"/>
      <c r="RD119" s="30"/>
      <c r="RE119" s="30"/>
      <c r="RF119" s="30"/>
      <c r="RG119" s="30"/>
      <c r="RH119" s="30"/>
      <c r="RI119" s="30"/>
      <c r="RJ119" s="30"/>
      <c r="RK119" s="30"/>
      <c r="RL119" s="30"/>
      <c r="RM119" s="30"/>
      <c r="RN119" s="30"/>
      <c r="RO119" s="30"/>
      <c r="RP119" s="30"/>
      <c r="RQ119" s="30"/>
      <c r="RR119" s="30"/>
      <c r="RS119" s="30"/>
      <c r="RT119" s="30"/>
      <c r="RU119" s="30"/>
      <c r="RV119" s="30"/>
      <c r="RW119" s="30"/>
      <c r="RX119" s="30"/>
      <c r="RY119" s="30"/>
      <c r="RZ119" s="30"/>
      <c r="SA119" s="30"/>
      <c r="SB119" s="30"/>
      <c r="SC119" s="30"/>
      <c r="SD119" s="30"/>
      <c r="SE119" s="30"/>
      <c r="SF119" s="30"/>
      <c r="SG119" s="30"/>
      <c r="SH119" s="30"/>
      <c r="SI119" s="30"/>
      <c r="SJ119" s="30"/>
      <c r="SK119" s="30"/>
      <c r="SL119" s="30"/>
      <c r="SM119" s="30"/>
      <c r="SN119" s="30"/>
      <c r="SO119" s="30"/>
      <c r="SP119" s="30"/>
      <c r="SQ119" s="30"/>
      <c r="SR119" s="30"/>
      <c r="SS119" s="30"/>
      <c r="ST119" s="30"/>
      <c r="SU119" s="30"/>
      <c r="SV119" s="30"/>
      <c r="SW119" s="30"/>
      <c r="SX119" s="30"/>
      <c r="SY119" s="30"/>
      <c r="SZ119" s="30"/>
      <c r="TA119" s="30"/>
      <c r="TB119" s="30"/>
      <c r="TC119" s="30"/>
      <c r="TD119" s="30"/>
      <c r="TE119" s="30"/>
      <c r="TF119" s="30"/>
      <c r="TG119" s="30"/>
      <c r="TH119" s="30"/>
      <c r="TI119" s="30"/>
      <c r="TJ119" s="30"/>
      <c r="TK119" s="30"/>
      <c r="TL119" s="30"/>
      <c r="TM119" s="30"/>
      <c r="TN119" s="30"/>
      <c r="TO119" s="30"/>
      <c r="TP119" s="30"/>
      <c r="TQ119" s="30"/>
      <c r="TR119" s="30"/>
      <c r="TS119" s="30"/>
      <c r="TT119" s="30"/>
      <c r="TU119" s="30"/>
      <c r="TV119" s="30"/>
      <c r="TW119" s="30"/>
      <c r="TX119" s="30"/>
      <c r="TY119" s="30"/>
      <c r="TZ119" s="30"/>
      <c r="UA119" s="30"/>
      <c r="UB119" s="30"/>
      <c r="UC119" s="30"/>
      <c r="UD119" s="30"/>
      <c r="UE119" s="30"/>
      <c r="UF119" s="30"/>
      <c r="UG119" s="30"/>
      <c r="UH119" s="30"/>
      <c r="UI119" s="30"/>
      <c r="UJ119" s="30"/>
      <c r="UK119" s="30"/>
      <c r="UL119" s="30"/>
      <c r="UM119" s="30"/>
      <c r="UN119" s="30"/>
      <c r="UO119" s="30"/>
      <c r="UP119" s="30"/>
      <c r="UQ119" s="30"/>
      <c r="UR119" s="30"/>
      <c r="US119" s="30"/>
      <c r="UT119" s="30"/>
      <c r="UU119" s="30"/>
      <c r="UV119" s="30"/>
      <c r="UW119" s="30"/>
      <c r="UX119" s="30"/>
      <c r="UY119" s="30"/>
      <c r="UZ119" s="30"/>
      <c r="VA119" s="30"/>
      <c r="VB119" s="30"/>
      <c r="VC119" s="30"/>
      <c r="VD119" s="30"/>
      <c r="VE119" s="30"/>
      <c r="VF119" s="30"/>
      <c r="VG119" s="30"/>
      <c r="VH119" s="30"/>
      <c r="VI119" s="30"/>
      <c r="VJ119" s="30"/>
      <c r="VK119" s="30"/>
      <c r="VL119" s="30"/>
      <c r="VM119" s="30"/>
      <c r="VN119" s="30"/>
      <c r="VO119" s="30"/>
      <c r="VP119" s="30"/>
      <c r="VQ119" s="30"/>
      <c r="VR119" s="30"/>
      <c r="VS119" s="30"/>
      <c r="VT119" s="30"/>
      <c r="VU119" s="30"/>
      <c r="VV119" s="30"/>
      <c r="VW119" s="30"/>
      <c r="VX119" s="30"/>
      <c r="VY119" s="30"/>
      <c r="VZ119" s="30"/>
      <c r="WA119" s="30"/>
      <c r="WB119" s="30"/>
      <c r="WC119" s="30"/>
      <c r="WD119" s="30"/>
      <c r="WE119" s="30"/>
      <c r="WF119" s="30"/>
      <c r="WG119" s="30"/>
      <c r="WH119" s="30"/>
      <c r="WI119" s="30"/>
      <c r="WJ119" s="30"/>
      <c r="WK119" s="30"/>
      <c r="WL119" s="30"/>
      <c r="WM119" s="30"/>
      <c r="WN119" s="30"/>
      <c r="WO119" s="30"/>
      <c r="WP119" s="30"/>
      <c r="WQ119" s="30"/>
      <c r="WR119" s="30"/>
      <c r="WS119" s="30"/>
      <c r="WT119" s="30"/>
      <c r="WU119" s="30"/>
      <c r="WV119" s="30"/>
      <c r="WW119" s="30"/>
      <c r="WX119" s="30"/>
      <c r="WY119" s="30"/>
      <c r="WZ119" s="30"/>
      <c r="XA119" s="30"/>
      <c r="XB119" s="30"/>
      <c r="XC119" s="30"/>
      <c r="XD119" s="30"/>
      <c r="XE119" s="30"/>
      <c r="XF119" s="30"/>
      <c r="XG119" s="30"/>
      <c r="XH119" s="30"/>
      <c r="XI119" s="30"/>
      <c r="XJ119" s="30"/>
      <c r="XK119" s="30"/>
      <c r="XL119" s="30"/>
      <c r="XM119" s="30"/>
      <c r="XN119" s="30"/>
      <c r="XO119" s="30"/>
      <c r="XP119" s="30"/>
      <c r="XQ119" s="30"/>
      <c r="XR119" s="30"/>
      <c r="XS119" s="30"/>
      <c r="XT119" s="30"/>
      <c r="XU119" s="30"/>
      <c r="XV119" s="30"/>
      <c r="XW119" s="30"/>
      <c r="XX119" s="30"/>
      <c r="XY119" s="30"/>
      <c r="XZ119" s="30"/>
      <c r="YA119" s="30"/>
      <c r="YB119" s="30"/>
      <c r="YC119" s="30"/>
      <c r="YD119" s="30"/>
      <c r="YE119" s="30"/>
      <c r="YF119" s="30"/>
      <c r="YG119" s="30"/>
      <c r="YH119" s="30"/>
      <c r="YI119" s="30"/>
      <c r="YJ119" s="30"/>
      <c r="YK119" s="30"/>
      <c r="YL119" s="30"/>
      <c r="YM119" s="30"/>
      <c r="YN119" s="30"/>
      <c r="YO119" s="30"/>
      <c r="YP119" s="30"/>
      <c r="YQ119" s="30"/>
      <c r="YR119" s="30"/>
      <c r="YS119" s="30"/>
      <c r="YT119" s="30"/>
      <c r="YU119" s="30"/>
      <c r="YV119" s="30"/>
      <c r="YW119" s="30"/>
      <c r="YX119" s="30"/>
      <c r="YY119" s="30"/>
      <c r="YZ119" s="30"/>
      <c r="ZA119" s="30"/>
      <c r="ZB119" s="30"/>
      <c r="ZC119" s="30"/>
      <c r="ZD119" s="30"/>
      <c r="ZE119" s="30"/>
      <c r="ZF119" s="30"/>
      <c r="ZG119" s="30"/>
      <c r="ZH119" s="30"/>
      <c r="ZI119" s="30"/>
      <c r="ZJ119" s="30"/>
      <c r="ZK119" s="30"/>
      <c r="ZL119" s="30"/>
      <c r="ZM119" s="30"/>
      <c r="ZN119" s="30"/>
      <c r="ZO119" s="30"/>
      <c r="ZP119" s="30"/>
      <c r="ZQ119" s="30"/>
      <c r="ZR119" s="30"/>
      <c r="ZS119" s="30"/>
      <c r="ZT119" s="30"/>
      <c r="ZU119" s="30"/>
      <c r="ZV119" s="30"/>
      <c r="ZW119" s="30"/>
      <c r="ZX119" s="30"/>
      <c r="ZY119" s="30"/>
      <c r="ZZ119" s="30"/>
      <c r="AAA119" s="30"/>
      <c r="AAB119" s="30"/>
      <c r="AAC119" s="30"/>
      <c r="AAD119" s="30"/>
      <c r="AAE119" s="30"/>
      <c r="AAF119" s="30"/>
      <c r="AAG119" s="30"/>
      <c r="AAH119" s="30"/>
      <c r="AAI119" s="30"/>
      <c r="AAJ119" s="30"/>
      <c r="AAK119" s="30"/>
      <c r="AAL119" s="30"/>
      <c r="AAM119" s="30"/>
      <c r="AAN119" s="30"/>
      <c r="AAO119" s="30"/>
      <c r="AAP119" s="30"/>
      <c r="AAQ119" s="30"/>
      <c r="AAR119" s="30"/>
      <c r="AAS119" s="30"/>
      <c r="AAT119" s="30"/>
      <c r="AAU119" s="30"/>
      <c r="AAV119" s="30"/>
      <c r="AAW119" s="30"/>
      <c r="AAX119" s="30"/>
      <c r="AAY119" s="30"/>
      <c r="AAZ119" s="30"/>
      <c r="ABA119" s="30"/>
      <c r="ABB119" s="30"/>
      <c r="ABC119" s="30"/>
      <c r="ABD119" s="30"/>
      <c r="ABE119" s="30"/>
      <c r="ABF119" s="30"/>
      <c r="ABG119" s="30"/>
      <c r="ABH119" s="30"/>
      <c r="ABI119" s="30"/>
      <c r="ABJ119" s="30"/>
      <c r="ABK119" s="30"/>
      <c r="ABL119" s="30"/>
      <c r="ABM119" s="30"/>
      <c r="ABN119" s="30"/>
      <c r="ABO119" s="30"/>
      <c r="ABP119" s="30"/>
      <c r="ABQ119" s="30"/>
      <c r="ABR119" s="30"/>
      <c r="ABS119" s="30"/>
      <c r="ABT119" s="30"/>
      <c r="ABU119" s="30"/>
      <c r="ABV119" s="30"/>
      <c r="ABW119" s="30"/>
      <c r="ABX119" s="30"/>
      <c r="ABY119" s="30"/>
      <c r="ABZ119" s="30"/>
      <c r="ACA119" s="30"/>
      <c r="ACB119" s="30"/>
      <c r="ACC119" s="30"/>
      <c r="ACD119" s="30"/>
      <c r="ACE119" s="30"/>
      <c r="ACF119" s="30"/>
      <c r="ACG119" s="30"/>
      <c r="ACH119" s="30"/>
      <c r="ACI119" s="30"/>
      <c r="ACJ119" s="30"/>
      <c r="ACK119" s="30"/>
      <c r="ACL119" s="30"/>
      <c r="ACM119" s="30"/>
      <c r="ACN119" s="30"/>
      <c r="ACO119" s="30"/>
      <c r="ACP119" s="30"/>
      <c r="ACQ119" s="30"/>
      <c r="ACR119" s="30"/>
      <c r="ACS119" s="30"/>
      <c r="ACT119" s="30"/>
      <c r="ACU119" s="30"/>
      <c r="ACV119" s="30"/>
      <c r="ACW119" s="30"/>
      <c r="ACX119" s="30"/>
      <c r="ACY119" s="30"/>
      <c r="ACZ119" s="30"/>
      <c r="ADA119" s="30"/>
      <c r="ADB119" s="30"/>
      <c r="ADC119" s="30"/>
      <c r="ADD119" s="30"/>
      <c r="ADE119" s="30"/>
      <c r="ADF119" s="30"/>
      <c r="ADG119" s="30"/>
      <c r="ADH119" s="30"/>
      <c r="ADI119" s="30"/>
      <c r="ADJ119" s="30"/>
      <c r="ADK119" s="30"/>
      <c r="ADL119" s="30"/>
      <c r="ADM119" s="30"/>
      <c r="ADN119" s="30"/>
      <c r="ADO119" s="30"/>
      <c r="ADP119" s="30"/>
      <c r="ADQ119" s="30"/>
      <c r="ADR119" s="30"/>
      <c r="ADS119" s="30"/>
      <c r="ADT119" s="30"/>
      <c r="ADU119" s="30"/>
      <c r="ADV119" s="30"/>
      <c r="ADW119" s="30"/>
      <c r="ADX119" s="30"/>
      <c r="ADY119" s="30"/>
      <c r="ADZ119" s="30"/>
      <c r="AEA119" s="30"/>
      <c r="AEB119" s="30"/>
      <c r="AEC119" s="30"/>
      <c r="AED119" s="30"/>
      <c r="AEE119" s="30"/>
      <c r="AEF119" s="30"/>
      <c r="AEG119" s="30"/>
      <c r="AEH119" s="30"/>
      <c r="AEI119" s="30"/>
      <c r="AEJ119" s="30"/>
      <c r="AEK119" s="30"/>
      <c r="AEL119" s="30"/>
      <c r="AEM119" s="30"/>
      <c r="AEN119" s="30"/>
      <c r="AEO119" s="30"/>
      <c r="AEP119" s="30"/>
      <c r="AEQ119" s="30"/>
      <c r="AER119" s="30"/>
      <c r="AES119" s="30"/>
      <c r="AET119" s="30"/>
      <c r="AEU119" s="30"/>
      <c r="AEV119" s="30"/>
      <c r="AEW119" s="30"/>
      <c r="AEX119" s="30"/>
      <c r="AEY119" s="30"/>
      <c r="AEZ119" s="30"/>
      <c r="AFA119" s="30"/>
      <c r="AFB119" s="30"/>
      <c r="AFC119" s="30"/>
      <c r="AFD119" s="30"/>
      <c r="AFE119" s="30"/>
      <c r="AFF119" s="30"/>
      <c r="AFG119" s="30"/>
      <c r="AFH119" s="30"/>
      <c r="AFI119" s="30"/>
      <c r="AFJ119" s="30"/>
      <c r="AFK119" s="30"/>
      <c r="AFL119" s="30"/>
      <c r="AFM119" s="30"/>
      <c r="AFN119" s="30"/>
      <c r="AFO119" s="30"/>
      <c r="AFP119" s="30"/>
      <c r="AFQ119" s="30"/>
      <c r="AFR119" s="30"/>
      <c r="AFS119" s="30"/>
      <c r="AFT119" s="30"/>
      <c r="AFU119" s="30"/>
      <c r="AFV119" s="30"/>
      <c r="AFW119" s="30"/>
      <c r="AFX119" s="30"/>
      <c r="AFY119" s="30"/>
      <c r="AFZ119" s="30"/>
      <c r="AGA119" s="30"/>
      <c r="AGB119" s="30"/>
      <c r="AGC119" s="30"/>
      <c r="AGD119" s="30"/>
      <c r="AGE119" s="30"/>
      <c r="AGF119" s="30"/>
      <c r="AGG119" s="30"/>
      <c r="AGH119" s="30"/>
      <c r="AGI119" s="30"/>
      <c r="AGJ119" s="30"/>
      <c r="AGK119" s="30"/>
      <c r="AGL119" s="30"/>
      <c r="AGM119" s="30"/>
      <c r="AGN119" s="30"/>
      <c r="AGO119" s="30"/>
      <c r="AGP119" s="30"/>
      <c r="AGQ119" s="30"/>
      <c r="AGR119" s="30"/>
      <c r="AGS119" s="30"/>
      <c r="AGT119" s="30"/>
      <c r="AGU119" s="30"/>
      <c r="AGV119" s="30"/>
      <c r="AGW119" s="30"/>
      <c r="AGX119" s="30"/>
      <c r="AGY119" s="30"/>
      <c r="AGZ119" s="30"/>
      <c r="AHA119" s="30"/>
      <c r="AHB119" s="30"/>
      <c r="AHC119" s="30"/>
      <c r="AHD119" s="30"/>
      <c r="AHE119" s="30"/>
      <c r="AHF119" s="30"/>
      <c r="AHG119" s="30"/>
      <c r="AHH119" s="30"/>
      <c r="AHI119" s="30"/>
      <c r="AHJ119" s="30"/>
      <c r="AHK119" s="30"/>
      <c r="AHL119" s="30"/>
      <c r="AHM119" s="30"/>
      <c r="AHN119" s="30"/>
      <c r="AHO119" s="30"/>
      <c r="AHP119" s="30"/>
      <c r="AHQ119" s="30"/>
      <c r="AHR119" s="30"/>
      <c r="AHS119" s="30"/>
      <c r="AHT119" s="30"/>
      <c r="AHU119" s="30"/>
      <c r="AHV119" s="30"/>
      <c r="AHW119" s="30"/>
      <c r="AHX119" s="30"/>
      <c r="AHY119" s="30"/>
      <c r="AHZ119" s="30"/>
      <c r="AIA119" s="30"/>
      <c r="AIB119" s="30"/>
      <c r="AIC119" s="30"/>
      <c r="AID119" s="30"/>
      <c r="AIE119" s="30"/>
      <c r="AIF119" s="30"/>
      <c r="AIG119" s="30"/>
      <c r="AIH119" s="30"/>
      <c r="AII119" s="30"/>
      <c r="AIJ119" s="30"/>
      <c r="AIK119" s="30"/>
      <c r="AIL119" s="30"/>
      <c r="AIM119" s="30"/>
      <c r="AIN119" s="30"/>
      <c r="AIO119" s="30"/>
      <c r="AIP119" s="30"/>
      <c r="AIQ119" s="30"/>
      <c r="AIR119" s="30"/>
      <c r="AIS119" s="30"/>
      <c r="AIT119" s="30"/>
      <c r="AIU119" s="30"/>
      <c r="AIV119" s="30"/>
      <c r="AIW119" s="30"/>
      <c r="AIX119" s="30"/>
      <c r="AIY119" s="30"/>
      <c r="AIZ119" s="30"/>
      <c r="AJA119" s="30"/>
      <c r="AJB119" s="30"/>
      <c r="AJC119" s="30"/>
      <c r="AJD119" s="30"/>
      <c r="AJE119" s="30"/>
      <c r="AJF119" s="30"/>
      <c r="AJG119" s="30"/>
      <c r="AJH119" s="30"/>
      <c r="AJI119" s="30"/>
      <c r="AJJ119" s="30"/>
      <c r="AJK119" s="30"/>
      <c r="AJL119" s="30"/>
      <c r="AJM119" s="30"/>
      <c r="AJN119" s="30"/>
      <c r="AJO119" s="30"/>
      <c r="AJP119" s="30"/>
      <c r="AJQ119" s="30"/>
      <c r="AJR119" s="30"/>
      <c r="AJS119" s="30"/>
      <c r="AJT119" s="30"/>
      <c r="AJU119" s="30"/>
      <c r="AJV119" s="30"/>
      <c r="AJW119" s="30"/>
      <c r="AJX119" s="30"/>
      <c r="AJY119" s="30"/>
      <c r="AJZ119" s="30"/>
      <c r="AKA119" s="30"/>
      <c r="AKB119" s="30"/>
      <c r="AKC119" s="30"/>
      <c r="AKD119" s="30"/>
      <c r="AKE119" s="30"/>
      <c r="AKF119" s="30"/>
      <c r="AKG119" s="30"/>
      <c r="AKH119" s="30"/>
      <c r="AKI119" s="30"/>
      <c r="AKJ119" s="30"/>
      <c r="AKK119" s="30"/>
      <c r="AKL119" s="30"/>
      <c r="AKM119" s="30"/>
      <c r="AKN119" s="30"/>
      <c r="AKO119" s="30"/>
      <c r="AKP119" s="30"/>
      <c r="AKQ119" s="30"/>
      <c r="AKR119" s="30"/>
      <c r="AKS119" s="30"/>
      <c r="AKT119" s="30"/>
      <c r="AKU119" s="30"/>
      <c r="AKV119" s="30"/>
      <c r="AKW119" s="30"/>
      <c r="AKX119" s="30"/>
      <c r="AKY119" s="30"/>
      <c r="AKZ119" s="30"/>
      <c r="ALA119" s="30"/>
      <c r="ALB119" s="30"/>
      <c r="ALC119" s="30"/>
      <c r="ALD119" s="30"/>
      <c r="ALE119" s="30"/>
      <c r="ALF119" s="30"/>
      <c r="ALG119" s="30"/>
      <c r="ALH119" s="30"/>
      <c r="ALI119" s="30"/>
      <c r="ALJ119" s="30"/>
      <c r="ALK119" s="30"/>
      <c r="ALL119" s="30"/>
      <c r="ALM119" s="30"/>
      <c r="ALN119" s="30"/>
      <c r="ALO119" s="30"/>
      <c r="ALP119" s="30"/>
      <c r="ALQ119" s="30"/>
      <c r="ALR119" s="30"/>
      <c r="ALS119" s="30"/>
      <c r="ALT119" s="30"/>
      <c r="ALU119" s="30"/>
      <c r="ALV119" s="30"/>
      <c r="ALW119" s="30"/>
      <c r="ALX119" s="30"/>
      <c r="ALY119" s="30"/>
      <c r="ALZ119" s="30"/>
      <c r="AMA119" s="30"/>
      <c r="AMB119" s="30"/>
      <c r="AMC119" s="30"/>
      <c r="AMD119" s="30"/>
      <c r="AME119" s="30"/>
      <c r="AMF119" s="30"/>
      <c r="AMG119" s="30"/>
      <c r="AMH119" s="30"/>
      <c r="AMI119" s="30"/>
      <c r="AMJ119" s="30"/>
      <c r="AMK119" s="30"/>
      <c r="AML119" s="30"/>
      <c r="AMM119" s="30"/>
      <c r="AMN119" s="30"/>
      <c r="AMO119" s="30"/>
      <c r="AMP119" s="30"/>
      <c r="AMQ119" s="30"/>
      <c r="AMR119" s="30"/>
      <c r="AMS119" s="30"/>
      <c r="AMT119" s="30"/>
      <c r="AMU119" s="30"/>
      <c r="AMV119" s="30"/>
      <c r="AMW119" s="30"/>
      <c r="AMX119" s="30"/>
      <c r="AMY119" s="30"/>
      <c r="AMZ119" s="30"/>
      <c r="ANA119" s="30"/>
      <c r="ANB119" s="30"/>
      <c r="ANC119" s="30"/>
      <c r="AND119" s="30"/>
      <c r="ANE119" s="30"/>
      <c r="ANF119" s="30"/>
      <c r="ANG119" s="30"/>
      <c r="ANH119" s="30"/>
      <c r="ANI119" s="30"/>
      <c r="ANJ119" s="30"/>
      <c r="ANK119" s="30"/>
      <c r="ANL119" s="30"/>
      <c r="ANM119" s="30"/>
      <c r="ANN119" s="30"/>
      <c r="ANO119" s="30"/>
      <c r="ANP119" s="30"/>
      <c r="ANQ119" s="30"/>
      <c r="ANR119" s="30"/>
      <c r="ANS119" s="30"/>
      <c r="ANT119" s="30"/>
      <c r="ANU119" s="30"/>
      <c r="ANV119" s="30"/>
      <c r="ANW119" s="30"/>
      <c r="ANX119" s="30"/>
      <c r="ANY119" s="30"/>
      <c r="ANZ119" s="30"/>
      <c r="AOA119" s="30"/>
      <c r="AOB119" s="30"/>
      <c r="AOC119" s="30"/>
      <c r="AOD119" s="30"/>
      <c r="AOE119" s="30"/>
      <c r="AOF119" s="30"/>
      <c r="AOG119" s="30"/>
      <c r="AOH119" s="30"/>
      <c r="AOI119" s="30"/>
      <c r="AOJ119" s="30"/>
      <c r="AOK119" s="30"/>
      <c r="AOL119" s="30"/>
      <c r="AOM119" s="30"/>
      <c r="AON119" s="30"/>
      <c r="AOO119" s="30"/>
      <c r="AOP119" s="30"/>
      <c r="AOQ119" s="30"/>
      <c r="AOR119" s="30"/>
      <c r="AOS119" s="30"/>
      <c r="AOT119" s="30"/>
      <c r="AOU119" s="30"/>
      <c r="AOV119" s="30"/>
      <c r="AOW119" s="30"/>
      <c r="AOX119" s="30"/>
      <c r="AOY119" s="30"/>
      <c r="AOZ119" s="30"/>
      <c r="APA119" s="30"/>
      <c r="APB119" s="30"/>
      <c r="APC119" s="30"/>
      <c r="APD119" s="30"/>
      <c r="APE119" s="30"/>
      <c r="APF119" s="30"/>
      <c r="APG119" s="30"/>
      <c r="APH119" s="30"/>
      <c r="API119" s="30"/>
      <c r="APJ119" s="30"/>
      <c r="APK119" s="30"/>
      <c r="APL119" s="30"/>
      <c r="APM119" s="30"/>
      <c r="APN119" s="30"/>
      <c r="APO119" s="30"/>
      <c r="APP119" s="30"/>
      <c r="APQ119" s="30"/>
      <c r="APR119" s="30"/>
      <c r="APS119" s="30"/>
      <c r="APT119" s="30"/>
      <c r="APU119" s="30"/>
      <c r="APV119" s="30"/>
      <c r="APW119" s="30"/>
      <c r="APX119" s="30"/>
      <c r="APY119" s="30"/>
      <c r="APZ119" s="30"/>
      <c r="AQA119" s="30"/>
      <c r="AQB119" s="30"/>
      <c r="AQC119" s="30"/>
      <c r="AQD119" s="30"/>
      <c r="AQE119" s="30"/>
      <c r="AQF119" s="30"/>
      <c r="AQG119" s="30"/>
      <c r="AQH119" s="30"/>
      <c r="AQI119" s="30"/>
      <c r="AQJ119" s="30"/>
      <c r="AQK119" s="30"/>
      <c r="AQL119" s="30"/>
      <c r="AQM119" s="30"/>
      <c r="AQN119" s="30"/>
      <c r="AQO119" s="30"/>
      <c r="AQP119" s="30"/>
      <c r="AQQ119" s="30"/>
      <c r="AQR119" s="30"/>
      <c r="AQS119" s="30"/>
      <c r="AQT119" s="30"/>
      <c r="AQU119" s="30"/>
      <c r="AQV119" s="30"/>
      <c r="AQW119" s="30"/>
      <c r="AQX119" s="30"/>
      <c r="AQY119" s="30"/>
      <c r="AQZ119" s="30"/>
      <c r="ARA119" s="30"/>
      <c r="ARB119" s="30"/>
      <c r="ARC119" s="30"/>
      <c r="ARD119" s="30"/>
      <c r="ARE119" s="30"/>
      <c r="ARF119" s="30"/>
      <c r="ARG119" s="30"/>
      <c r="ARH119" s="30"/>
      <c r="ARI119" s="30"/>
      <c r="ARJ119" s="30"/>
      <c r="ARK119" s="30"/>
      <c r="ARL119" s="30"/>
      <c r="ARM119" s="30"/>
      <c r="ARN119" s="30"/>
      <c r="ARO119" s="30"/>
      <c r="ARP119" s="30"/>
      <c r="ARQ119" s="30"/>
      <c r="ARR119" s="30"/>
      <c r="ARS119" s="30"/>
      <c r="ART119" s="30"/>
      <c r="ARU119" s="30"/>
      <c r="ARV119" s="30"/>
      <c r="ARW119" s="30"/>
      <c r="ARX119" s="30"/>
      <c r="ARY119" s="30"/>
      <c r="ARZ119" s="30"/>
      <c r="ASA119" s="30"/>
      <c r="ASB119" s="30"/>
      <c r="ASC119" s="30"/>
      <c r="ASD119" s="30"/>
      <c r="ASE119" s="30"/>
      <c r="ASF119" s="30"/>
      <c r="ASG119" s="30"/>
      <c r="ASH119" s="30"/>
      <c r="ASI119" s="30"/>
      <c r="ASJ119" s="30"/>
      <c r="ASK119" s="30"/>
      <c r="ASL119" s="30"/>
      <c r="ASM119" s="30"/>
      <c r="ASN119" s="30"/>
      <c r="ASO119" s="30"/>
      <c r="ASP119" s="30"/>
      <c r="ASQ119" s="30"/>
      <c r="ASR119" s="30"/>
      <c r="ASS119" s="30"/>
      <c r="AST119" s="30"/>
      <c r="ASU119" s="30"/>
      <c r="ASV119" s="30"/>
      <c r="ASW119" s="30"/>
      <c r="ASX119" s="30"/>
      <c r="ASY119" s="30"/>
      <c r="ASZ119" s="30"/>
      <c r="ATA119" s="30"/>
      <c r="ATB119" s="30"/>
      <c r="ATC119" s="30"/>
      <c r="ATD119" s="30"/>
      <c r="ATE119" s="30"/>
      <c r="ATF119" s="30"/>
      <c r="ATG119" s="30"/>
      <c r="ATH119" s="30"/>
      <c r="ATI119" s="30"/>
      <c r="ATJ119" s="30"/>
      <c r="ATK119" s="30"/>
      <c r="ATL119" s="30"/>
      <c r="ATM119" s="30"/>
      <c r="ATN119" s="30"/>
      <c r="ATO119" s="30"/>
      <c r="ATP119" s="30"/>
      <c r="ATQ119" s="30"/>
      <c r="ATR119" s="30"/>
      <c r="ATS119" s="30"/>
      <c r="ATT119" s="30"/>
      <c r="ATU119" s="30"/>
      <c r="ATV119" s="30"/>
      <c r="ATW119" s="30"/>
      <c r="ATX119" s="30"/>
      <c r="ATY119" s="30"/>
      <c r="ATZ119" s="30"/>
      <c r="AUA119" s="30"/>
      <c r="AUB119" s="30"/>
      <c r="AUC119" s="30"/>
      <c r="AUD119" s="30"/>
      <c r="AUE119" s="30"/>
      <c r="AUF119" s="30"/>
      <c r="AUG119" s="30"/>
      <c r="AUH119" s="30"/>
      <c r="AUI119" s="30"/>
      <c r="AUJ119" s="30"/>
      <c r="AUK119" s="30"/>
      <c r="AUL119" s="30"/>
      <c r="AUM119" s="30"/>
      <c r="AUN119" s="30"/>
      <c r="AUO119" s="30"/>
      <c r="AUP119" s="30"/>
      <c r="AUQ119" s="30"/>
      <c r="AUR119" s="30"/>
      <c r="AUS119" s="30"/>
      <c r="AUT119" s="30"/>
      <c r="AUU119" s="30"/>
      <c r="AUV119" s="30"/>
      <c r="AUW119" s="30"/>
      <c r="AUX119" s="30"/>
      <c r="AUY119" s="30"/>
      <c r="AUZ119" s="30"/>
      <c r="AVA119" s="30"/>
      <c r="AVB119" s="30"/>
      <c r="AVC119" s="30"/>
      <c r="AVD119" s="30"/>
      <c r="AVE119" s="30"/>
      <c r="AVF119" s="30"/>
      <c r="AVG119" s="30"/>
      <c r="AVH119" s="30"/>
      <c r="AVI119" s="30"/>
      <c r="AVJ119" s="30"/>
      <c r="AVK119" s="30"/>
      <c r="AVL119" s="30"/>
      <c r="AVM119" s="30"/>
      <c r="AVN119" s="30"/>
      <c r="AVO119" s="30"/>
      <c r="AVP119" s="30"/>
      <c r="AVQ119" s="30"/>
      <c r="AVR119" s="30"/>
      <c r="AVS119" s="30"/>
      <c r="AVT119" s="30"/>
      <c r="AVU119" s="30"/>
      <c r="AVV119" s="30"/>
      <c r="AVW119" s="30"/>
      <c r="AVX119" s="30"/>
      <c r="AVY119" s="30"/>
      <c r="AVZ119" s="30"/>
      <c r="AWA119" s="30"/>
      <c r="AWB119" s="30"/>
      <c r="AWC119" s="30"/>
      <c r="AWD119" s="30"/>
      <c r="AWE119" s="30"/>
      <c r="AWF119" s="30"/>
      <c r="AWG119" s="30"/>
      <c r="AWH119" s="30"/>
      <c r="AWI119" s="30"/>
      <c r="AWJ119" s="30"/>
      <c r="AWK119" s="30"/>
      <c r="AWL119" s="30"/>
      <c r="AWM119" s="30"/>
      <c r="AWN119" s="30"/>
      <c r="AWO119" s="30"/>
      <c r="AWP119" s="30"/>
      <c r="AWQ119" s="30"/>
      <c r="AWR119" s="30"/>
      <c r="AWS119" s="30"/>
      <c r="AWT119" s="30"/>
      <c r="AWU119" s="30"/>
      <c r="AWV119" s="30"/>
      <c r="AWW119" s="30"/>
      <c r="AWX119" s="30"/>
      <c r="AWY119" s="30"/>
      <c r="AWZ119" s="30"/>
      <c r="AXA119" s="30"/>
      <c r="AXB119" s="30"/>
      <c r="AXC119" s="30"/>
      <c r="AXD119" s="30"/>
      <c r="AXE119" s="30"/>
      <c r="AXF119" s="30"/>
      <c r="AXG119" s="30"/>
      <c r="AXH119" s="30"/>
      <c r="AXI119" s="30"/>
      <c r="AXJ119" s="30"/>
      <c r="AXK119" s="30"/>
      <c r="AXL119" s="30"/>
      <c r="AXM119" s="30"/>
      <c r="AXN119" s="30"/>
      <c r="AXO119" s="30"/>
      <c r="AXP119" s="30"/>
      <c r="AXQ119" s="30"/>
      <c r="AXR119" s="30"/>
      <c r="AXS119" s="30"/>
      <c r="AXT119" s="30"/>
      <c r="AXU119" s="30"/>
      <c r="AXV119" s="30"/>
      <c r="AXW119" s="30"/>
      <c r="AXX119" s="30"/>
      <c r="AXY119" s="30"/>
      <c r="AXZ119" s="30"/>
      <c r="AYA119" s="30"/>
      <c r="AYB119" s="30"/>
      <c r="AYC119" s="30"/>
      <c r="AYD119" s="30"/>
      <c r="AYE119" s="30"/>
      <c r="AYF119" s="30"/>
      <c r="AYG119" s="30"/>
      <c r="AYH119" s="30"/>
      <c r="AYI119" s="30"/>
      <c r="AYJ119" s="30"/>
      <c r="AYK119" s="30"/>
      <c r="AYL119" s="30"/>
      <c r="AYM119" s="30"/>
      <c r="AYN119" s="30"/>
      <c r="AYO119" s="30"/>
      <c r="AYP119" s="30"/>
      <c r="AYQ119" s="30"/>
      <c r="AYR119" s="30"/>
      <c r="AYS119" s="30"/>
      <c r="AYT119" s="30"/>
      <c r="AYU119" s="30"/>
      <c r="AYV119" s="30"/>
      <c r="AYW119" s="30"/>
      <c r="AYX119" s="30"/>
      <c r="AYY119" s="30"/>
      <c r="AYZ119" s="30"/>
      <c r="AZA119" s="30"/>
      <c r="AZB119" s="30"/>
      <c r="AZC119" s="30"/>
      <c r="AZD119" s="30"/>
      <c r="AZE119" s="30"/>
      <c r="AZF119" s="30"/>
      <c r="AZG119" s="30"/>
      <c r="AZH119" s="30"/>
      <c r="AZI119" s="30"/>
      <c r="AZJ119" s="30"/>
      <c r="AZK119" s="30"/>
      <c r="AZL119" s="30"/>
      <c r="AZM119" s="30"/>
      <c r="AZN119" s="30"/>
      <c r="AZO119" s="30"/>
      <c r="AZP119" s="30"/>
      <c r="AZQ119" s="30"/>
      <c r="AZR119" s="30"/>
      <c r="AZS119" s="30"/>
      <c r="AZT119" s="30"/>
      <c r="AZU119" s="30"/>
      <c r="AZV119" s="30"/>
      <c r="AZW119" s="30"/>
      <c r="AZX119" s="30"/>
      <c r="AZY119" s="30"/>
      <c r="AZZ119" s="30"/>
      <c r="BAA119" s="30"/>
      <c r="BAB119" s="30"/>
      <c r="BAC119" s="30"/>
      <c r="BAD119" s="30"/>
      <c r="BAE119" s="30"/>
      <c r="BAF119" s="30"/>
      <c r="BAG119" s="30"/>
      <c r="BAH119" s="30"/>
      <c r="BAI119" s="30"/>
      <c r="BAJ119" s="30"/>
      <c r="BAK119" s="30"/>
      <c r="BAL119" s="30"/>
      <c r="BAM119" s="30"/>
      <c r="BAN119" s="30"/>
      <c r="BAO119" s="30"/>
      <c r="BAP119" s="30"/>
      <c r="BAQ119" s="30"/>
      <c r="BAR119" s="30"/>
      <c r="BAS119" s="30"/>
      <c r="BAT119" s="30"/>
      <c r="BAU119" s="30"/>
      <c r="BAV119" s="30"/>
      <c r="BAW119" s="30"/>
      <c r="BAX119" s="30"/>
      <c r="BAY119" s="30"/>
      <c r="BAZ119" s="30"/>
      <c r="BBA119" s="30"/>
      <c r="BBB119" s="30"/>
      <c r="BBC119" s="30"/>
      <c r="BBD119" s="30"/>
      <c r="BBE119" s="30"/>
      <c r="BBF119" s="30"/>
      <c r="BBG119" s="30"/>
      <c r="BBH119" s="30"/>
      <c r="BBI119" s="30"/>
      <c r="BBJ119" s="30"/>
      <c r="BBK119" s="30"/>
      <c r="BBL119" s="30"/>
      <c r="BBM119" s="30"/>
      <c r="BBN119" s="30"/>
      <c r="BBO119" s="30"/>
      <c r="BBP119" s="30"/>
      <c r="BBQ119" s="30"/>
      <c r="BBR119" s="30"/>
      <c r="BBS119" s="30"/>
      <c r="BBT119" s="30"/>
      <c r="BBU119" s="30"/>
      <c r="BBV119" s="30"/>
      <c r="BBW119" s="30"/>
      <c r="BBX119" s="30"/>
      <c r="BBY119" s="30"/>
      <c r="BBZ119" s="30"/>
      <c r="BCA119" s="30"/>
      <c r="BCB119" s="30"/>
      <c r="BCC119" s="30"/>
      <c r="BCD119" s="30"/>
      <c r="BCE119" s="30"/>
      <c r="BCF119" s="30"/>
      <c r="BCG119" s="30"/>
      <c r="BCH119" s="30"/>
      <c r="BCI119" s="30"/>
      <c r="BCJ119" s="30"/>
      <c r="BCK119" s="30"/>
      <c r="BCL119" s="30"/>
      <c r="BCM119" s="30"/>
      <c r="BCN119" s="30"/>
      <c r="BCO119" s="30"/>
      <c r="BCP119" s="30"/>
      <c r="BCQ119" s="30"/>
      <c r="BCR119" s="30"/>
      <c r="BCS119" s="30"/>
      <c r="BCT119" s="30"/>
      <c r="BCU119" s="30"/>
      <c r="BCV119" s="30"/>
      <c r="BCW119" s="30"/>
      <c r="BCX119" s="30"/>
      <c r="BCY119" s="30"/>
      <c r="BCZ119" s="30"/>
      <c r="BDA119" s="30"/>
      <c r="BDB119" s="30"/>
      <c r="BDC119" s="30"/>
      <c r="BDD119" s="30"/>
      <c r="BDE119" s="30"/>
      <c r="BDF119" s="30"/>
      <c r="BDG119" s="30"/>
      <c r="BDH119" s="30"/>
      <c r="BDI119" s="30"/>
      <c r="BDJ119" s="30"/>
      <c r="BDK119" s="30"/>
      <c r="BDL119" s="30"/>
      <c r="BDM119" s="30"/>
      <c r="BDN119" s="30"/>
      <c r="BDO119" s="30"/>
      <c r="BDP119" s="30"/>
      <c r="BDQ119" s="30"/>
      <c r="BDR119" s="30"/>
      <c r="BDS119" s="30"/>
      <c r="BDT119" s="30"/>
      <c r="BDU119" s="30"/>
      <c r="BDV119" s="30"/>
      <c r="BDW119" s="30"/>
      <c r="BDX119" s="30"/>
      <c r="BDY119" s="30"/>
      <c r="BDZ119" s="30"/>
      <c r="BEA119" s="30"/>
      <c r="BEB119" s="30"/>
      <c r="BEC119" s="30"/>
      <c r="BED119" s="30"/>
      <c r="BEE119" s="30"/>
      <c r="BEF119" s="30"/>
      <c r="BEG119" s="30"/>
      <c r="BEH119" s="30"/>
      <c r="BEI119" s="30"/>
      <c r="BEJ119" s="30"/>
      <c r="BEK119" s="30"/>
      <c r="BEL119" s="30"/>
      <c r="BEM119" s="30"/>
      <c r="BEN119" s="30"/>
      <c r="BEO119" s="30"/>
      <c r="BEP119" s="30"/>
      <c r="BEQ119" s="30"/>
      <c r="BER119" s="30"/>
      <c r="BES119" s="30"/>
      <c r="BET119" s="30"/>
      <c r="BEU119" s="30"/>
      <c r="BEV119" s="30"/>
      <c r="BEW119" s="30"/>
      <c r="BEX119" s="30"/>
      <c r="BEY119" s="30"/>
      <c r="BEZ119" s="30"/>
      <c r="BFA119" s="30"/>
      <c r="BFB119" s="30"/>
      <c r="BFC119" s="30"/>
      <c r="BFD119" s="30"/>
      <c r="BFE119" s="30"/>
      <c r="BFF119" s="30"/>
      <c r="BFG119" s="30"/>
      <c r="BFH119" s="30"/>
      <c r="BFI119" s="30"/>
      <c r="BFJ119" s="30"/>
      <c r="BFK119" s="30"/>
      <c r="BFL119" s="30"/>
      <c r="BFM119" s="30"/>
      <c r="BFN119" s="30"/>
      <c r="BFO119" s="30"/>
      <c r="BFP119" s="30"/>
      <c r="BFQ119" s="30"/>
      <c r="BFR119" s="30"/>
      <c r="BFS119" s="30"/>
      <c r="BFT119" s="30"/>
      <c r="BFU119" s="30"/>
      <c r="BFV119" s="30"/>
      <c r="BFW119" s="30"/>
      <c r="BFX119" s="30"/>
      <c r="BFY119" s="30"/>
      <c r="BFZ119" s="30"/>
      <c r="BGA119" s="30"/>
      <c r="BGB119" s="30"/>
      <c r="BGC119" s="30"/>
      <c r="BGD119" s="30"/>
      <c r="BGE119" s="30"/>
      <c r="BGF119" s="30"/>
      <c r="BGG119" s="30"/>
      <c r="BGH119" s="30"/>
      <c r="BGI119" s="30"/>
      <c r="BGJ119" s="30"/>
      <c r="BGK119" s="30"/>
      <c r="BGL119" s="30"/>
      <c r="BGM119" s="30"/>
      <c r="BGN119" s="30"/>
      <c r="BGO119" s="30"/>
      <c r="BGP119" s="30"/>
      <c r="BGQ119" s="30"/>
      <c r="BGR119" s="30"/>
      <c r="BGS119" s="30"/>
      <c r="BGT119" s="30"/>
      <c r="BGU119" s="30"/>
      <c r="BGV119" s="30"/>
      <c r="BGW119" s="30"/>
      <c r="BGX119" s="30"/>
      <c r="BGY119" s="30"/>
      <c r="BGZ119" s="30"/>
      <c r="BHA119" s="30"/>
      <c r="BHB119" s="30"/>
      <c r="BHC119" s="30"/>
      <c r="BHD119" s="30"/>
      <c r="BHE119" s="30"/>
      <c r="BHF119" s="30"/>
      <c r="BHG119" s="30"/>
      <c r="BHH119" s="30"/>
      <c r="BHI119" s="30"/>
      <c r="BHJ119" s="30"/>
      <c r="BHK119" s="30"/>
      <c r="BHL119" s="30"/>
      <c r="BHM119" s="30"/>
      <c r="BHN119" s="30"/>
      <c r="BHO119" s="30"/>
      <c r="BHP119" s="30"/>
      <c r="BHQ119" s="30"/>
      <c r="BHR119" s="30"/>
      <c r="BHS119" s="30"/>
      <c r="BHT119" s="30"/>
      <c r="BHU119" s="30"/>
      <c r="BHV119" s="30"/>
      <c r="BHW119" s="30"/>
      <c r="BHX119" s="30"/>
      <c r="BHY119" s="30"/>
      <c r="BHZ119" s="30"/>
      <c r="BIA119" s="30"/>
      <c r="BIB119" s="30"/>
      <c r="BIC119" s="30"/>
      <c r="BID119" s="30"/>
      <c r="BIE119" s="30"/>
      <c r="BIF119" s="30"/>
      <c r="BIG119" s="30"/>
      <c r="BIH119" s="30"/>
      <c r="BII119" s="30"/>
      <c r="BIJ119" s="30"/>
      <c r="BIK119" s="30"/>
      <c r="BIL119" s="30"/>
      <c r="BIM119" s="30"/>
      <c r="BIN119" s="30"/>
      <c r="BIO119" s="30"/>
      <c r="BIP119" s="30"/>
      <c r="BIQ119" s="30"/>
      <c r="BIR119" s="30"/>
      <c r="BIS119" s="30"/>
      <c r="BIT119" s="30"/>
      <c r="BIU119" s="30"/>
      <c r="BIV119" s="30"/>
      <c r="BIW119" s="30"/>
      <c r="BIX119" s="30"/>
      <c r="BIY119" s="30"/>
      <c r="BIZ119" s="30"/>
      <c r="BJA119" s="30"/>
      <c r="BJB119" s="30"/>
      <c r="BJC119" s="30"/>
      <c r="BJD119" s="30"/>
      <c r="BJE119" s="30"/>
      <c r="BJF119" s="30"/>
      <c r="BJG119" s="30"/>
      <c r="BJH119" s="30"/>
      <c r="BJI119" s="30"/>
      <c r="BJJ119" s="30"/>
      <c r="BJK119" s="30"/>
      <c r="BJL119" s="30"/>
      <c r="BJM119" s="30"/>
      <c r="BJN119" s="30"/>
      <c r="BJO119" s="30"/>
      <c r="BJP119" s="30"/>
      <c r="BJQ119" s="30"/>
      <c r="BJR119" s="30"/>
      <c r="BJS119" s="30"/>
      <c r="BJT119" s="30"/>
      <c r="BJU119" s="30"/>
      <c r="BJV119" s="30"/>
      <c r="BJW119" s="30"/>
      <c r="BJX119" s="30"/>
      <c r="BJY119" s="30"/>
      <c r="BJZ119" s="30"/>
      <c r="BKA119" s="30"/>
      <c r="BKB119" s="30"/>
      <c r="BKC119" s="30"/>
      <c r="BKD119" s="30"/>
      <c r="BKE119" s="30"/>
      <c r="BKF119" s="30"/>
      <c r="BKG119" s="30"/>
      <c r="BKH119" s="30"/>
      <c r="BKI119" s="30"/>
      <c r="BKJ119" s="30"/>
      <c r="BKK119" s="30"/>
      <c r="BKL119" s="30"/>
      <c r="BKM119" s="30"/>
      <c r="BKN119" s="30"/>
      <c r="BKO119" s="30"/>
      <c r="BKP119" s="30"/>
      <c r="BKQ119" s="30"/>
      <c r="BKR119" s="30"/>
      <c r="BKS119" s="30"/>
      <c r="BKT119" s="30"/>
      <c r="BKU119" s="30"/>
      <c r="BKV119" s="30"/>
      <c r="BKW119" s="30"/>
      <c r="BKX119" s="30"/>
      <c r="BKY119" s="30"/>
      <c r="BKZ119" s="30"/>
      <c r="BLA119" s="30"/>
      <c r="BLB119" s="30"/>
      <c r="BLC119" s="30"/>
      <c r="BLD119" s="30"/>
      <c r="BLE119" s="30"/>
      <c r="BLF119" s="30"/>
      <c r="BLG119" s="30"/>
      <c r="BLH119" s="30"/>
      <c r="BLI119" s="30"/>
      <c r="BLJ119" s="30"/>
      <c r="BLK119" s="30"/>
      <c r="BLL119" s="30"/>
      <c r="BLM119" s="30"/>
      <c r="BLN119" s="30"/>
      <c r="BLO119" s="30"/>
      <c r="BLP119" s="30"/>
      <c r="BLQ119" s="30"/>
      <c r="BLR119" s="30"/>
      <c r="BLS119" s="30"/>
      <c r="BLT119" s="30"/>
      <c r="BLU119" s="30"/>
      <c r="BLV119" s="30"/>
      <c r="BLW119" s="30"/>
      <c r="BLX119" s="30"/>
      <c r="BLY119" s="30"/>
      <c r="BLZ119" s="30"/>
      <c r="BMA119" s="30"/>
      <c r="BMB119" s="30"/>
      <c r="BMC119" s="30"/>
      <c r="BMD119" s="30"/>
      <c r="BME119" s="30"/>
      <c r="BMF119" s="30"/>
      <c r="BMG119" s="30"/>
      <c r="BMH119" s="30"/>
      <c r="BMI119" s="30"/>
      <c r="BMJ119" s="30"/>
      <c r="BMK119" s="30"/>
      <c r="BML119" s="30"/>
      <c r="BMM119" s="30"/>
      <c r="BMN119" s="30"/>
      <c r="BMO119" s="30"/>
      <c r="BMP119" s="30"/>
      <c r="BMQ119" s="30"/>
      <c r="BMR119" s="30"/>
      <c r="BMS119" s="30"/>
      <c r="BMT119" s="30"/>
      <c r="BMU119" s="30"/>
      <c r="BMV119" s="30"/>
      <c r="BMW119" s="30"/>
      <c r="BMX119" s="30"/>
      <c r="BMY119" s="30"/>
      <c r="BMZ119" s="30"/>
      <c r="BNA119" s="30"/>
      <c r="BNB119" s="30"/>
      <c r="BNC119" s="30"/>
      <c r="BND119" s="30"/>
      <c r="BNE119" s="30"/>
      <c r="BNF119" s="30"/>
      <c r="BNG119" s="30"/>
      <c r="BNH119" s="30"/>
      <c r="BNI119" s="30"/>
      <c r="BNJ119" s="30"/>
      <c r="BNK119" s="30"/>
      <c r="BNL119" s="30"/>
      <c r="BNM119" s="30"/>
      <c r="BNN119" s="30"/>
      <c r="BNO119" s="30"/>
      <c r="BNP119" s="30"/>
      <c r="BNQ119" s="30"/>
      <c r="BNR119" s="30"/>
      <c r="BNS119" s="30"/>
      <c r="BNT119" s="30"/>
      <c r="BNU119" s="30"/>
      <c r="BNV119" s="30"/>
      <c r="BNW119" s="30"/>
      <c r="BNX119" s="30"/>
      <c r="BNY119" s="30"/>
      <c r="BNZ119" s="30"/>
      <c r="BOA119" s="30"/>
      <c r="BOB119" s="30"/>
      <c r="BOC119" s="30"/>
      <c r="BOD119" s="30"/>
      <c r="BOE119" s="30"/>
      <c r="BOF119" s="30"/>
      <c r="BOG119" s="30"/>
      <c r="BOH119" s="30"/>
      <c r="BOI119" s="30"/>
      <c r="BOJ119" s="30"/>
      <c r="BOK119" s="30"/>
      <c r="BOL119" s="30"/>
      <c r="BOM119" s="30"/>
      <c r="BON119" s="30"/>
      <c r="BOO119" s="30"/>
      <c r="BOP119" s="30"/>
      <c r="BOQ119" s="30"/>
      <c r="BOR119" s="30"/>
      <c r="BOS119" s="30"/>
      <c r="BOT119" s="30"/>
      <c r="BOU119" s="30"/>
      <c r="BOV119" s="30"/>
      <c r="BOW119" s="30"/>
      <c r="BOX119" s="30"/>
      <c r="BOY119" s="30"/>
      <c r="BOZ119" s="30"/>
      <c r="BPA119" s="30"/>
      <c r="BPB119" s="30"/>
      <c r="BPC119" s="30"/>
      <c r="BPD119" s="30"/>
      <c r="BPE119" s="30"/>
      <c r="BPF119" s="30"/>
      <c r="BPG119" s="30"/>
      <c r="BPH119" s="30"/>
      <c r="BPI119" s="30"/>
      <c r="BPJ119" s="30"/>
      <c r="BPK119" s="30"/>
      <c r="BPL119" s="30"/>
      <c r="BPM119" s="30"/>
      <c r="BPN119" s="30"/>
      <c r="BPO119" s="30"/>
      <c r="BPP119" s="30"/>
      <c r="BPQ119" s="30"/>
      <c r="BPR119" s="30"/>
      <c r="BPS119" s="30"/>
      <c r="BPT119" s="30"/>
      <c r="BPU119" s="30"/>
      <c r="BPV119" s="30"/>
      <c r="BPW119" s="30"/>
      <c r="BPX119" s="30"/>
      <c r="BPY119" s="30"/>
      <c r="BPZ119" s="30"/>
      <c r="BQA119" s="30"/>
      <c r="BQB119" s="30"/>
      <c r="BQC119" s="30"/>
      <c r="BQD119" s="30"/>
      <c r="BQE119" s="30"/>
      <c r="BQF119" s="30"/>
      <c r="BQG119" s="30"/>
      <c r="BQH119" s="30"/>
      <c r="BQI119" s="30"/>
      <c r="BQJ119" s="30"/>
      <c r="BQK119" s="30"/>
      <c r="BQL119" s="30"/>
      <c r="BQM119" s="30"/>
      <c r="BQN119" s="30"/>
      <c r="BQO119" s="30"/>
      <c r="BQP119" s="30"/>
      <c r="BQQ119" s="30"/>
      <c r="BQR119" s="30"/>
      <c r="BQS119" s="30"/>
      <c r="BQT119" s="30"/>
      <c r="BQU119" s="30"/>
      <c r="BQV119" s="30"/>
      <c r="BQW119" s="30"/>
      <c r="BQX119" s="30"/>
      <c r="BQY119" s="30"/>
      <c r="BQZ119" s="30"/>
      <c r="BRA119" s="30"/>
      <c r="BRB119" s="30"/>
      <c r="BRC119" s="30"/>
      <c r="BRD119" s="30"/>
      <c r="BRE119" s="30"/>
      <c r="BRF119" s="30"/>
      <c r="BRG119" s="30"/>
      <c r="BRH119" s="30"/>
      <c r="BRI119" s="30"/>
      <c r="BRJ119" s="30"/>
      <c r="BRK119" s="30"/>
      <c r="BRL119" s="30"/>
      <c r="BRM119" s="30"/>
      <c r="BRN119" s="30"/>
      <c r="BRO119" s="30"/>
      <c r="BRP119" s="30"/>
      <c r="BRQ119" s="30"/>
      <c r="BRR119" s="30"/>
      <c r="BRS119" s="30"/>
      <c r="BRT119" s="30"/>
      <c r="BRU119" s="30"/>
      <c r="BRV119" s="30"/>
      <c r="BRW119" s="30"/>
      <c r="BRX119" s="30"/>
      <c r="BRY119" s="30"/>
      <c r="BRZ119" s="30"/>
      <c r="BSA119" s="30"/>
      <c r="BSB119" s="30"/>
      <c r="BSC119" s="30"/>
      <c r="BSD119" s="30"/>
      <c r="BSE119" s="30"/>
      <c r="BSF119" s="30"/>
      <c r="BSG119" s="30"/>
      <c r="BSH119" s="30"/>
      <c r="BSI119" s="30"/>
      <c r="BSJ119" s="30"/>
      <c r="BSK119" s="30"/>
      <c r="BSL119" s="30"/>
      <c r="BSM119" s="30"/>
      <c r="BSN119" s="30"/>
      <c r="BSO119" s="30"/>
      <c r="BSP119" s="30"/>
      <c r="BSQ119" s="30"/>
      <c r="BSR119" s="30"/>
      <c r="BSS119" s="30"/>
      <c r="BST119" s="30"/>
      <c r="BSU119" s="30"/>
      <c r="BSV119" s="30"/>
      <c r="BSW119" s="30"/>
      <c r="BSX119" s="30"/>
      <c r="BSY119" s="30"/>
      <c r="BSZ119" s="30"/>
      <c r="BTA119" s="30"/>
      <c r="BTB119" s="30"/>
      <c r="BTC119" s="30"/>
      <c r="BTD119" s="30"/>
      <c r="BTE119" s="30"/>
      <c r="BTF119" s="30"/>
      <c r="BTG119" s="30"/>
      <c r="BTH119" s="30"/>
      <c r="BTI119" s="30"/>
      <c r="BTJ119" s="30"/>
      <c r="BTK119" s="30"/>
      <c r="BTL119" s="30"/>
      <c r="BTM119" s="30"/>
      <c r="BTN119" s="30"/>
      <c r="BTO119" s="30"/>
      <c r="BTP119" s="30"/>
      <c r="BTQ119" s="30"/>
      <c r="BTR119" s="30"/>
      <c r="BTS119" s="30"/>
      <c r="BTT119" s="30"/>
      <c r="BTU119" s="30"/>
      <c r="BTV119" s="30"/>
      <c r="BTW119" s="30"/>
      <c r="BTX119" s="30"/>
      <c r="BTY119" s="30"/>
      <c r="BTZ119" s="30"/>
      <c r="BUA119" s="30"/>
      <c r="BUB119" s="30"/>
      <c r="BUC119" s="30"/>
      <c r="BUD119" s="30"/>
      <c r="BUE119" s="30"/>
      <c r="BUF119" s="30"/>
      <c r="BUG119" s="30"/>
      <c r="BUH119" s="30"/>
      <c r="BUI119" s="30"/>
      <c r="BUJ119" s="30"/>
      <c r="BUK119" s="30"/>
      <c r="BUL119" s="30"/>
      <c r="BUM119" s="30"/>
      <c r="BUN119" s="30"/>
      <c r="BUO119" s="30"/>
      <c r="BUP119" s="30"/>
      <c r="BUQ119" s="30"/>
      <c r="BUR119" s="30"/>
      <c r="BUS119" s="30"/>
      <c r="BUT119" s="30"/>
      <c r="BUU119" s="30"/>
      <c r="BUV119" s="30"/>
      <c r="BUW119" s="30"/>
      <c r="BUX119" s="30"/>
      <c r="BUY119" s="30"/>
      <c r="BUZ119" s="30"/>
      <c r="BVA119" s="30"/>
      <c r="BVB119" s="30"/>
      <c r="BVC119" s="30"/>
      <c r="BVD119" s="30"/>
      <c r="BVE119" s="30"/>
      <c r="BVF119" s="30"/>
      <c r="BVG119" s="30"/>
      <c r="BVH119" s="30"/>
      <c r="BVI119" s="30"/>
      <c r="BVJ119" s="30"/>
      <c r="BVK119" s="30"/>
      <c r="BVL119" s="30"/>
      <c r="BVM119" s="30"/>
      <c r="BVN119" s="30"/>
      <c r="BVO119" s="30"/>
      <c r="BVP119" s="30"/>
      <c r="BVQ119" s="30"/>
      <c r="BVR119" s="30"/>
      <c r="BVS119" s="30"/>
      <c r="BVT119" s="30"/>
      <c r="BVU119" s="30"/>
      <c r="BVV119" s="30"/>
      <c r="BVW119" s="30"/>
      <c r="BVX119" s="30"/>
      <c r="BVY119" s="30"/>
      <c r="BVZ119" s="30"/>
      <c r="BWA119" s="30"/>
      <c r="BWB119" s="30"/>
      <c r="BWC119" s="30"/>
      <c r="BWD119" s="30"/>
      <c r="BWE119" s="30"/>
      <c r="BWF119" s="30"/>
      <c r="BWG119" s="30"/>
      <c r="BWH119" s="30"/>
      <c r="BWI119" s="30"/>
      <c r="BWJ119" s="30"/>
      <c r="BWK119" s="30"/>
      <c r="BWL119" s="30"/>
      <c r="BWM119" s="30"/>
      <c r="BWN119" s="30"/>
      <c r="BWO119" s="30"/>
      <c r="BWP119" s="30"/>
      <c r="BWQ119" s="30"/>
      <c r="BWR119" s="30"/>
      <c r="BWS119" s="30"/>
      <c r="BWT119" s="30"/>
      <c r="BWU119" s="30"/>
      <c r="BWV119" s="30"/>
      <c r="BWW119" s="30"/>
      <c r="BWX119" s="30"/>
      <c r="BWY119" s="30"/>
      <c r="BWZ119" s="30"/>
      <c r="BXA119" s="30"/>
      <c r="BXB119" s="30"/>
      <c r="BXC119" s="30"/>
      <c r="BXD119" s="30"/>
      <c r="BXE119" s="30"/>
      <c r="BXF119" s="30"/>
      <c r="BXG119" s="30"/>
      <c r="BXH119" s="30"/>
      <c r="BXI119" s="30"/>
      <c r="BXJ119" s="30"/>
      <c r="BXK119" s="30"/>
      <c r="BXL119" s="30"/>
      <c r="BXM119" s="30"/>
      <c r="BXN119" s="30"/>
      <c r="BXO119" s="30"/>
      <c r="BXP119" s="30"/>
      <c r="BXQ119" s="30"/>
      <c r="BXR119" s="30"/>
      <c r="BXS119" s="30"/>
      <c r="BXT119" s="30"/>
      <c r="BXU119" s="30"/>
      <c r="BXV119" s="30"/>
      <c r="BXW119" s="30"/>
      <c r="BXX119" s="30"/>
      <c r="BXY119" s="30"/>
      <c r="BXZ119" s="30"/>
      <c r="BYA119" s="30"/>
      <c r="BYB119" s="30"/>
      <c r="BYC119" s="30"/>
      <c r="BYD119" s="30"/>
      <c r="BYE119" s="30"/>
      <c r="BYF119" s="30"/>
      <c r="BYG119" s="30"/>
      <c r="BYH119" s="30"/>
      <c r="BYI119" s="30"/>
      <c r="BYJ119" s="30"/>
      <c r="BYK119" s="30"/>
      <c r="BYL119" s="30"/>
      <c r="BYM119" s="30"/>
      <c r="BYN119" s="30"/>
      <c r="BYO119" s="30"/>
      <c r="BYP119" s="30"/>
      <c r="BYQ119" s="30"/>
      <c r="BYR119" s="30"/>
      <c r="BYS119" s="30"/>
      <c r="BYT119" s="30"/>
      <c r="BYU119" s="30"/>
      <c r="BYV119" s="30"/>
      <c r="BYW119" s="30"/>
      <c r="BYX119" s="30"/>
      <c r="BYY119" s="30"/>
      <c r="BYZ119" s="30"/>
      <c r="BZA119" s="30"/>
      <c r="BZB119" s="30"/>
      <c r="BZC119" s="30"/>
      <c r="BZD119" s="30"/>
      <c r="BZE119" s="30"/>
      <c r="BZF119" s="30"/>
      <c r="BZG119" s="30"/>
      <c r="BZH119" s="30"/>
      <c r="BZI119" s="30"/>
      <c r="BZJ119" s="30"/>
      <c r="BZK119" s="30"/>
      <c r="BZL119" s="30"/>
      <c r="BZM119" s="30"/>
      <c r="BZN119" s="30"/>
      <c r="BZO119" s="30"/>
      <c r="BZP119" s="30"/>
      <c r="BZQ119" s="30"/>
      <c r="BZR119" s="30"/>
      <c r="BZS119" s="30"/>
      <c r="BZT119" s="30"/>
      <c r="BZU119" s="30"/>
      <c r="BZV119" s="30"/>
      <c r="BZW119" s="30"/>
      <c r="BZX119" s="30"/>
      <c r="BZY119" s="30"/>
      <c r="BZZ119" s="30"/>
      <c r="CAA119" s="30"/>
      <c r="CAB119" s="30"/>
      <c r="CAC119" s="30"/>
      <c r="CAD119" s="30"/>
      <c r="CAE119" s="30"/>
      <c r="CAF119" s="30"/>
      <c r="CAG119" s="30"/>
      <c r="CAH119" s="30"/>
      <c r="CAI119" s="30"/>
      <c r="CAJ119" s="30"/>
      <c r="CAK119" s="30"/>
      <c r="CAL119" s="30"/>
      <c r="CAM119" s="30"/>
      <c r="CAN119" s="30"/>
      <c r="CAO119" s="30"/>
      <c r="CAP119" s="30"/>
      <c r="CAQ119" s="30"/>
      <c r="CAR119" s="30"/>
      <c r="CAS119" s="30"/>
      <c r="CAT119" s="30"/>
      <c r="CAU119" s="30"/>
      <c r="CAV119" s="30"/>
      <c r="CAW119" s="30"/>
      <c r="CAX119" s="30"/>
      <c r="CAY119" s="30"/>
      <c r="CAZ119" s="30"/>
      <c r="CBA119" s="30"/>
      <c r="CBB119" s="30"/>
      <c r="CBC119" s="30"/>
      <c r="CBD119" s="30"/>
      <c r="CBE119" s="30"/>
      <c r="CBF119" s="30"/>
      <c r="CBG119" s="30"/>
      <c r="CBH119" s="30"/>
      <c r="CBI119" s="30"/>
      <c r="CBJ119" s="30"/>
      <c r="CBK119" s="30"/>
      <c r="CBL119" s="30"/>
      <c r="CBM119" s="30"/>
      <c r="CBN119" s="30"/>
      <c r="CBO119" s="30"/>
      <c r="CBP119" s="30"/>
      <c r="CBQ119" s="30"/>
      <c r="CBR119" s="30"/>
      <c r="CBS119" s="30"/>
      <c r="CBT119" s="30"/>
      <c r="CBU119" s="30"/>
      <c r="CBV119" s="30"/>
      <c r="CBW119" s="30"/>
      <c r="CBX119" s="30"/>
      <c r="CBY119" s="30"/>
      <c r="CBZ119" s="30"/>
      <c r="CCA119" s="30"/>
      <c r="CCB119" s="30"/>
      <c r="CCC119" s="30"/>
      <c r="CCD119" s="30"/>
      <c r="CCE119" s="30"/>
      <c r="CCF119" s="30"/>
      <c r="CCG119" s="30"/>
      <c r="CCH119" s="30"/>
      <c r="CCI119" s="30"/>
      <c r="CCJ119" s="30"/>
      <c r="CCK119" s="30"/>
      <c r="CCL119" s="30"/>
      <c r="CCM119" s="30"/>
      <c r="CCN119" s="30"/>
      <c r="CCO119" s="30"/>
      <c r="CCP119" s="30"/>
      <c r="CCQ119" s="30"/>
      <c r="CCR119" s="30"/>
      <c r="CCS119" s="30"/>
      <c r="CCT119" s="30"/>
      <c r="CCU119" s="30"/>
      <c r="CCV119" s="30"/>
      <c r="CCW119" s="30"/>
      <c r="CCX119" s="30"/>
      <c r="CCY119" s="30"/>
      <c r="CCZ119" s="30"/>
      <c r="CDA119" s="30"/>
      <c r="CDB119" s="30"/>
      <c r="CDC119" s="30"/>
      <c r="CDD119" s="30"/>
      <c r="CDE119" s="30"/>
      <c r="CDF119" s="30"/>
      <c r="CDG119" s="30"/>
      <c r="CDH119" s="30"/>
      <c r="CDI119" s="30"/>
      <c r="CDJ119" s="30"/>
      <c r="CDK119" s="30"/>
      <c r="CDL119" s="30"/>
      <c r="CDM119" s="30"/>
      <c r="CDN119" s="30"/>
      <c r="CDO119" s="30"/>
      <c r="CDP119" s="30"/>
      <c r="CDQ119" s="30"/>
      <c r="CDR119" s="30"/>
      <c r="CDS119" s="30"/>
      <c r="CDT119" s="30"/>
      <c r="CDU119" s="30"/>
      <c r="CDV119" s="30"/>
      <c r="CDW119" s="30"/>
      <c r="CDX119" s="30"/>
      <c r="CDY119" s="30"/>
      <c r="CDZ119" s="30"/>
      <c r="CEA119" s="30"/>
      <c r="CEB119" s="30"/>
      <c r="CEC119" s="30"/>
      <c r="CED119" s="30"/>
      <c r="CEE119" s="30"/>
      <c r="CEF119" s="30"/>
      <c r="CEG119" s="30"/>
      <c r="CEH119" s="30"/>
      <c r="CEI119" s="30"/>
      <c r="CEJ119" s="30"/>
      <c r="CEK119" s="30"/>
      <c r="CEL119" s="30"/>
      <c r="CEM119" s="30"/>
      <c r="CEN119" s="30"/>
      <c r="CEO119" s="30"/>
      <c r="CEP119" s="30"/>
      <c r="CEQ119" s="30"/>
      <c r="CER119" s="30"/>
      <c r="CES119" s="30"/>
      <c r="CET119" s="30"/>
      <c r="CEU119" s="30"/>
      <c r="CEV119" s="30"/>
      <c r="CEW119" s="30"/>
      <c r="CEX119" s="30"/>
      <c r="CEY119" s="30"/>
      <c r="CEZ119" s="30"/>
      <c r="CFA119" s="30"/>
      <c r="CFB119" s="30"/>
      <c r="CFC119" s="30"/>
      <c r="CFD119" s="30"/>
      <c r="CFE119" s="30"/>
      <c r="CFF119" s="30"/>
      <c r="CFG119" s="30"/>
      <c r="CFH119" s="30"/>
      <c r="CFI119" s="30"/>
      <c r="CFJ119" s="30"/>
      <c r="CFK119" s="30"/>
      <c r="CFL119" s="30"/>
      <c r="CFM119" s="30"/>
      <c r="CFN119" s="30"/>
      <c r="CFO119" s="30"/>
      <c r="CFP119" s="30"/>
      <c r="CFQ119" s="30"/>
      <c r="CFR119" s="30"/>
      <c r="CFS119" s="30"/>
      <c r="CFT119" s="30"/>
      <c r="CFU119" s="30"/>
      <c r="CFV119" s="30"/>
      <c r="CFW119" s="30"/>
      <c r="CFX119" s="30"/>
      <c r="CFY119" s="30"/>
      <c r="CFZ119" s="30"/>
      <c r="CGA119" s="30"/>
      <c r="CGB119" s="30"/>
      <c r="CGC119" s="30"/>
      <c r="CGD119" s="30"/>
      <c r="CGE119" s="30"/>
      <c r="CGF119" s="30"/>
      <c r="CGG119" s="30"/>
      <c r="CGH119" s="30"/>
      <c r="CGI119" s="30"/>
      <c r="CGJ119" s="30"/>
      <c r="CGK119" s="30"/>
      <c r="CGL119" s="30"/>
      <c r="CGM119" s="30"/>
      <c r="CGN119" s="30"/>
      <c r="CGO119" s="30"/>
      <c r="CGP119" s="30"/>
      <c r="CGQ119" s="30"/>
      <c r="CGR119" s="30"/>
      <c r="CGS119" s="30"/>
      <c r="CGT119" s="30"/>
      <c r="CGU119" s="30"/>
      <c r="CGV119" s="30"/>
      <c r="CGW119" s="30"/>
      <c r="CGX119" s="30"/>
      <c r="CGY119" s="30"/>
      <c r="CGZ119" s="30"/>
      <c r="CHA119" s="30"/>
      <c r="CHB119" s="30"/>
      <c r="CHC119" s="30"/>
      <c r="CHD119" s="30"/>
      <c r="CHE119" s="30"/>
      <c r="CHF119" s="30"/>
      <c r="CHG119" s="30"/>
      <c r="CHH119" s="30"/>
      <c r="CHI119" s="30"/>
      <c r="CHJ119" s="30"/>
      <c r="CHK119" s="30"/>
      <c r="CHL119" s="30"/>
      <c r="CHM119" s="30"/>
      <c r="CHN119" s="30"/>
      <c r="CHO119" s="30"/>
      <c r="CHP119" s="30"/>
      <c r="CHQ119" s="30"/>
      <c r="CHR119" s="30"/>
      <c r="CHS119" s="30"/>
      <c r="CHT119" s="30"/>
      <c r="CHU119" s="30"/>
      <c r="CHV119" s="30"/>
      <c r="CHW119" s="30"/>
      <c r="CHX119" s="30"/>
      <c r="CHY119" s="30"/>
      <c r="CHZ119" s="30"/>
      <c r="CIA119" s="30"/>
      <c r="CIB119" s="30"/>
      <c r="CIC119" s="30"/>
      <c r="CID119" s="30"/>
      <c r="CIE119" s="30"/>
      <c r="CIF119" s="30"/>
      <c r="CIG119" s="30"/>
      <c r="CIH119" s="30"/>
      <c r="CII119" s="30"/>
      <c r="CIJ119" s="30"/>
      <c r="CIK119" s="30"/>
      <c r="CIL119" s="30"/>
      <c r="CIM119" s="30"/>
      <c r="CIN119" s="30"/>
      <c r="CIO119" s="30"/>
      <c r="CIP119" s="30"/>
      <c r="CIQ119" s="30"/>
      <c r="CIR119" s="30"/>
      <c r="CIS119" s="30"/>
      <c r="CIT119" s="30"/>
      <c r="CIU119" s="30"/>
      <c r="CIV119" s="30"/>
      <c r="CIW119" s="30"/>
      <c r="CIX119" s="30"/>
      <c r="CIY119" s="30"/>
      <c r="CIZ119" s="30"/>
      <c r="CJA119" s="30"/>
      <c r="CJB119" s="30"/>
      <c r="CJC119" s="30"/>
      <c r="CJD119" s="30"/>
      <c r="CJE119" s="30"/>
      <c r="CJF119" s="30"/>
      <c r="CJG119" s="30"/>
      <c r="CJH119" s="30"/>
      <c r="CJI119" s="30"/>
      <c r="CJJ119" s="30"/>
      <c r="CJK119" s="30"/>
      <c r="CJL119" s="30"/>
      <c r="CJM119" s="30"/>
      <c r="CJN119" s="30"/>
      <c r="CJO119" s="30"/>
      <c r="CJP119" s="30"/>
      <c r="CJQ119" s="30"/>
      <c r="CJR119" s="30"/>
      <c r="CJS119" s="30"/>
      <c r="CJT119" s="30"/>
      <c r="CJU119" s="30"/>
      <c r="CJV119" s="30"/>
      <c r="CJW119" s="30"/>
      <c r="CJX119" s="30"/>
      <c r="CJY119" s="30"/>
      <c r="CJZ119" s="30"/>
      <c r="CKA119" s="30"/>
      <c r="CKB119" s="30"/>
      <c r="CKC119" s="30"/>
      <c r="CKD119" s="30"/>
      <c r="CKE119" s="30"/>
      <c r="CKF119" s="30"/>
      <c r="CKG119" s="30"/>
      <c r="CKH119" s="30"/>
      <c r="CKI119" s="30"/>
      <c r="CKJ119" s="30"/>
      <c r="CKK119" s="30"/>
      <c r="CKL119" s="30"/>
      <c r="CKM119" s="30"/>
      <c r="CKN119" s="30"/>
      <c r="CKO119" s="30"/>
      <c r="CKP119" s="30"/>
      <c r="CKQ119" s="30"/>
      <c r="CKR119" s="30"/>
      <c r="CKS119" s="30"/>
      <c r="CKT119" s="30"/>
      <c r="CKU119" s="30"/>
      <c r="CKV119" s="30"/>
      <c r="CKW119" s="30"/>
      <c r="CKX119" s="30"/>
      <c r="CKY119" s="30"/>
      <c r="CKZ119" s="30"/>
      <c r="CLA119" s="30"/>
      <c r="CLB119" s="30"/>
      <c r="CLC119" s="30"/>
      <c r="CLD119" s="30"/>
      <c r="CLE119" s="30"/>
      <c r="CLF119" s="30"/>
      <c r="CLG119" s="30"/>
      <c r="CLH119" s="30"/>
      <c r="CLI119" s="30"/>
      <c r="CLJ119" s="30"/>
      <c r="CLK119" s="30"/>
      <c r="CLL119" s="30"/>
      <c r="CLM119" s="30"/>
      <c r="CLN119" s="30"/>
      <c r="CLO119" s="30"/>
      <c r="CLP119" s="30"/>
      <c r="CLQ119" s="30"/>
      <c r="CLR119" s="30"/>
      <c r="CLS119" s="30"/>
      <c r="CLT119" s="30"/>
      <c r="CLU119" s="30"/>
      <c r="CLV119" s="30"/>
      <c r="CLW119" s="30"/>
      <c r="CLX119" s="30"/>
      <c r="CLY119" s="30"/>
      <c r="CLZ119" s="30"/>
      <c r="CMA119" s="30"/>
      <c r="CMB119" s="30"/>
      <c r="CMC119" s="30"/>
      <c r="CMD119" s="30"/>
      <c r="CME119" s="30"/>
      <c r="CMF119" s="30"/>
      <c r="CMG119" s="30"/>
      <c r="CMH119" s="30"/>
      <c r="CMI119" s="30"/>
      <c r="CMJ119" s="30"/>
      <c r="CMK119" s="30"/>
      <c r="CML119" s="30"/>
      <c r="CMM119" s="30"/>
      <c r="CMN119" s="30"/>
      <c r="CMO119" s="30"/>
      <c r="CMP119" s="30"/>
      <c r="CMQ119" s="30"/>
      <c r="CMR119" s="30"/>
      <c r="CMS119" s="30"/>
      <c r="CMT119" s="30"/>
      <c r="CMU119" s="30"/>
      <c r="CMV119" s="30"/>
      <c r="CMW119" s="30"/>
      <c r="CMX119" s="30"/>
      <c r="CMY119" s="30"/>
      <c r="CMZ119" s="30"/>
      <c r="CNA119" s="30"/>
      <c r="CNB119" s="30"/>
      <c r="CNC119" s="30"/>
      <c r="CND119" s="30"/>
      <c r="CNE119" s="30"/>
      <c r="CNF119" s="30"/>
      <c r="CNG119" s="30"/>
      <c r="CNH119" s="30"/>
      <c r="CNI119" s="30"/>
      <c r="CNJ119" s="30"/>
      <c r="CNK119" s="30"/>
      <c r="CNL119" s="30"/>
      <c r="CNM119" s="30"/>
      <c r="CNN119" s="30"/>
      <c r="CNO119" s="30"/>
      <c r="CNP119" s="30"/>
      <c r="CNQ119" s="30"/>
      <c r="CNR119" s="30"/>
      <c r="CNS119" s="30"/>
      <c r="CNT119" s="30"/>
      <c r="CNU119" s="30"/>
      <c r="CNV119" s="30"/>
      <c r="CNW119" s="30"/>
      <c r="CNX119" s="30"/>
      <c r="CNY119" s="30"/>
      <c r="CNZ119" s="30"/>
      <c r="COA119" s="30"/>
      <c r="COB119" s="30"/>
      <c r="COC119" s="30"/>
      <c r="COD119" s="30"/>
      <c r="COE119" s="30"/>
      <c r="COF119" s="30"/>
      <c r="COG119" s="30"/>
      <c r="COH119" s="30"/>
      <c r="COI119" s="30"/>
      <c r="COJ119" s="30"/>
      <c r="COK119" s="30"/>
      <c r="COL119" s="30"/>
      <c r="COM119" s="30"/>
      <c r="CON119" s="30"/>
      <c r="COO119" s="30"/>
      <c r="COP119" s="30"/>
      <c r="COQ119" s="30"/>
      <c r="COR119" s="30"/>
      <c r="COS119" s="30"/>
      <c r="COT119" s="30"/>
      <c r="COU119" s="30"/>
      <c r="COV119" s="30"/>
      <c r="COW119" s="30"/>
      <c r="COX119" s="30"/>
      <c r="COY119" s="30"/>
      <c r="COZ119" s="30"/>
      <c r="CPA119" s="30"/>
      <c r="CPB119" s="30"/>
      <c r="CPC119" s="30"/>
      <c r="CPD119" s="30"/>
      <c r="CPE119" s="30"/>
      <c r="CPF119" s="30"/>
      <c r="CPG119" s="30"/>
      <c r="CPH119" s="30"/>
      <c r="CPI119" s="30"/>
      <c r="CPJ119" s="30"/>
      <c r="CPK119" s="30"/>
      <c r="CPL119" s="30"/>
      <c r="CPM119" s="30"/>
      <c r="CPN119" s="30"/>
      <c r="CPO119" s="30"/>
      <c r="CPP119" s="30"/>
      <c r="CPQ119" s="30"/>
      <c r="CPR119" s="30"/>
      <c r="CPS119" s="30"/>
      <c r="CPT119" s="30"/>
      <c r="CPU119" s="30"/>
      <c r="CPV119" s="30"/>
      <c r="CPW119" s="30"/>
      <c r="CPX119" s="30"/>
      <c r="CPY119" s="30"/>
      <c r="CPZ119" s="30"/>
      <c r="CQA119" s="30"/>
      <c r="CQB119" s="30"/>
      <c r="CQC119" s="30"/>
      <c r="CQD119" s="30"/>
      <c r="CQE119" s="30"/>
      <c r="CQF119" s="30"/>
      <c r="CQG119" s="30"/>
      <c r="CQH119" s="30"/>
      <c r="CQI119" s="30"/>
      <c r="CQJ119" s="30"/>
      <c r="CQK119" s="30"/>
      <c r="CQL119" s="30"/>
      <c r="CQM119" s="30"/>
      <c r="CQN119" s="30"/>
      <c r="CQO119" s="30"/>
      <c r="CQP119" s="30"/>
      <c r="CQQ119" s="30"/>
      <c r="CQR119" s="30"/>
      <c r="CQS119" s="30"/>
      <c r="CQT119" s="30"/>
      <c r="CQU119" s="30"/>
      <c r="CQV119" s="30"/>
      <c r="CQW119" s="30"/>
      <c r="CQX119" s="30"/>
      <c r="CQY119" s="30"/>
      <c r="CQZ119" s="30"/>
      <c r="CRA119" s="30"/>
      <c r="CRB119" s="30"/>
      <c r="CRC119" s="30"/>
      <c r="CRD119" s="30"/>
      <c r="CRE119" s="30"/>
      <c r="CRF119" s="30"/>
      <c r="CRG119" s="30"/>
      <c r="CRH119" s="30"/>
      <c r="CRI119" s="30"/>
      <c r="CRJ119" s="30"/>
      <c r="CRK119" s="30"/>
      <c r="CRL119" s="30"/>
      <c r="CRM119" s="30"/>
      <c r="CRN119" s="30"/>
      <c r="CRO119" s="30"/>
      <c r="CRP119" s="30"/>
      <c r="CRQ119" s="30"/>
      <c r="CRR119" s="30"/>
      <c r="CRS119" s="30"/>
      <c r="CRT119" s="30"/>
      <c r="CRU119" s="30"/>
      <c r="CRV119" s="30"/>
      <c r="CRW119" s="30"/>
      <c r="CRX119" s="30"/>
      <c r="CRY119" s="30"/>
      <c r="CRZ119" s="30"/>
      <c r="CSA119" s="30"/>
      <c r="CSB119" s="30"/>
      <c r="CSC119" s="30"/>
      <c r="CSD119" s="30"/>
      <c r="CSE119" s="30"/>
      <c r="CSF119" s="30"/>
      <c r="CSG119" s="30"/>
      <c r="CSH119" s="30"/>
      <c r="CSI119" s="30"/>
      <c r="CSJ119" s="30"/>
      <c r="CSK119" s="30"/>
      <c r="CSL119" s="30"/>
      <c r="CSM119" s="30"/>
      <c r="CSN119" s="30"/>
      <c r="CSO119" s="30"/>
      <c r="CSP119" s="30"/>
      <c r="CSQ119" s="30"/>
      <c r="CSR119" s="30"/>
      <c r="CSS119" s="30"/>
      <c r="CST119" s="30"/>
      <c r="CSU119" s="30"/>
      <c r="CSV119" s="30"/>
      <c r="CSW119" s="30"/>
      <c r="CSX119" s="30"/>
      <c r="CSY119" s="30"/>
      <c r="CSZ119" s="30"/>
      <c r="CTA119" s="30"/>
      <c r="CTB119" s="30"/>
      <c r="CTC119" s="30"/>
      <c r="CTD119" s="30"/>
      <c r="CTE119" s="30"/>
      <c r="CTF119" s="30"/>
      <c r="CTG119" s="30"/>
      <c r="CTH119" s="30"/>
      <c r="CTI119" s="30"/>
      <c r="CTJ119" s="30"/>
      <c r="CTK119" s="30"/>
      <c r="CTL119" s="30"/>
      <c r="CTM119" s="30"/>
      <c r="CTN119" s="30"/>
      <c r="CTO119" s="30"/>
      <c r="CTP119" s="30"/>
      <c r="CTQ119" s="30"/>
      <c r="CTR119" s="30"/>
      <c r="CTS119" s="30"/>
      <c r="CTT119" s="30"/>
      <c r="CTU119" s="30"/>
      <c r="CTV119" s="30"/>
      <c r="CTW119" s="30"/>
      <c r="CTX119" s="30"/>
      <c r="CTY119" s="30"/>
      <c r="CTZ119" s="30"/>
      <c r="CUA119" s="30"/>
    </row>
    <row r="120" s="267" customFormat="1" ht="23" customHeight="1" spans="1:2575">
      <c r="A120" s="268">
        <v>126</v>
      </c>
      <c r="B120" s="268" t="s">
        <v>15</v>
      </c>
      <c r="C120" s="268" t="s">
        <v>54</v>
      </c>
      <c r="D120" s="82" t="s">
        <v>675</v>
      </c>
      <c r="E120" s="29" t="s">
        <v>818</v>
      </c>
      <c r="F120" s="85"/>
      <c r="G120" s="144" t="s">
        <v>948</v>
      </c>
      <c r="H120" s="312" t="s">
        <v>949</v>
      </c>
      <c r="I120" s="312"/>
      <c r="J120" s="144" t="s">
        <v>950</v>
      </c>
      <c r="K120" s="140" t="s">
        <v>822</v>
      </c>
      <c r="L120" s="29" t="s">
        <v>673</v>
      </c>
      <c r="M120" s="29" t="s">
        <v>677</v>
      </c>
      <c r="N120" s="286">
        <v>45827</v>
      </c>
      <c r="O120" s="318">
        <v>46191</v>
      </c>
      <c r="P120" s="142">
        <v>300</v>
      </c>
      <c r="Q120" s="251"/>
      <c r="R120" s="85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  <c r="FS120" s="30"/>
      <c r="FT120" s="30"/>
      <c r="FU120" s="30"/>
      <c r="FV120" s="30"/>
      <c r="FW120" s="30"/>
      <c r="FX120" s="30"/>
      <c r="FY120" s="30"/>
      <c r="FZ120" s="30"/>
      <c r="GA120" s="30"/>
      <c r="GB120" s="30"/>
      <c r="GC120" s="30"/>
      <c r="GD120" s="30"/>
      <c r="GE120" s="30"/>
      <c r="GF120" s="30"/>
      <c r="GG120" s="30"/>
      <c r="GH120" s="30"/>
      <c r="GI120" s="30"/>
      <c r="GJ120" s="30"/>
      <c r="GK120" s="30"/>
      <c r="GL120" s="30"/>
      <c r="GM120" s="30"/>
      <c r="GN120" s="30"/>
      <c r="GO120" s="30"/>
      <c r="GP120" s="30"/>
      <c r="GQ120" s="30"/>
      <c r="GR120" s="30"/>
      <c r="GS120" s="30"/>
      <c r="GT120" s="30"/>
      <c r="GU120" s="30"/>
      <c r="GV120" s="30"/>
      <c r="GW120" s="30"/>
      <c r="GX120" s="30"/>
      <c r="GY120" s="30"/>
      <c r="GZ120" s="30"/>
      <c r="HA120" s="30"/>
      <c r="HB120" s="30"/>
      <c r="HC120" s="30"/>
      <c r="HD120" s="30"/>
      <c r="HE120" s="30"/>
      <c r="HF120" s="30"/>
      <c r="HG120" s="30"/>
      <c r="HH120" s="30"/>
      <c r="HI120" s="30"/>
      <c r="HJ120" s="30"/>
      <c r="HK120" s="30"/>
      <c r="HL120" s="30"/>
      <c r="HM120" s="30"/>
      <c r="HN120" s="30"/>
      <c r="HO120" s="30"/>
      <c r="HP120" s="30"/>
      <c r="HQ120" s="30"/>
      <c r="HR120" s="30"/>
      <c r="HS120" s="30"/>
      <c r="HT120" s="30"/>
      <c r="HU120" s="30"/>
      <c r="HV120" s="30"/>
      <c r="HW120" s="30"/>
      <c r="HX120" s="30"/>
      <c r="HY120" s="30"/>
      <c r="HZ120" s="30"/>
      <c r="IA120" s="30"/>
      <c r="IB120" s="30"/>
      <c r="IC120" s="30"/>
      <c r="ID120" s="30"/>
      <c r="IE120" s="30"/>
      <c r="IF120" s="30"/>
      <c r="IG120" s="30"/>
      <c r="IH120" s="30"/>
      <c r="II120" s="30"/>
      <c r="IJ120" s="30"/>
      <c r="IK120" s="30"/>
      <c r="IL120" s="30"/>
      <c r="IM120" s="30"/>
      <c r="IN120" s="30"/>
      <c r="IO120" s="30"/>
      <c r="IP120" s="30"/>
      <c r="IQ120" s="30"/>
      <c r="IR120" s="30"/>
      <c r="IS120" s="30"/>
      <c r="IT120" s="30"/>
      <c r="IU120" s="30"/>
      <c r="IV120" s="30"/>
      <c r="IW120" s="30"/>
      <c r="IX120" s="30"/>
      <c r="IY120" s="30"/>
      <c r="IZ120" s="30"/>
      <c r="JA120" s="30"/>
      <c r="JB120" s="30"/>
      <c r="JC120" s="30"/>
      <c r="JD120" s="30"/>
      <c r="JE120" s="30"/>
      <c r="JF120" s="30"/>
      <c r="JG120" s="30"/>
      <c r="JH120" s="30"/>
      <c r="JI120" s="30"/>
      <c r="JJ120" s="30"/>
      <c r="JK120" s="30"/>
      <c r="JL120" s="30"/>
      <c r="JM120" s="30"/>
      <c r="JN120" s="30"/>
      <c r="JO120" s="30"/>
      <c r="JP120" s="30"/>
      <c r="JQ120" s="30"/>
      <c r="JR120" s="30"/>
      <c r="JS120" s="30"/>
      <c r="JT120" s="30"/>
      <c r="JU120" s="30"/>
      <c r="JV120" s="30"/>
      <c r="JW120" s="30"/>
      <c r="JX120" s="30"/>
      <c r="JY120" s="30"/>
      <c r="JZ120" s="30"/>
      <c r="KA120" s="30"/>
      <c r="KB120" s="30"/>
      <c r="KC120" s="30"/>
      <c r="KD120" s="30"/>
      <c r="KE120" s="30"/>
      <c r="KF120" s="30"/>
      <c r="KG120" s="30"/>
      <c r="KH120" s="30"/>
      <c r="KI120" s="30"/>
      <c r="KJ120" s="30"/>
      <c r="KK120" s="30"/>
      <c r="KL120" s="30"/>
      <c r="KM120" s="30"/>
      <c r="KN120" s="30"/>
      <c r="KO120" s="30"/>
      <c r="KP120" s="30"/>
      <c r="KQ120" s="30"/>
      <c r="KR120" s="30"/>
      <c r="KS120" s="30"/>
      <c r="KT120" s="30"/>
      <c r="KU120" s="30"/>
      <c r="KV120" s="30"/>
      <c r="KW120" s="30"/>
      <c r="KX120" s="30"/>
      <c r="KY120" s="30"/>
      <c r="KZ120" s="30"/>
      <c r="LA120" s="30"/>
      <c r="LB120" s="30"/>
      <c r="LC120" s="30"/>
      <c r="LD120" s="30"/>
      <c r="LE120" s="30"/>
      <c r="LF120" s="30"/>
      <c r="LG120" s="30"/>
      <c r="LH120" s="30"/>
      <c r="LI120" s="30"/>
      <c r="LJ120" s="30"/>
      <c r="LK120" s="30"/>
      <c r="LL120" s="30"/>
      <c r="LM120" s="30"/>
      <c r="LN120" s="30"/>
      <c r="LO120" s="30"/>
      <c r="LP120" s="30"/>
      <c r="LQ120" s="30"/>
      <c r="LR120" s="30"/>
      <c r="LS120" s="30"/>
      <c r="LT120" s="30"/>
      <c r="LU120" s="30"/>
      <c r="LV120" s="30"/>
      <c r="LW120" s="30"/>
      <c r="LX120" s="30"/>
      <c r="LY120" s="30"/>
      <c r="LZ120" s="30"/>
      <c r="MA120" s="30"/>
      <c r="MB120" s="30"/>
      <c r="MC120" s="30"/>
      <c r="MD120" s="30"/>
      <c r="ME120" s="30"/>
      <c r="MF120" s="30"/>
      <c r="MG120" s="30"/>
      <c r="MH120" s="30"/>
      <c r="MI120" s="30"/>
      <c r="MJ120" s="30"/>
      <c r="MK120" s="30"/>
      <c r="ML120" s="30"/>
      <c r="MM120" s="30"/>
      <c r="MN120" s="30"/>
      <c r="MO120" s="30"/>
      <c r="MP120" s="30"/>
      <c r="MQ120" s="30"/>
      <c r="MR120" s="30"/>
      <c r="MS120" s="30"/>
      <c r="MT120" s="30"/>
      <c r="MU120" s="30"/>
      <c r="MV120" s="30"/>
      <c r="MW120" s="30"/>
      <c r="MX120" s="30"/>
      <c r="MY120" s="30"/>
      <c r="MZ120" s="30"/>
      <c r="NA120" s="30"/>
      <c r="NB120" s="30"/>
      <c r="NC120" s="30"/>
      <c r="ND120" s="30"/>
      <c r="NE120" s="30"/>
      <c r="NF120" s="30"/>
      <c r="NG120" s="30"/>
      <c r="NH120" s="30"/>
      <c r="NI120" s="30"/>
      <c r="NJ120" s="30"/>
      <c r="NK120" s="30"/>
      <c r="NL120" s="30"/>
      <c r="NM120" s="30"/>
      <c r="NN120" s="30"/>
      <c r="NO120" s="30"/>
      <c r="NP120" s="30"/>
      <c r="NQ120" s="30"/>
      <c r="NR120" s="30"/>
      <c r="NS120" s="30"/>
      <c r="NT120" s="30"/>
      <c r="NU120" s="30"/>
      <c r="NV120" s="30"/>
      <c r="NW120" s="30"/>
      <c r="NX120" s="30"/>
      <c r="NY120" s="30"/>
      <c r="NZ120" s="30"/>
      <c r="OA120" s="30"/>
      <c r="OB120" s="30"/>
      <c r="OC120" s="30"/>
      <c r="OD120" s="30"/>
      <c r="OE120" s="30"/>
      <c r="OF120" s="30"/>
      <c r="OG120" s="30"/>
      <c r="OH120" s="30"/>
      <c r="OI120" s="30"/>
      <c r="OJ120" s="30"/>
      <c r="OK120" s="30"/>
      <c r="OL120" s="30"/>
      <c r="OM120" s="30"/>
      <c r="ON120" s="30"/>
      <c r="OO120" s="30"/>
      <c r="OP120" s="30"/>
      <c r="OQ120" s="30"/>
      <c r="OR120" s="30"/>
      <c r="OS120" s="30"/>
      <c r="OT120" s="30"/>
      <c r="OU120" s="30"/>
      <c r="OV120" s="30"/>
      <c r="OW120" s="30"/>
      <c r="OX120" s="30"/>
      <c r="OY120" s="30"/>
      <c r="OZ120" s="30"/>
      <c r="PA120" s="30"/>
      <c r="PB120" s="30"/>
      <c r="PC120" s="30"/>
      <c r="PD120" s="30"/>
      <c r="PE120" s="30"/>
      <c r="PF120" s="30"/>
      <c r="PG120" s="30"/>
      <c r="PH120" s="30"/>
      <c r="PI120" s="30"/>
      <c r="PJ120" s="30"/>
      <c r="PK120" s="30"/>
      <c r="PL120" s="30"/>
      <c r="PM120" s="30"/>
      <c r="PN120" s="30"/>
      <c r="PO120" s="30"/>
      <c r="PP120" s="30"/>
      <c r="PQ120" s="30"/>
      <c r="PR120" s="30"/>
      <c r="PS120" s="30"/>
      <c r="PT120" s="30"/>
      <c r="PU120" s="30"/>
      <c r="PV120" s="30"/>
      <c r="PW120" s="30"/>
      <c r="PX120" s="30"/>
      <c r="PY120" s="30"/>
      <c r="PZ120" s="30"/>
      <c r="QA120" s="30"/>
      <c r="QB120" s="30"/>
      <c r="QC120" s="30"/>
      <c r="QD120" s="30"/>
      <c r="QE120" s="30"/>
      <c r="QF120" s="30"/>
      <c r="QG120" s="30"/>
      <c r="QH120" s="30"/>
      <c r="QI120" s="30"/>
      <c r="QJ120" s="30"/>
      <c r="QK120" s="30"/>
      <c r="QL120" s="30"/>
      <c r="QM120" s="30"/>
      <c r="QN120" s="30"/>
      <c r="QO120" s="30"/>
      <c r="QP120" s="30"/>
      <c r="QQ120" s="30"/>
      <c r="QR120" s="30"/>
      <c r="QS120" s="30"/>
      <c r="QT120" s="30"/>
      <c r="QU120" s="30"/>
      <c r="QV120" s="30"/>
      <c r="QW120" s="30"/>
      <c r="QX120" s="30"/>
      <c r="QY120" s="30"/>
      <c r="QZ120" s="30"/>
      <c r="RA120" s="30"/>
      <c r="RB120" s="30"/>
      <c r="RC120" s="30"/>
      <c r="RD120" s="30"/>
      <c r="RE120" s="30"/>
      <c r="RF120" s="30"/>
      <c r="RG120" s="30"/>
      <c r="RH120" s="30"/>
      <c r="RI120" s="30"/>
      <c r="RJ120" s="30"/>
      <c r="RK120" s="30"/>
      <c r="RL120" s="30"/>
      <c r="RM120" s="30"/>
      <c r="RN120" s="30"/>
      <c r="RO120" s="30"/>
      <c r="RP120" s="30"/>
      <c r="RQ120" s="30"/>
      <c r="RR120" s="30"/>
      <c r="RS120" s="30"/>
      <c r="RT120" s="30"/>
      <c r="RU120" s="30"/>
      <c r="RV120" s="30"/>
      <c r="RW120" s="30"/>
      <c r="RX120" s="30"/>
      <c r="RY120" s="30"/>
      <c r="RZ120" s="30"/>
      <c r="SA120" s="30"/>
      <c r="SB120" s="30"/>
      <c r="SC120" s="30"/>
      <c r="SD120" s="30"/>
      <c r="SE120" s="30"/>
      <c r="SF120" s="30"/>
      <c r="SG120" s="30"/>
      <c r="SH120" s="30"/>
      <c r="SI120" s="30"/>
      <c r="SJ120" s="30"/>
      <c r="SK120" s="30"/>
      <c r="SL120" s="30"/>
      <c r="SM120" s="30"/>
      <c r="SN120" s="30"/>
      <c r="SO120" s="30"/>
      <c r="SP120" s="30"/>
      <c r="SQ120" s="30"/>
      <c r="SR120" s="30"/>
      <c r="SS120" s="30"/>
      <c r="ST120" s="30"/>
      <c r="SU120" s="30"/>
      <c r="SV120" s="30"/>
      <c r="SW120" s="30"/>
      <c r="SX120" s="30"/>
      <c r="SY120" s="30"/>
      <c r="SZ120" s="30"/>
      <c r="TA120" s="30"/>
      <c r="TB120" s="30"/>
      <c r="TC120" s="30"/>
      <c r="TD120" s="30"/>
      <c r="TE120" s="30"/>
      <c r="TF120" s="30"/>
      <c r="TG120" s="30"/>
      <c r="TH120" s="30"/>
      <c r="TI120" s="30"/>
      <c r="TJ120" s="30"/>
      <c r="TK120" s="30"/>
      <c r="TL120" s="30"/>
      <c r="TM120" s="30"/>
      <c r="TN120" s="30"/>
      <c r="TO120" s="30"/>
      <c r="TP120" s="30"/>
      <c r="TQ120" s="30"/>
      <c r="TR120" s="30"/>
      <c r="TS120" s="30"/>
      <c r="TT120" s="30"/>
      <c r="TU120" s="30"/>
      <c r="TV120" s="30"/>
      <c r="TW120" s="30"/>
      <c r="TX120" s="30"/>
      <c r="TY120" s="30"/>
      <c r="TZ120" s="30"/>
      <c r="UA120" s="30"/>
      <c r="UB120" s="30"/>
      <c r="UC120" s="30"/>
      <c r="UD120" s="30"/>
      <c r="UE120" s="30"/>
      <c r="UF120" s="30"/>
      <c r="UG120" s="30"/>
      <c r="UH120" s="30"/>
      <c r="UI120" s="30"/>
      <c r="UJ120" s="30"/>
      <c r="UK120" s="30"/>
      <c r="UL120" s="30"/>
      <c r="UM120" s="30"/>
      <c r="UN120" s="30"/>
      <c r="UO120" s="30"/>
      <c r="UP120" s="30"/>
      <c r="UQ120" s="30"/>
      <c r="UR120" s="30"/>
      <c r="US120" s="30"/>
      <c r="UT120" s="30"/>
      <c r="UU120" s="30"/>
      <c r="UV120" s="30"/>
      <c r="UW120" s="30"/>
      <c r="UX120" s="30"/>
      <c r="UY120" s="30"/>
      <c r="UZ120" s="30"/>
      <c r="VA120" s="30"/>
      <c r="VB120" s="30"/>
      <c r="VC120" s="30"/>
      <c r="VD120" s="30"/>
      <c r="VE120" s="30"/>
      <c r="VF120" s="30"/>
      <c r="VG120" s="30"/>
      <c r="VH120" s="30"/>
      <c r="VI120" s="30"/>
      <c r="VJ120" s="30"/>
      <c r="VK120" s="30"/>
      <c r="VL120" s="30"/>
      <c r="VM120" s="30"/>
      <c r="VN120" s="30"/>
      <c r="VO120" s="30"/>
      <c r="VP120" s="30"/>
      <c r="VQ120" s="30"/>
      <c r="VR120" s="30"/>
      <c r="VS120" s="30"/>
      <c r="VT120" s="30"/>
      <c r="VU120" s="30"/>
      <c r="VV120" s="30"/>
      <c r="VW120" s="30"/>
      <c r="VX120" s="30"/>
      <c r="VY120" s="30"/>
      <c r="VZ120" s="30"/>
      <c r="WA120" s="30"/>
      <c r="WB120" s="30"/>
      <c r="WC120" s="30"/>
      <c r="WD120" s="30"/>
      <c r="WE120" s="30"/>
      <c r="WF120" s="30"/>
      <c r="WG120" s="30"/>
      <c r="WH120" s="30"/>
      <c r="WI120" s="30"/>
      <c r="WJ120" s="30"/>
      <c r="WK120" s="30"/>
      <c r="WL120" s="30"/>
      <c r="WM120" s="30"/>
      <c r="WN120" s="30"/>
      <c r="WO120" s="30"/>
      <c r="WP120" s="30"/>
      <c r="WQ120" s="30"/>
      <c r="WR120" s="30"/>
      <c r="WS120" s="30"/>
      <c r="WT120" s="30"/>
      <c r="WU120" s="30"/>
      <c r="WV120" s="30"/>
      <c r="WW120" s="30"/>
      <c r="WX120" s="30"/>
      <c r="WY120" s="30"/>
      <c r="WZ120" s="30"/>
      <c r="XA120" s="30"/>
      <c r="XB120" s="30"/>
      <c r="XC120" s="30"/>
      <c r="XD120" s="30"/>
      <c r="XE120" s="30"/>
      <c r="XF120" s="30"/>
      <c r="XG120" s="30"/>
      <c r="XH120" s="30"/>
      <c r="XI120" s="30"/>
      <c r="XJ120" s="30"/>
      <c r="XK120" s="30"/>
      <c r="XL120" s="30"/>
      <c r="XM120" s="30"/>
      <c r="XN120" s="30"/>
      <c r="XO120" s="30"/>
      <c r="XP120" s="30"/>
      <c r="XQ120" s="30"/>
      <c r="XR120" s="30"/>
      <c r="XS120" s="30"/>
      <c r="XT120" s="30"/>
      <c r="XU120" s="30"/>
      <c r="XV120" s="30"/>
      <c r="XW120" s="30"/>
      <c r="XX120" s="30"/>
      <c r="XY120" s="30"/>
      <c r="XZ120" s="30"/>
      <c r="YA120" s="30"/>
      <c r="YB120" s="30"/>
      <c r="YC120" s="30"/>
      <c r="YD120" s="30"/>
      <c r="YE120" s="30"/>
      <c r="YF120" s="30"/>
      <c r="YG120" s="30"/>
      <c r="YH120" s="30"/>
      <c r="YI120" s="30"/>
      <c r="YJ120" s="30"/>
      <c r="YK120" s="30"/>
      <c r="YL120" s="30"/>
      <c r="YM120" s="30"/>
      <c r="YN120" s="30"/>
      <c r="YO120" s="30"/>
      <c r="YP120" s="30"/>
      <c r="YQ120" s="30"/>
      <c r="YR120" s="30"/>
      <c r="YS120" s="30"/>
      <c r="YT120" s="30"/>
      <c r="YU120" s="30"/>
      <c r="YV120" s="30"/>
      <c r="YW120" s="30"/>
      <c r="YX120" s="30"/>
      <c r="YY120" s="30"/>
      <c r="YZ120" s="30"/>
      <c r="ZA120" s="30"/>
      <c r="ZB120" s="30"/>
      <c r="ZC120" s="30"/>
      <c r="ZD120" s="30"/>
      <c r="ZE120" s="30"/>
      <c r="ZF120" s="30"/>
      <c r="ZG120" s="30"/>
      <c r="ZH120" s="30"/>
      <c r="ZI120" s="30"/>
      <c r="ZJ120" s="30"/>
      <c r="ZK120" s="30"/>
      <c r="ZL120" s="30"/>
      <c r="ZM120" s="30"/>
      <c r="ZN120" s="30"/>
      <c r="ZO120" s="30"/>
      <c r="ZP120" s="30"/>
      <c r="ZQ120" s="30"/>
      <c r="ZR120" s="30"/>
      <c r="ZS120" s="30"/>
      <c r="ZT120" s="30"/>
      <c r="ZU120" s="30"/>
      <c r="ZV120" s="30"/>
      <c r="ZW120" s="30"/>
      <c r="ZX120" s="30"/>
      <c r="ZY120" s="30"/>
      <c r="ZZ120" s="30"/>
      <c r="AAA120" s="30"/>
      <c r="AAB120" s="30"/>
      <c r="AAC120" s="30"/>
      <c r="AAD120" s="30"/>
      <c r="AAE120" s="30"/>
      <c r="AAF120" s="30"/>
      <c r="AAG120" s="30"/>
      <c r="AAH120" s="30"/>
      <c r="AAI120" s="30"/>
      <c r="AAJ120" s="30"/>
      <c r="AAK120" s="30"/>
      <c r="AAL120" s="30"/>
      <c r="AAM120" s="30"/>
      <c r="AAN120" s="30"/>
      <c r="AAO120" s="30"/>
      <c r="AAP120" s="30"/>
      <c r="AAQ120" s="30"/>
      <c r="AAR120" s="30"/>
      <c r="AAS120" s="30"/>
      <c r="AAT120" s="30"/>
      <c r="AAU120" s="30"/>
      <c r="AAV120" s="30"/>
      <c r="AAW120" s="30"/>
      <c r="AAX120" s="30"/>
      <c r="AAY120" s="30"/>
      <c r="AAZ120" s="30"/>
      <c r="ABA120" s="30"/>
      <c r="ABB120" s="30"/>
      <c r="ABC120" s="30"/>
      <c r="ABD120" s="30"/>
      <c r="ABE120" s="30"/>
      <c r="ABF120" s="30"/>
      <c r="ABG120" s="30"/>
      <c r="ABH120" s="30"/>
      <c r="ABI120" s="30"/>
      <c r="ABJ120" s="30"/>
      <c r="ABK120" s="30"/>
      <c r="ABL120" s="30"/>
      <c r="ABM120" s="30"/>
      <c r="ABN120" s="30"/>
      <c r="ABO120" s="30"/>
      <c r="ABP120" s="30"/>
      <c r="ABQ120" s="30"/>
      <c r="ABR120" s="30"/>
      <c r="ABS120" s="30"/>
      <c r="ABT120" s="30"/>
      <c r="ABU120" s="30"/>
      <c r="ABV120" s="30"/>
      <c r="ABW120" s="30"/>
      <c r="ABX120" s="30"/>
      <c r="ABY120" s="30"/>
      <c r="ABZ120" s="30"/>
      <c r="ACA120" s="30"/>
      <c r="ACB120" s="30"/>
      <c r="ACC120" s="30"/>
      <c r="ACD120" s="30"/>
      <c r="ACE120" s="30"/>
      <c r="ACF120" s="30"/>
      <c r="ACG120" s="30"/>
      <c r="ACH120" s="30"/>
      <c r="ACI120" s="30"/>
      <c r="ACJ120" s="30"/>
      <c r="ACK120" s="30"/>
      <c r="ACL120" s="30"/>
      <c r="ACM120" s="30"/>
      <c r="ACN120" s="30"/>
      <c r="ACO120" s="30"/>
      <c r="ACP120" s="30"/>
      <c r="ACQ120" s="30"/>
      <c r="ACR120" s="30"/>
      <c r="ACS120" s="30"/>
      <c r="ACT120" s="30"/>
      <c r="ACU120" s="30"/>
      <c r="ACV120" s="30"/>
      <c r="ACW120" s="30"/>
      <c r="ACX120" s="30"/>
      <c r="ACY120" s="30"/>
      <c r="ACZ120" s="30"/>
      <c r="ADA120" s="30"/>
      <c r="ADB120" s="30"/>
      <c r="ADC120" s="30"/>
      <c r="ADD120" s="30"/>
      <c r="ADE120" s="30"/>
      <c r="ADF120" s="30"/>
      <c r="ADG120" s="30"/>
      <c r="ADH120" s="30"/>
      <c r="ADI120" s="30"/>
      <c r="ADJ120" s="30"/>
      <c r="ADK120" s="30"/>
      <c r="ADL120" s="30"/>
      <c r="ADM120" s="30"/>
      <c r="ADN120" s="30"/>
      <c r="ADO120" s="30"/>
      <c r="ADP120" s="30"/>
      <c r="ADQ120" s="30"/>
      <c r="ADR120" s="30"/>
      <c r="ADS120" s="30"/>
      <c r="ADT120" s="30"/>
      <c r="ADU120" s="30"/>
      <c r="ADV120" s="30"/>
      <c r="ADW120" s="30"/>
      <c r="ADX120" s="30"/>
      <c r="ADY120" s="30"/>
      <c r="ADZ120" s="30"/>
      <c r="AEA120" s="30"/>
      <c r="AEB120" s="30"/>
      <c r="AEC120" s="30"/>
      <c r="AED120" s="30"/>
      <c r="AEE120" s="30"/>
      <c r="AEF120" s="30"/>
      <c r="AEG120" s="30"/>
      <c r="AEH120" s="30"/>
      <c r="AEI120" s="30"/>
      <c r="AEJ120" s="30"/>
      <c r="AEK120" s="30"/>
      <c r="AEL120" s="30"/>
      <c r="AEM120" s="30"/>
      <c r="AEN120" s="30"/>
      <c r="AEO120" s="30"/>
      <c r="AEP120" s="30"/>
      <c r="AEQ120" s="30"/>
      <c r="AER120" s="30"/>
      <c r="AES120" s="30"/>
      <c r="AET120" s="30"/>
      <c r="AEU120" s="30"/>
      <c r="AEV120" s="30"/>
      <c r="AEW120" s="30"/>
      <c r="AEX120" s="30"/>
      <c r="AEY120" s="30"/>
      <c r="AEZ120" s="30"/>
      <c r="AFA120" s="30"/>
      <c r="AFB120" s="30"/>
      <c r="AFC120" s="30"/>
      <c r="AFD120" s="30"/>
      <c r="AFE120" s="30"/>
      <c r="AFF120" s="30"/>
      <c r="AFG120" s="30"/>
      <c r="AFH120" s="30"/>
      <c r="AFI120" s="30"/>
      <c r="AFJ120" s="30"/>
      <c r="AFK120" s="30"/>
      <c r="AFL120" s="30"/>
      <c r="AFM120" s="30"/>
      <c r="AFN120" s="30"/>
      <c r="AFO120" s="30"/>
      <c r="AFP120" s="30"/>
      <c r="AFQ120" s="30"/>
      <c r="AFR120" s="30"/>
      <c r="AFS120" s="30"/>
      <c r="AFT120" s="30"/>
      <c r="AFU120" s="30"/>
      <c r="AFV120" s="30"/>
      <c r="AFW120" s="30"/>
      <c r="AFX120" s="30"/>
      <c r="AFY120" s="30"/>
      <c r="AFZ120" s="30"/>
      <c r="AGA120" s="30"/>
      <c r="AGB120" s="30"/>
      <c r="AGC120" s="30"/>
      <c r="AGD120" s="30"/>
      <c r="AGE120" s="30"/>
      <c r="AGF120" s="30"/>
      <c r="AGG120" s="30"/>
      <c r="AGH120" s="30"/>
      <c r="AGI120" s="30"/>
      <c r="AGJ120" s="30"/>
      <c r="AGK120" s="30"/>
      <c r="AGL120" s="30"/>
      <c r="AGM120" s="30"/>
      <c r="AGN120" s="30"/>
      <c r="AGO120" s="30"/>
      <c r="AGP120" s="30"/>
      <c r="AGQ120" s="30"/>
      <c r="AGR120" s="30"/>
      <c r="AGS120" s="30"/>
      <c r="AGT120" s="30"/>
      <c r="AGU120" s="30"/>
      <c r="AGV120" s="30"/>
      <c r="AGW120" s="30"/>
      <c r="AGX120" s="30"/>
      <c r="AGY120" s="30"/>
      <c r="AGZ120" s="30"/>
      <c r="AHA120" s="30"/>
      <c r="AHB120" s="30"/>
      <c r="AHC120" s="30"/>
      <c r="AHD120" s="30"/>
      <c r="AHE120" s="30"/>
      <c r="AHF120" s="30"/>
      <c r="AHG120" s="30"/>
      <c r="AHH120" s="30"/>
      <c r="AHI120" s="30"/>
      <c r="AHJ120" s="30"/>
      <c r="AHK120" s="30"/>
      <c r="AHL120" s="30"/>
      <c r="AHM120" s="30"/>
      <c r="AHN120" s="30"/>
      <c r="AHO120" s="30"/>
      <c r="AHP120" s="30"/>
      <c r="AHQ120" s="30"/>
      <c r="AHR120" s="30"/>
      <c r="AHS120" s="30"/>
      <c r="AHT120" s="30"/>
      <c r="AHU120" s="30"/>
      <c r="AHV120" s="30"/>
      <c r="AHW120" s="30"/>
      <c r="AHX120" s="30"/>
      <c r="AHY120" s="30"/>
      <c r="AHZ120" s="30"/>
      <c r="AIA120" s="30"/>
      <c r="AIB120" s="30"/>
      <c r="AIC120" s="30"/>
      <c r="AID120" s="30"/>
      <c r="AIE120" s="30"/>
      <c r="AIF120" s="30"/>
      <c r="AIG120" s="30"/>
      <c r="AIH120" s="30"/>
      <c r="AII120" s="30"/>
      <c r="AIJ120" s="30"/>
      <c r="AIK120" s="30"/>
      <c r="AIL120" s="30"/>
      <c r="AIM120" s="30"/>
      <c r="AIN120" s="30"/>
      <c r="AIO120" s="30"/>
      <c r="AIP120" s="30"/>
      <c r="AIQ120" s="30"/>
      <c r="AIR120" s="30"/>
      <c r="AIS120" s="30"/>
      <c r="AIT120" s="30"/>
      <c r="AIU120" s="30"/>
      <c r="AIV120" s="30"/>
      <c r="AIW120" s="30"/>
      <c r="AIX120" s="30"/>
      <c r="AIY120" s="30"/>
      <c r="AIZ120" s="30"/>
      <c r="AJA120" s="30"/>
      <c r="AJB120" s="30"/>
      <c r="AJC120" s="30"/>
      <c r="AJD120" s="30"/>
      <c r="AJE120" s="30"/>
      <c r="AJF120" s="30"/>
      <c r="AJG120" s="30"/>
      <c r="AJH120" s="30"/>
      <c r="AJI120" s="30"/>
      <c r="AJJ120" s="30"/>
      <c r="AJK120" s="30"/>
      <c r="AJL120" s="30"/>
      <c r="AJM120" s="30"/>
      <c r="AJN120" s="30"/>
      <c r="AJO120" s="30"/>
      <c r="AJP120" s="30"/>
      <c r="AJQ120" s="30"/>
      <c r="AJR120" s="30"/>
      <c r="AJS120" s="30"/>
      <c r="AJT120" s="30"/>
      <c r="AJU120" s="30"/>
      <c r="AJV120" s="30"/>
      <c r="AJW120" s="30"/>
      <c r="AJX120" s="30"/>
      <c r="AJY120" s="30"/>
      <c r="AJZ120" s="30"/>
      <c r="AKA120" s="30"/>
      <c r="AKB120" s="30"/>
      <c r="AKC120" s="30"/>
      <c r="AKD120" s="30"/>
      <c r="AKE120" s="30"/>
      <c r="AKF120" s="30"/>
      <c r="AKG120" s="30"/>
      <c r="AKH120" s="30"/>
      <c r="AKI120" s="30"/>
      <c r="AKJ120" s="30"/>
      <c r="AKK120" s="30"/>
      <c r="AKL120" s="30"/>
      <c r="AKM120" s="30"/>
      <c r="AKN120" s="30"/>
      <c r="AKO120" s="30"/>
      <c r="AKP120" s="30"/>
      <c r="AKQ120" s="30"/>
      <c r="AKR120" s="30"/>
      <c r="AKS120" s="30"/>
      <c r="AKT120" s="30"/>
      <c r="AKU120" s="30"/>
      <c r="AKV120" s="30"/>
      <c r="AKW120" s="30"/>
      <c r="AKX120" s="30"/>
      <c r="AKY120" s="30"/>
      <c r="AKZ120" s="30"/>
      <c r="ALA120" s="30"/>
      <c r="ALB120" s="30"/>
      <c r="ALC120" s="30"/>
      <c r="ALD120" s="30"/>
      <c r="ALE120" s="30"/>
      <c r="ALF120" s="30"/>
      <c r="ALG120" s="30"/>
      <c r="ALH120" s="30"/>
      <c r="ALI120" s="30"/>
      <c r="ALJ120" s="30"/>
      <c r="ALK120" s="30"/>
      <c r="ALL120" s="30"/>
      <c r="ALM120" s="30"/>
      <c r="ALN120" s="30"/>
      <c r="ALO120" s="30"/>
      <c r="ALP120" s="30"/>
      <c r="ALQ120" s="30"/>
      <c r="ALR120" s="30"/>
      <c r="ALS120" s="30"/>
      <c r="ALT120" s="30"/>
      <c r="ALU120" s="30"/>
      <c r="ALV120" s="30"/>
      <c r="ALW120" s="30"/>
      <c r="ALX120" s="30"/>
      <c r="ALY120" s="30"/>
      <c r="ALZ120" s="30"/>
      <c r="AMA120" s="30"/>
      <c r="AMB120" s="30"/>
      <c r="AMC120" s="30"/>
      <c r="AMD120" s="30"/>
      <c r="AME120" s="30"/>
      <c r="AMF120" s="30"/>
      <c r="AMG120" s="30"/>
      <c r="AMH120" s="30"/>
      <c r="AMI120" s="30"/>
      <c r="AMJ120" s="30"/>
      <c r="AMK120" s="30"/>
      <c r="AML120" s="30"/>
      <c r="AMM120" s="30"/>
      <c r="AMN120" s="30"/>
      <c r="AMO120" s="30"/>
      <c r="AMP120" s="30"/>
      <c r="AMQ120" s="30"/>
      <c r="AMR120" s="30"/>
      <c r="AMS120" s="30"/>
      <c r="AMT120" s="30"/>
      <c r="AMU120" s="30"/>
      <c r="AMV120" s="30"/>
      <c r="AMW120" s="30"/>
      <c r="AMX120" s="30"/>
      <c r="AMY120" s="30"/>
      <c r="AMZ120" s="30"/>
      <c r="ANA120" s="30"/>
      <c r="ANB120" s="30"/>
      <c r="ANC120" s="30"/>
      <c r="AND120" s="30"/>
      <c r="ANE120" s="30"/>
      <c r="ANF120" s="30"/>
      <c r="ANG120" s="30"/>
      <c r="ANH120" s="30"/>
      <c r="ANI120" s="30"/>
      <c r="ANJ120" s="30"/>
      <c r="ANK120" s="30"/>
      <c r="ANL120" s="30"/>
      <c r="ANM120" s="30"/>
      <c r="ANN120" s="30"/>
      <c r="ANO120" s="30"/>
      <c r="ANP120" s="30"/>
      <c r="ANQ120" s="30"/>
      <c r="ANR120" s="30"/>
      <c r="ANS120" s="30"/>
      <c r="ANT120" s="30"/>
      <c r="ANU120" s="30"/>
      <c r="ANV120" s="30"/>
      <c r="ANW120" s="30"/>
      <c r="ANX120" s="30"/>
      <c r="ANY120" s="30"/>
      <c r="ANZ120" s="30"/>
      <c r="AOA120" s="30"/>
      <c r="AOB120" s="30"/>
      <c r="AOC120" s="30"/>
      <c r="AOD120" s="30"/>
      <c r="AOE120" s="30"/>
      <c r="AOF120" s="30"/>
      <c r="AOG120" s="30"/>
      <c r="AOH120" s="30"/>
      <c r="AOI120" s="30"/>
      <c r="AOJ120" s="30"/>
      <c r="AOK120" s="30"/>
      <c r="AOL120" s="30"/>
      <c r="AOM120" s="30"/>
      <c r="AON120" s="30"/>
      <c r="AOO120" s="30"/>
      <c r="AOP120" s="30"/>
      <c r="AOQ120" s="30"/>
      <c r="AOR120" s="30"/>
      <c r="AOS120" s="30"/>
      <c r="AOT120" s="30"/>
      <c r="AOU120" s="30"/>
      <c r="AOV120" s="30"/>
      <c r="AOW120" s="30"/>
      <c r="AOX120" s="30"/>
      <c r="AOY120" s="30"/>
      <c r="AOZ120" s="30"/>
      <c r="APA120" s="30"/>
      <c r="APB120" s="30"/>
      <c r="APC120" s="30"/>
      <c r="APD120" s="30"/>
      <c r="APE120" s="30"/>
      <c r="APF120" s="30"/>
      <c r="APG120" s="30"/>
      <c r="APH120" s="30"/>
      <c r="API120" s="30"/>
      <c r="APJ120" s="30"/>
      <c r="APK120" s="30"/>
      <c r="APL120" s="30"/>
      <c r="APM120" s="30"/>
      <c r="APN120" s="30"/>
      <c r="APO120" s="30"/>
      <c r="APP120" s="30"/>
      <c r="APQ120" s="30"/>
      <c r="APR120" s="30"/>
      <c r="APS120" s="30"/>
      <c r="APT120" s="30"/>
      <c r="APU120" s="30"/>
      <c r="APV120" s="30"/>
      <c r="APW120" s="30"/>
      <c r="APX120" s="30"/>
      <c r="APY120" s="30"/>
      <c r="APZ120" s="30"/>
      <c r="AQA120" s="30"/>
      <c r="AQB120" s="30"/>
      <c r="AQC120" s="30"/>
      <c r="AQD120" s="30"/>
      <c r="AQE120" s="30"/>
      <c r="AQF120" s="30"/>
      <c r="AQG120" s="30"/>
      <c r="AQH120" s="30"/>
      <c r="AQI120" s="30"/>
      <c r="AQJ120" s="30"/>
      <c r="AQK120" s="30"/>
      <c r="AQL120" s="30"/>
      <c r="AQM120" s="30"/>
      <c r="AQN120" s="30"/>
      <c r="AQO120" s="30"/>
      <c r="AQP120" s="30"/>
      <c r="AQQ120" s="30"/>
      <c r="AQR120" s="30"/>
      <c r="AQS120" s="30"/>
      <c r="AQT120" s="30"/>
      <c r="AQU120" s="30"/>
      <c r="AQV120" s="30"/>
      <c r="AQW120" s="30"/>
      <c r="AQX120" s="30"/>
      <c r="AQY120" s="30"/>
      <c r="AQZ120" s="30"/>
      <c r="ARA120" s="30"/>
      <c r="ARB120" s="30"/>
      <c r="ARC120" s="30"/>
      <c r="ARD120" s="30"/>
      <c r="ARE120" s="30"/>
      <c r="ARF120" s="30"/>
      <c r="ARG120" s="30"/>
      <c r="ARH120" s="30"/>
      <c r="ARI120" s="30"/>
      <c r="ARJ120" s="30"/>
      <c r="ARK120" s="30"/>
      <c r="ARL120" s="30"/>
      <c r="ARM120" s="30"/>
      <c r="ARN120" s="30"/>
      <c r="ARO120" s="30"/>
      <c r="ARP120" s="30"/>
      <c r="ARQ120" s="30"/>
      <c r="ARR120" s="30"/>
      <c r="ARS120" s="30"/>
      <c r="ART120" s="30"/>
      <c r="ARU120" s="30"/>
      <c r="ARV120" s="30"/>
      <c r="ARW120" s="30"/>
      <c r="ARX120" s="30"/>
      <c r="ARY120" s="30"/>
      <c r="ARZ120" s="30"/>
      <c r="ASA120" s="30"/>
      <c r="ASB120" s="30"/>
      <c r="ASC120" s="30"/>
      <c r="ASD120" s="30"/>
      <c r="ASE120" s="30"/>
      <c r="ASF120" s="30"/>
      <c r="ASG120" s="30"/>
      <c r="ASH120" s="30"/>
      <c r="ASI120" s="30"/>
      <c r="ASJ120" s="30"/>
      <c r="ASK120" s="30"/>
      <c r="ASL120" s="30"/>
      <c r="ASM120" s="30"/>
      <c r="ASN120" s="30"/>
      <c r="ASO120" s="30"/>
      <c r="ASP120" s="30"/>
      <c r="ASQ120" s="30"/>
      <c r="ASR120" s="30"/>
      <c r="ASS120" s="30"/>
      <c r="AST120" s="30"/>
      <c r="ASU120" s="30"/>
      <c r="ASV120" s="30"/>
      <c r="ASW120" s="30"/>
      <c r="ASX120" s="30"/>
      <c r="ASY120" s="30"/>
      <c r="ASZ120" s="30"/>
      <c r="ATA120" s="30"/>
      <c r="ATB120" s="30"/>
      <c r="ATC120" s="30"/>
      <c r="ATD120" s="30"/>
      <c r="ATE120" s="30"/>
      <c r="ATF120" s="30"/>
      <c r="ATG120" s="30"/>
      <c r="ATH120" s="30"/>
      <c r="ATI120" s="30"/>
      <c r="ATJ120" s="30"/>
      <c r="ATK120" s="30"/>
      <c r="ATL120" s="30"/>
      <c r="ATM120" s="30"/>
      <c r="ATN120" s="30"/>
      <c r="ATO120" s="30"/>
      <c r="ATP120" s="30"/>
      <c r="ATQ120" s="30"/>
      <c r="ATR120" s="30"/>
      <c r="ATS120" s="30"/>
      <c r="ATT120" s="30"/>
      <c r="ATU120" s="30"/>
      <c r="ATV120" s="30"/>
      <c r="ATW120" s="30"/>
      <c r="ATX120" s="30"/>
      <c r="ATY120" s="30"/>
      <c r="ATZ120" s="30"/>
      <c r="AUA120" s="30"/>
      <c r="AUB120" s="30"/>
      <c r="AUC120" s="30"/>
      <c r="AUD120" s="30"/>
      <c r="AUE120" s="30"/>
      <c r="AUF120" s="30"/>
      <c r="AUG120" s="30"/>
      <c r="AUH120" s="30"/>
      <c r="AUI120" s="30"/>
      <c r="AUJ120" s="30"/>
      <c r="AUK120" s="30"/>
      <c r="AUL120" s="30"/>
      <c r="AUM120" s="30"/>
      <c r="AUN120" s="30"/>
      <c r="AUO120" s="30"/>
      <c r="AUP120" s="30"/>
      <c r="AUQ120" s="30"/>
      <c r="AUR120" s="30"/>
      <c r="AUS120" s="30"/>
      <c r="AUT120" s="30"/>
      <c r="AUU120" s="30"/>
      <c r="AUV120" s="30"/>
      <c r="AUW120" s="30"/>
      <c r="AUX120" s="30"/>
      <c r="AUY120" s="30"/>
      <c r="AUZ120" s="30"/>
      <c r="AVA120" s="30"/>
      <c r="AVB120" s="30"/>
      <c r="AVC120" s="30"/>
      <c r="AVD120" s="30"/>
      <c r="AVE120" s="30"/>
      <c r="AVF120" s="30"/>
      <c r="AVG120" s="30"/>
      <c r="AVH120" s="30"/>
      <c r="AVI120" s="30"/>
      <c r="AVJ120" s="30"/>
      <c r="AVK120" s="30"/>
      <c r="AVL120" s="30"/>
      <c r="AVM120" s="30"/>
      <c r="AVN120" s="30"/>
      <c r="AVO120" s="30"/>
      <c r="AVP120" s="30"/>
      <c r="AVQ120" s="30"/>
      <c r="AVR120" s="30"/>
      <c r="AVS120" s="30"/>
      <c r="AVT120" s="30"/>
      <c r="AVU120" s="30"/>
      <c r="AVV120" s="30"/>
      <c r="AVW120" s="30"/>
      <c r="AVX120" s="30"/>
      <c r="AVY120" s="30"/>
      <c r="AVZ120" s="30"/>
      <c r="AWA120" s="30"/>
      <c r="AWB120" s="30"/>
      <c r="AWC120" s="30"/>
      <c r="AWD120" s="30"/>
      <c r="AWE120" s="30"/>
      <c r="AWF120" s="30"/>
      <c r="AWG120" s="30"/>
      <c r="AWH120" s="30"/>
      <c r="AWI120" s="30"/>
      <c r="AWJ120" s="30"/>
      <c r="AWK120" s="30"/>
      <c r="AWL120" s="30"/>
      <c r="AWM120" s="30"/>
      <c r="AWN120" s="30"/>
      <c r="AWO120" s="30"/>
      <c r="AWP120" s="30"/>
      <c r="AWQ120" s="30"/>
      <c r="AWR120" s="30"/>
      <c r="AWS120" s="30"/>
      <c r="AWT120" s="30"/>
      <c r="AWU120" s="30"/>
      <c r="AWV120" s="30"/>
      <c r="AWW120" s="30"/>
      <c r="AWX120" s="30"/>
      <c r="AWY120" s="30"/>
      <c r="AWZ120" s="30"/>
      <c r="AXA120" s="30"/>
      <c r="AXB120" s="30"/>
      <c r="AXC120" s="30"/>
      <c r="AXD120" s="30"/>
      <c r="AXE120" s="30"/>
      <c r="AXF120" s="30"/>
      <c r="AXG120" s="30"/>
      <c r="AXH120" s="30"/>
      <c r="AXI120" s="30"/>
      <c r="AXJ120" s="30"/>
      <c r="AXK120" s="30"/>
      <c r="AXL120" s="30"/>
      <c r="AXM120" s="30"/>
      <c r="AXN120" s="30"/>
      <c r="AXO120" s="30"/>
      <c r="AXP120" s="30"/>
      <c r="AXQ120" s="30"/>
      <c r="AXR120" s="30"/>
      <c r="AXS120" s="30"/>
      <c r="AXT120" s="30"/>
      <c r="AXU120" s="30"/>
      <c r="AXV120" s="30"/>
      <c r="AXW120" s="30"/>
      <c r="AXX120" s="30"/>
      <c r="AXY120" s="30"/>
      <c r="AXZ120" s="30"/>
      <c r="AYA120" s="30"/>
      <c r="AYB120" s="30"/>
      <c r="AYC120" s="30"/>
      <c r="AYD120" s="30"/>
      <c r="AYE120" s="30"/>
      <c r="AYF120" s="30"/>
      <c r="AYG120" s="30"/>
      <c r="AYH120" s="30"/>
      <c r="AYI120" s="30"/>
      <c r="AYJ120" s="30"/>
      <c r="AYK120" s="30"/>
      <c r="AYL120" s="30"/>
      <c r="AYM120" s="30"/>
      <c r="AYN120" s="30"/>
      <c r="AYO120" s="30"/>
      <c r="AYP120" s="30"/>
      <c r="AYQ120" s="30"/>
      <c r="AYR120" s="30"/>
      <c r="AYS120" s="30"/>
      <c r="AYT120" s="30"/>
      <c r="AYU120" s="30"/>
      <c r="AYV120" s="30"/>
      <c r="AYW120" s="30"/>
      <c r="AYX120" s="30"/>
      <c r="AYY120" s="30"/>
      <c r="AYZ120" s="30"/>
      <c r="AZA120" s="30"/>
      <c r="AZB120" s="30"/>
      <c r="AZC120" s="30"/>
      <c r="AZD120" s="30"/>
      <c r="AZE120" s="30"/>
      <c r="AZF120" s="30"/>
      <c r="AZG120" s="30"/>
      <c r="AZH120" s="30"/>
      <c r="AZI120" s="30"/>
      <c r="AZJ120" s="30"/>
      <c r="AZK120" s="30"/>
      <c r="AZL120" s="30"/>
      <c r="AZM120" s="30"/>
      <c r="AZN120" s="30"/>
      <c r="AZO120" s="30"/>
      <c r="AZP120" s="30"/>
      <c r="AZQ120" s="30"/>
      <c r="AZR120" s="30"/>
      <c r="AZS120" s="30"/>
      <c r="AZT120" s="30"/>
      <c r="AZU120" s="30"/>
      <c r="AZV120" s="30"/>
      <c r="AZW120" s="30"/>
      <c r="AZX120" s="30"/>
      <c r="AZY120" s="30"/>
      <c r="AZZ120" s="30"/>
      <c r="BAA120" s="30"/>
      <c r="BAB120" s="30"/>
      <c r="BAC120" s="30"/>
      <c r="BAD120" s="30"/>
      <c r="BAE120" s="30"/>
      <c r="BAF120" s="30"/>
      <c r="BAG120" s="30"/>
      <c r="BAH120" s="30"/>
      <c r="BAI120" s="30"/>
      <c r="BAJ120" s="30"/>
      <c r="BAK120" s="30"/>
      <c r="BAL120" s="30"/>
      <c r="BAM120" s="30"/>
      <c r="BAN120" s="30"/>
      <c r="BAO120" s="30"/>
      <c r="BAP120" s="30"/>
      <c r="BAQ120" s="30"/>
      <c r="BAR120" s="30"/>
      <c r="BAS120" s="30"/>
      <c r="BAT120" s="30"/>
      <c r="BAU120" s="30"/>
      <c r="BAV120" s="30"/>
      <c r="BAW120" s="30"/>
      <c r="BAX120" s="30"/>
      <c r="BAY120" s="30"/>
      <c r="BAZ120" s="30"/>
      <c r="BBA120" s="30"/>
      <c r="BBB120" s="30"/>
      <c r="BBC120" s="30"/>
      <c r="BBD120" s="30"/>
      <c r="BBE120" s="30"/>
      <c r="BBF120" s="30"/>
      <c r="BBG120" s="30"/>
      <c r="BBH120" s="30"/>
      <c r="BBI120" s="30"/>
      <c r="BBJ120" s="30"/>
      <c r="BBK120" s="30"/>
      <c r="BBL120" s="30"/>
      <c r="BBM120" s="30"/>
      <c r="BBN120" s="30"/>
      <c r="BBO120" s="30"/>
      <c r="BBP120" s="30"/>
      <c r="BBQ120" s="30"/>
      <c r="BBR120" s="30"/>
      <c r="BBS120" s="30"/>
      <c r="BBT120" s="30"/>
      <c r="BBU120" s="30"/>
      <c r="BBV120" s="30"/>
      <c r="BBW120" s="30"/>
      <c r="BBX120" s="30"/>
      <c r="BBY120" s="30"/>
      <c r="BBZ120" s="30"/>
      <c r="BCA120" s="30"/>
      <c r="BCB120" s="30"/>
      <c r="BCC120" s="30"/>
      <c r="BCD120" s="30"/>
      <c r="BCE120" s="30"/>
      <c r="BCF120" s="30"/>
      <c r="BCG120" s="30"/>
      <c r="BCH120" s="30"/>
      <c r="BCI120" s="30"/>
      <c r="BCJ120" s="30"/>
      <c r="BCK120" s="30"/>
      <c r="BCL120" s="30"/>
      <c r="BCM120" s="30"/>
      <c r="BCN120" s="30"/>
      <c r="BCO120" s="30"/>
      <c r="BCP120" s="30"/>
      <c r="BCQ120" s="30"/>
      <c r="BCR120" s="30"/>
      <c r="BCS120" s="30"/>
      <c r="BCT120" s="30"/>
      <c r="BCU120" s="30"/>
      <c r="BCV120" s="30"/>
      <c r="BCW120" s="30"/>
      <c r="BCX120" s="30"/>
      <c r="BCY120" s="30"/>
      <c r="BCZ120" s="30"/>
      <c r="BDA120" s="30"/>
      <c r="BDB120" s="30"/>
      <c r="BDC120" s="30"/>
      <c r="BDD120" s="30"/>
      <c r="BDE120" s="30"/>
      <c r="BDF120" s="30"/>
      <c r="BDG120" s="30"/>
      <c r="BDH120" s="30"/>
      <c r="BDI120" s="30"/>
      <c r="BDJ120" s="30"/>
      <c r="BDK120" s="30"/>
      <c r="BDL120" s="30"/>
      <c r="BDM120" s="30"/>
      <c r="BDN120" s="30"/>
      <c r="BDO120" s="30"/>
      <c r="BDP120" s="30"/>
      <c r="BDQ120" s="30"/>
      <c r="BDR120" s="30"/>
      <c r="BDS120" s="30"/>
      <c r="BDT120" s="30"/>
      <c r="BDU120" s="30"/>
      <c r="BDV120" s="30"/>
      <c r="BDW120" s="30"/>
      <c r="BDX120" s="30"/>
      <c r="BDY120" s="30"/>
      <c r="BDZ120" s="30"/>
      <c r="BEA120" s="30"/>
      <c r="BEB120" s="30"/>
      <c r="BEC120" s="30"/>
      <c r="BED120" s="30"/>
      <c r="BEE120" s="30"/>
      <c r="BEF120" s="30"/>
      <c r="BEG120" s="30"/>
      <c r="BEH120" s="30"/>
      <c r="BEI120" s="30"/>
      <c r="BEJ120" s="30"/>
      <c r="BEK120" s="30"/>
      <c r="BEL120" s="30"/>
      <c r="BEM120" s="30"/>
      <c r="BEN120" s="30"/>
      <c r="BEO120" s="30"/>
      <c r="BEP120" s="30"/>
      <c r="BEQ120" s="30"/>
      <c r="BER120" s="30"/>
      <c r="BES120" s="30"/>
      <c r="BET120" s="30"/>
      <c r="BEU120" s="30"/>
      <c r="BEV120" s="30"/>
      <c r="BEW120" s="30"/>
      <c r="BEX120" s="30"/>
      <c r="BEY120" s="30"/>
      <c r="BEZ120" s="30"/>
      <c r="BFA120" s="30"/>
      <c r="BFB120" s="30"/>
      <c r="BFC120" s="30"/>
      <c r="BFD120" s="30"/>
      <c r="BFE120" s="30"/>
      <c r="BFF120" s="30"/>
      <c r="BFG120" s="30"/>
      <c r="BFH120" s="30"/>
      <c r="BFI120" s="30"/>
      <c r="BFJ120" s="30"/>
      <c r="BFK120" s="30"/>
      <c r="BFL120" s="30"/>
      <c r="BFM120" s="30"/>
      <c r="BFN120" s="30"/>
      <c r="BFO120" s="30"/>
      <c r="BFP120" s="30"/>
      <c r="BFQ120" s="30"/>
      <c r="BFR120" s="30"/>
      <c r="BFS120" s="30"/>
      <c r="BFT120" s="30"/>
      <c r="BFU120" s="30"/>
      <c r="BFV120" s="30"/>
      <c r="BFW120" s="30"/>
      <c r="BFX120" s="30"/>
      <c r="BFY120" s="30"/>
      <c r="BFZ120" s="30"/>
      <c r="BGA120" s="30"/>
      <c r="BGB120" s="30"/>
      <c r="BGC120" s="30"/>
      <c r="BGD120" s="30"/>
      <c r="BGE120" s="30"/>
      <c r="BGF120" s="30"/>
      <c r="BGG120" s="30"/>
      <c r="BGH120" s="30"/>
      <c r="BGI120" s="30"/>
      <c r="BGJ120" s="30"/>
      <c r="BGK120" s="30"/>
      <c r="BGL120" s="30"/>
      <c r="BGM120" s="30"/>
      <c r="BGN120" s="30"/>
      <c r="BGO120" s="30"/>
      <c r="BGP120" s="30"/>
      <c r="BGQ120" s="30"/>
      <c r="BGR120" s="30"/>
      <c r="BGS120" s="30"/>
      <c r="BGT120" s="30"/>
      <c r="BGU120" s="30"/>
      <c r="BGV120" s="30"/>
      <c r="BGW120" s="30"/>
      <c r="BGX120" s="30"/>
      <c r="BGY120" s="30"/>
      <c r="BGZ120" s="30"/>
      <c r="BHA120" s="30"/>
      <c r="BHB120" s="30"/>
      <c r="BHC120" s="30"/>
      <c r="BHD120" s="30"/>
      <c r="BHE120" s="30"/>
      <c r="BHF120" s="30"/>
      <c r="BHG120" s="30"/>
      <c r="BHH120" s="30"/>
      <c r="BHI120" s="30"/>
      <c r="BHJ120" s="30"/>
      <c r="BHK120" s="30"/>
      <c r="BHL120" s="30"/>
      <c r="BHM120" s="30"/>
      <c r="BHN120" s="30"/>
      <c r="BHO120" s="30"/>
      <c r="BHP120" s="30"/>
      <c r="BHQ120" s="30"/>
      <c r="BHR120" s="30"/>
      <c r="BHS120" s="30"/>
      <c r="BHT120" s="30"/>
      <c r="BHU120" s="30"/>
      <c r="BHV120" s="30"/>
      <c r="BHW120" s="30"/>
      <c r="BHX120" s="30"/>
      <c r="BHY120" s="30"/>
      <c r="BHZ120" s="30"/>
      <c r="BIA120" s="30"/>
      <c r="BIB120" s="30"/>
      <c r="BIC120" s="30"/>
      <c r="BID120" s="30"/>
      <c r="BIE120" s="30"/>
      <c r="BIF120" s="30"/>
      <c r="BIG120" s="30"/>
      <c r="BIH120" s="30"/>
      <c r="BII120" s="30"/>
      <c r="BIJ120" s="30"/>
      <c r="BIK120" s="30"/>
      <c r="BIL120" s="30"/>
      <c r="BIM120" s="30"/>
      <c r="BIN120" s="30"/>
      <c r="BIO120" s="30"/>
      <c r="BIP120" s="30"/>
      <c r="BIQ120" s="30"/>
      <c r="BIR120" s="30"/>
      <c r="BIS120" s="30"/>
      <c r="BIT120" s="30"/>
      <c r="BIU120" s="30"/>
      <c r="BIV120" s="30"/>
      <c r="BIW120" s="30"/>
      <c r="BIX120" s="30"/>
      <c r="BIY120" s="30"/>
      <c r="BIZ120" s="30"/>
      <c r="BJA120" s="30"/>
      <c r="BJB120" s="30"/>
      <c r="BJC120" s="30"/>
      <c r="BJD120" s="30"/>
      <c r="BJE120" s="30"/>
      <c r="BJF120" s="30"/>
      <c r="BJG120" s="30"/>
      <c r="BJH120" s="30"/>
      <c r="BJI120" s="30"/>
      <c r="BJJ120" s="30"/>
      <c r="BJK120" s="30"/>
      <c r="BJL120" s="30"/>
      <c r="BJM120" s="30"/>
      <c r="BJN120" s="30"/>
      <c r="BJO120" s="30"/>
      <c r="BJP120" s="30"/>
      <c r="BJQ120" s="30"/>
      <c r="BJR120" s="30"/>
      <c r="BJS120" s="30"/>
      <c r="BJT120" s="30"/>
      <c r="BJU120" s="30"/>
      <c r="BJV120" s="30"/>
      <c r="BJW120" s="30"/>
      <c r="BJX120" s="30"/>
      <c r="BJY120" s="30"/>
      <c r="BJZ120" s="30"/>
      <c r="BKA120" s="30"/>
      <c r="BKB120" s="30"/>
      <c r="BKC120" s="30"/>
      <c r="BKD120" s="30"/>
      <c r="BKE120" s="30"/>
      <c r="BKF120" s="30"/>
      <c r="BKG120" s="30"/>
      <c r="BKH120" s="30"/>
      <c r="BKI120" s="30"/>
      <c r="BKJ120" s="30"/>
      <c r="BKK120" s="30"/>
      <c r="BKL120" s="30"/>
      <c r="BKM120" s="30"/>
      <c r="BKN120" s="30"/>
      <c r="BKO120" s="30"/>
      <c r="BKP120" s="30"/>
      <c r="BKQ120" s="30"/>
      <c r="BKR120" s="30"/>
      <c r="BKS120" s="30"/>
      <c r="BKT120" s="30"/>
      <c r="BKU120" s="30"/>
      <c r="BKV120" s="30"/>
      <c r="BKW120" s="30"/>
      <c r="BKX120" s="30"/>
      <c r="BKY120" s="30"/>
      <c r="BKZ120" s="30"/>
      <c r="BLA120" s="30"/>
      <c r="BLB120" s="30"/>
      <c r="BLC120" s="30"/>
      <c r="BLD120" s="30"/>
      <c r="BLE120" s="30"/>
      <c r="BLF120" s="30"/>
      <c r="BLG120" s="30"/>
      <c r="BLH120" s="30"/>
      <c r="BLI120" s="30"/>
      <c r="BLJ120" s="30"/>
      <c r="BLK120" s="30"/>
      <c r="BLL120" s="30"/>
      <c r="BLM120" s="30"/>
      <c r="BLN120" s="30"/>
      <c r="BLO120" s="30"/>
      <c r="BLP120" s="30"/>
      <c r="BLQ120" s="30"/>
      <c r="BLR120" s="30"/>
      <c r="BLS120" s="30"/>
      <c r="BLT120" s="30"/>
      <c r="BLU120" s="30"/>
      <c r="BLV120" s="30"/>
      <c r="BLW120" s="30"/>
      <c r="BLX120" s="30"/>
      <c r="BLY120" s="30"/>
      <c r="BLZ120" s="30"/>
      <c r="BMA120" s="30"/>
      <c r="BMB120" s="30"/>
      <c r="BMC120" s="30"/>
      <c r="BMD120" s="30"/>
      <c r="BME120" s="30"/>
      <c r="BMF120" s="30"/>
      <c r="BMG120" s="30"/>
      <c r="BMH120" s="30"/>
      <c r="BMI120" s="30"/>
      <c r="BMJ120" s="30"/>
      <c r="BMK120" s="30"/>
      <c r="BML120" s="30"/>
      <c r="BMM120" s="30"/>
      <c r="BMN120" s="30"/>
      <c r="BMO120" s="30"/>
      <c r="BMP120" s="30"/>
      <c r="BMQ120" s="30"/>
      <c r="BMR120" s="30"/>
      <c r="BMS120" s="30"/>
      <c r="BMT120" s="30"/>
      <c r="BMU120" s="30"/>
      <c r="BMV120" s="30"/>
      <c r="BMW120" s="30"/>
      <c r="BMX120" s="30"/>
      <c r="BMY120" s="30"/>
      <c r="BMZ120" s="30"/>
      <c r="BNA120" s="30"/>
      <c r="BNB120" s="30"/>
      <c r="BNC120" s="30"/>
      <c r="BND120" s="30"/>
      <c r="BNE120" s="30"/>
      <c r="BNF120" s="30"/>
      <c r="BNG120" s="30"/>
      <c r="BNH120" s="30"/>
      <c r="BNI120" s="30"/>
      <c r="BNJ120" s="30"/>
      <c r="BNK120" s="30"/>
      <c r="BNL120" s="30"/>
      <c r="BNM120" s="30"/>
      <c r="BNN120" s="30"/>
      <c r="BNO120" s="30"/>
      <c r="BNP120" s="30"/>
      <c r="BNQ120" s="30"/>
      <c r="BNR120" s="30"/>
      <c r="BNS120" s="30"/>
      <c r="BNT120" s="30"/>
      <c r="BNU120" s="30"/>
      <c r="BNV120" s="30"/>
      <c r="BNW120" s="30"/>
      <c r="BNX120" s="30"/>
      <c r="BNY120" s="30"/>
      <c r="BNZ120" s="30"/>
      <c r="BOA120" s="30"/>
      <c r="BOB120" s="30"/>
      <c r="BOC120" s="30"/>
      <c r="BOD120" s="30"/>
      <c r="BOE120" s="30"/>
      <c r="BOF120" s="30"/>
      <c r="BOG120" s="30"/>
      <c r="BOH120" s="30"/>
      <c r="BOI120" s="30"/>
      <c r="BOJ120" s="30"/>
      <c r="BOK120" s="30"/>
      <c r="BOL120" s="30"/>
      <c r="BOM120" s="30"/>
      <c r="BON120" s="30"/>
      <c r="BOO120" s="30"/>
      <c r="BOP120" s="30"/>
      <c r="BOQ120" s="30"/>
      <c r="BOR120" s="30"/>
      <c r="BOS120" s="30"/>
      <c r="BOT120" s="30"/>
      <c r="BOU120" s="30"/>
      <c r="BOV120" s="30"/>
      <c r="BOW120" s="30"/>
      <c r="BOX120" s="30"/>
      <c r="BOY120" s="30"/>
      <c r="BOZ120" s="30"/>
      <c r="BPA120" s="30"/>
      <c r="BPB120" s="30"/>
      <c r="BPC120" s="30"/>
      <c r="BPD120" s="30"/>
      <c r="BPE120" s="30"/>
      <c r="BPF120" s="30"/>
      <c r="BPG120" s="30"/>
      <c r="BPH120" s="30"/>
      <c r="BPI120" s="30"/>
      <c r="BPJ120" s="30"/>
      <c r="BPK120" s="30"/>
      <c r="BPL120" s="30"/>
      <c r="BPM120" s="30"/>
      <c r="BPN120" s="30"/>
      <c r="BPO120" s="30"/>
      <c r="BPP120" s="30"/>
      <c r="BPQ120" s="30"/>
      <c r="BPR120" s="30"/>
      <c r="BPS120" s="30"/>
      <c r="BPT120" s="30"/>
      <c r="BPU120" s="30"/>
      <c r="BPV120" s="30"/>
      <c r="BPW120" s="30"/>
      <c r="BPX120" s="30"/>
      <c r="BPY120" s="30"/>
      <c r="BPZ120" s="30"/>
      <c r="BQA120" s="30"/>
      <c r="BQB120" s="30"/>
      <c r="BQC120" s="30"/>
      <c r="BQD120" s="30"/>
      <c r="BQE120" s="30"/>
      <c r="BQF120" s="30"/>
      <c r="BQG120" s="30"/>
      <c r="BQH120" s="30"/>
      <c r="BQI120" s="30"/>
      <c r="BQJ120" s="30"/>
      <c r="BQK120" s="30"/>
      <c r="BQL120" s="30"/>
      <c r="BQM120" s="30"/>
      <c r="BQN120" s="30"/>
      <c r="BQO120" s="30"/>
      <c r="BQP120" s="30"/>
      <c r="BQQ120" s="30"/>
      <c r="BQR120" s="30"/>
      <c r="BQS120" s="30"/>
      <c r="BQT120" s="30"/>
      <c r="BQU120" s="30"/>
      <c r="BQV120" s="30"/>
      <c r="BQW120" s="30"/>
      <c r="BQX120" s="30"/>
      <c r="BQY120" s="30"/>
      <c r="BQZ120" s="30"/>
      <c r="BRA120" s="30"/>
      <c r="BRB120" s="30"/>
      <c r="BRC120" s="30"/>
      <c r="BRD120" s="30"/>
      <c r="BRE120" s="30"/>
      <c r="BRF120" s="30"/>
      <c r="BRG120" s="30"/>
      <c r="BRH120" s="30"/>
      <c r="BRI120" s="30"/>
      <c r="BRJ120" s="30"/>
      <c r="BRK120" s="30"/>
      <c r="BRL120" s="30"/>
      <c r="BRM120" s="30"/>
      <c r="BRN120" s="30"/>
      <c r="BRO120" s="30"/>
      <c r="BRP120" s="30"/>
      <c r="BRQ120" s="30"/>
      <c r="BRR120" s="30"/>
      <c r="BRS120" s="30"/>
      <c r="BRT120" s="30"/>
      <c r="BRU120" s="30"/>
      <c r="BRV120" s="30"/>
      <c r="BRW120" s="30"/>
      <c r="BRX120" s="30"/>
      <c r="BRY120" s="30"/>
      <c r="BRZ120" s="30"/>
      <c r="BSA120" s="30"/>
      <c r="BSB120" s="30"/>
      <c r="BSC120" s="30"/>
      <c r="BSD120" s="30"/>
      <c r="BSE120" s="30"/>
      <c r="BSF120" s="30"/>
      <c r="BSG120" s="30"/>
      <c r="BSH120" s="30"/>
      <c r="BSI120" s="30"/>
      <c r="BSJ120" s="30"/>
      <c r="BSK120" s="30"/>
      <c r="BSL120" s="30"/>
      <c r="BSM120" s="30"/>
      <c r="BSN120" s="30"/>
      <c r="BSO120" s="30"/>
      <c r="BSP120" s="30"/>
      <c r="BSQ120" s="30"/>
      <c r="BSR120" s="30"/>
      <c r="BSS120" s="30"/>
      <c r="BST120" s="30"/>
      <c r="BSU120" s="30"/>
      <c r="BSV120" s="30"/>
      <c r="BSW120" s="30"/>
      <c r="BSX120" s="30"/>
      <c r="BSY120" s="30"/>
      <c r="BSZ120" s="30"/>
      <c r="BTA120" s="30"/>
      <c r="BTB120" s="30"/>
      <c r="BTC120" s="30"/>
      <c r="BTD120" s="30"/>
      <c r="BTE120" s="30"/>
      <c r="BTF120" s="30"/>
      <c r="BTG120" s="30"/>
      <c r="BTH120" s="30"/>
      <c r="BTI120" s="30"/>
      <c r="BTJ120" s="30"/>
      <c r="BTK120" s="30"/>
      <c r="BTL120" s="30"/>
      <c r="BTM120" s="30"/>
      <c r="BTN120" s="30"/>
      <c r="BTO120" s="30"/>
      <c r="BTP120" s="30"/>
      <c r="BTQ120" s="30"/>
      <c r="BTR120" s="30"/>
      <c r="BTS120" s="30"/>
      <c r="BTT120" s="30"/>
      <c r="BTU120" s="30"/>
      <c r="BTV120" s="30"/>
      <c r="BTW120" s="30"/>
      <c r="BTX120" s="30"/>
      <c r="BTY120" s="30"/>
      <c r="BTZ120" s="30"/>
      <c r="BUA120" s="30"/>
      <c r="BUB120" s="30"/>
      <c r="BUC120" s="30"/>
      <c r="BUD120" s="30"/>
      <c r="BUE120" s="30"/>
      <c r="BUF120" s="30"/>
      <c r="BUG120" s="30"/>
      <c r="BUH120" s="30"/>
      <c r="BUI120" s="30"/>
      <c r="BUJ120" s="30"/>
      <c r="BUK120" s="30"/>
      <c r="BUL120" s="30"/>
      <c r="BUM120" s="30"/>
      <c r="BUN120" s="30"/>
      <c r="BUO120" s="30"/>
      <c r="BUP120" s="30"/>
      <c r="BUQ120" s="30"/>
      <c r="BUR120" s="30"/>
      <c r="BUS120" s="30"/>
      <c r="BUT120" s="30"/>
      <c r="BUU120" s="30"/>
      <c r="BUV120" s="30"/>
      <c r="BUW120" s="30"/>
      <c r="BUX120" s="30"/>
      <c r="BUY120" s="30"/>
      <c r="BUZ120" s="30"/>
      <c r="BVA120" s="30"/>
      <c r="BVB120" s="30"/>
      <c r="BVC120" s="30"/>
      <c r="BVD120" s="30"/>
      <c r="BVE120" s="30"/>
      <c r="BVF120" s="30"/>
      <c r="BVG120" s="30"/>
      <c r="BVH120" s="30"/>
      <c r="BVI120" s="30"/>
      <c r="BVJ120" s="30"/>
      <c r="BVK120" s="30"/>
      <c r="BVL120" s="30"/>
      <c r="BVM120" s="30"/>
      <c r="BVN120" s="30"/>
      <c r="BVO120" s="30"/>
      <c r="BVP120" s="30"/>
      <c r="BVQ120" s="30"/>
      <c r="BVR120" s="30"/>
      <c r="BVS120" s="30"/>
      <c r="BVT120" s="30"/>
      <c r="BVU120" s="30"/>
      <c r="BVV120" s="30"/>
      <c r="BVW120" s="30"/>
      <c r="BVX120" s="30"/>
      <c r="BVY120" s="30"/>
      <c r="BVZ120" s="30"/>
      <c r="BWA120" s="30"/>
      <c r="BWB120" s="30"/>
      <c r="BWC120" s="30"/>
      <c r="BWD120" s="30"/>
      <c r="BWE120" s="30"/>
      <c r="BWF120" s="30"/>
      <c r="BWG120" s="30"/>
      <c r="BWH120" s="30"/>
      <c r="BWI120" s="30"/>
      <c r="BWJ120" s="30"/>
      <c r="BWK120" s="30"/>
      <c r="BWL120" s="30"/>
      <c r="BWM120" s="30"/>
      <c r="BWN120" s="30"/>
      <c r="BWO120" s="30"/>
      <c r="BWP120" s="30"/>
      <c r="BWQ120" s="30"/>
      <c r="BWR120" s="30"/>
      <c r="BWS120" s="30"/>
      <c r="BWT120" s="30"/>
      <c r="BWU120" s="30"/>
      <c r="BWV120" s="30"/>
      <c r="BWW120" s="30"/>
      <c r="BWX120" s="30"/>
      <c r="BWY120" s="30"/>
      <c r="BWZ120" s="30"/>
      <c r="BXA120" s="30"/>
      <c r="BXB120" s="30"/>
      <c r="BXC120" s="30"/>
      <c r="BXD120" s="30"/>
      <c r="BXE120" s="30"/>
      <c r="BXF120" s="30"/>
      <c r="BXG120" s="30"/>
      <c r="BXH120" s="30"/>
      <c r="BXI120" s="30"/>
      <c r="BXJ120" s="30"/>
      <c r="BXK120" s="30"/>
      <c r="BXL120" s="30"/>
      <c r="BXM120" s="30"/>
      <c r="BXN120" s="30"/>
      <c r="BXO120" s="30"/>
      <c r="BXP120" s="30"/>
      <c r="BXQ120" s="30"/>
      <c r="BXR120" s="30"/>
      <c r="BXS120" s="30"/>
      <c r="BXT120" s="30"/>
      <c r="BXU120" s="30"/>
      <c r="BXV120" s="30"/>
      <c r="BXW120" s="30"/>
      <c r="BXX120" s="30"/>
      <c r="BXY120" s="30"/>
      <c r="BXZ120" s="30"/>
      <c r="BYA120" s="30"/>
      <c r="BYB120" s="30"/>
      <c r="BYC120" s="30"/>
      <c r="BYD120" s="30"/>
      <c r="BYE120" s="30"/>
      <c r="BYF120" s="30"/>
      <c r="BYG120" s="30"/>
      <c r="BYH120" s="30"/>
      <c r="BYI120" s="30"/>
      <c r="BYJ120" s="30"/>
      <c r="BYK120" s="30"/>
      <c r="BYL120" s="30"/>
      <c r="BYM120" s="30"/>
      <c r="BYN120" s="30"/>
      <c r="BYO120" s="30"/>
      <c r="BYP120" s="30"/>
      <c r="BYQ120" s="30"/>
      <c r="BYR120" s="30"/>
      <c r="BYS120" s="30"/>
      <c r="BYT120" s="30"/>
      <c r="BYU120" s="30"/>
      <c r="BYV120" s="30"/>
      <c r="BYW120" s="30"/>
      <c r="BYX120" s="30"/>
      <c r="BYY120" s="30"/>
      <c r="BYZ120" s="30"/>
      <c r="BZA120" s="30"/>
      <c r="BZB120" s="30"/>
      <c r="BZC120" s="30"/>
      <c r="BZD120" s="30"/>
      <c r="BZE120" s="30"/>
      <c r="BZF120" s="30"/>
      <c r="BZG120" s="30"/>
      <c r="BZH120" s="30"/>
      <c r="BZI120" s="30"/>
      <c r="BZJ120" s="30"/>
      <c r="BZK120" s="30"/>
      <c r="BZL120" s="30"/>
      <c r="BZM120" s="30"/>
      <c r="BZN120" s="30"/>
      <c r="BZO120" s="30"/>
      <c r="BZP120" s="30"/>
      <c r="BZQ120" s="30"/>
      <c r="BZR120" s="30"/>
      <c r="BZS120" s="30"/>
      <c r="BZT120" s="30"/>
      <c r="BZU120" s="30"/>
      <c r="BZV120" s="30"/>
      <c r="BZW120" s="30"/>
      <c r="BZX120" s="30"/>
      <c r="BZY120" s="30"/>
      <c r="BZZ120" s="30"/>
      <c r="CAA120" s="30"/>
      <c r="CAB120" s="30"/>
      <c r="CAC120" s="30"/>
      <c r="CAD120" s="30"/>
      <c r="CAE120" s="30"/>
      <c r="CAF120" s="30"/>
      <c r="CAG120" s="30"/>
      <c r="CAH120" s="30"/>
      <c r="CAI120" s="30"/>
      <c r="CAJ120" s="30"/>
      <c r="CAK120" s="30"/>
      <c r="CAL120" s="30"/>
      <c r="CAM120" s="30"/>
      <c r="CAN120" s="30"/>
      <c r="CAO120" s="30"/>
      <c r="CAP120" s="30"/>
      <c r="CAQ120" s="30"/>
      <c r="CAR120" s="30"/>
      <c r="CAS120" s="30"/>
      <c r="CAT120" s="30"/>
      <c r="CAU120" s="30"/>
      <c r="CAV120" s="30"/>
      <c r="CAW120" s="30"/>
      <c r="CAX120" s="30"/>
      <c r="CAY120" s="30"/>
      <c r="CAZ120" s="30"/>
      <c r="CBA120" s="30"/>
      <c r="CBB120" s="30"/>
      <c r="CBC120" s="30"/>
      <c r="CBD120" s="30"/>
      <c r="CBE120" s="30"/>
      <c r="CBF120" s="30"/>
      <c r="CBG120" s="30"/>
      <c r="CBH120" s="30"/>
      <c r="CBI120" s="30"/>
      <c r="CBJ120" s="30"/>
      <c r="CBK120" s="30"/>
      <c r="CBL120" s="30"/>
      <c r="CBM120" s="30"/>
      <c r="CBN120" s="30"/>
      <c r="CBO120" s="30"/>
      <c r="CBP120" s="30"/>
      <c r="CBQ120" s="30"/>
      <c r="CBR120" s="30"/>
      <c r="CBS120" s="30"/>
      <c r="CBT120" s="30"/>
      <c r="CBU120" s="30"/>
      <c r="CBV120" s="30"/>
      <c r="CBW120" s="30"/>
      <c r="CBX120" s="30"/>
      <c r="CBY120" s="30"/>
      <c r="CBZ120" s="30"/>
      <c r="CCA120" s="30"/>
      <c r="CCB120" s="30"/>
      <c r="CCC120" s="30"/>
      <c r="CCD120" s="30"/>
      <c r="CCE120" s="30"/>
      <c r="CCF120" s="30"/>
      <c r="CCG120" s="30"/>
      <c r="CCH120" s="30"/>
      <c r="CCI120" s="30"/>
      <c r="CCJ120" s="30"/>
      <c r="CCK120" s="30"/>
      <c r="CCL120" s="30"/>
      <c r="CCM120" s="30"/>
      <c r="CCN120" s="30"/>
      <c r="CCO120" s="30"/>
      <c r="CCP120" s="30"/>
      <c r="CCQ120" s="30"/>
      <c r="CCR120" s="30"/>
      <c r="CCS120" s="30"/>
      <c r="CCT120" s="30"/>
      <c r="CCU120" s="30"/>
      <c r="CCV120" s="30"/>
      <c r="CCW120" s="30"/>
      <c r="CCX120" s="30"/>
      <c r="CCY120" s="30"/>
      <c r="CCZ120" s="30"/>
      <c r="CDA120" s="30"/>
      <c r="CDB120" s="30"/>
      <c r="CDC120" s="30"/>
      <c r="CDD120" s="30"/>
      <c r="CDE120" s="30"/>
      <c r="CDF120" s="30"/>
      <c r="CDG120" s="30"/>
      <c r="CDH120" s="30"/>
      <c r="CDI120" s="30"/>
      <c r="CDJ120" s="30"/>
      <c r="CDK120" s="30"/>
      <c r="CDL120" s="30"/>
      <c r="CDM120" s="30"/>
      <c r="CDN120" s="30"/>
      <c r="CDO120" s="30"/>
      <c r="CDP120" s="30"/>
      <c r="CDQ120" s="30"/>
      <c r="CDR120" s="30"/>
      <c r="CDS120" s="30"/>
      <c r="CDT120" s="30"/>
      <c r="CDU120" s="30"/>
      <c r="CDV120" s="30"/>
      <c r="CDW120" s="30"/>
      <c r="CDX120" s="30"/>
      <c r="CDY120" s="30"/>
      <c r="CDZ120" s="30"/>
      <c r="CEA120" s="30"/>
      <c r="CEB120" s="30"/>
      <c r="CEC120" s="30"/>
      <c r="CED120" s="30"/>
      <c r="CEE120" s="30"/>
      <c r="CEF120" s="30"/>
      <c r="CEG120" s="30"/>
      <c r="CEH120" s="30"/>
      <c r="CEI120" s="30"/>
      <c r="CEJ120" s="30"/>
      <c r="CEK120" s="30"/>
      <c r="CEL120" s="30"/>
      <c r="CEM120" s="30"/>
      <c r="CEN120" s="30"/>
      <c r="CEO120" s="30"/>
      <c r="CEP120" s="30"/>
      <c r="CEQ120" s="30"/>
      <c r="CER120" s="30"/>
      <c r="CES120" s="30"/>
      <c r="CET120" s="30"/>
      <c r="CEU120" s="30"/>
      <c r="CEV120" s="30"/>
      <c r="CEW120" s="30"/>
      <c r="CEX120" s="30"/>
      <c r="CEY120" s="30"/>
      <c r="CEZ120" s="30"/>
      <c r="CFA120" s="30"/>
      <c r="CFB120" s="30"/>
      <c r="CFC120" s="30"/>
      <c r="CFD120" s="30"/>
      <c r="CFE120" s="30"/>
      <c r="CFF120" s="30"/>
      <c r="CFG120" s="30"/>
      <c r="CFH120" s="30"/>
      <c r="CFI120" s="30"/>
      <c r="CFJ120" s="30"/>
      <c r="CFK120" s="30"/>
      <c r="CFL120" s="30"/>
      <c r="CFM120" s="30"/>
      <c r="CFN120" s="30"/>
      <c r="CFO120" s="30"/>
      <c r="CFP120" s="30"/>
      <c r="CFQ120" s="30"/>
      <c r="CFR120" s="30"/>
      <c r="CFS120" s="30"/>
      <c r="CFT120" s="30"/>
      <c r="CFU120" s="30"/>
      <c r="CFV120" s="30"/>
      <c r="CFW120" s="30"/>
      <c r="CFX120" s="30"/>
      <c r="CFY120" s="30"/>
      <c r="CFZ120" s="30"/>
      <c r="CGA120" s="30"/>
      <c r="CGB120" s="30"/>
      <c r="CGC120" s="30"/>
      <c r="CGD120" s="30"/>
      <c r="CGE120" s="30"/>
      <c r="CGF120" s="30"/>
      <c r="CGG120" s="30"/>
      <c r="CGH120" s="30"/>
      <c r="CGI120" s="30"/>
      <c r="CGJ120" s="30"/>
      <c r="CGK120" s="30"/>
      <c r="CGL120" s="30"/>
      <c r="CGM120" s="30"/>
      <c r="CGN120" s="30"/>
      <c r="CGO120" s="30"/>
      <c r="CGP120" s="30"/>
      <c r="CGQ120" s="30"/>
      <c r="CGR120" s="30"/>
      <c r="CGS120" s="30"/>
      <c r="CGT120" s="30"/>
      <c r="CGU120" s="30"/>
      <c r="CGV120" s="30"/>
      <c r="CGW120" s="30"/>
      <c r="CGX120" s="30"/>
      <c r="CGY120" s="30"/>
      <c r="CGZ120" s="30"/>
      <c r="CHA120" s="30"/>
      <c r="CHB120" s="30"/>
      <c r="CHC120" s="30"/>
      <c r="CHD120" s="30"/>
      <c r="CHE120" s="30"/>
      <c r="CHF120" s="30"/>
      <c r="CHG120" s="30"/>
      <c r="CHH120" s="30"/>
      <c r="CHI120" s="30"/>
      <c r="CHJ120" s="30"/>
      <c r="CHK120" s="30"/>
      <c r="CHL120" s="30"/>
      <c r="CHM120" s="30"/>
      <c r="CHN120" s="30"/>
      <c r="CHO120" s="30"/>
      <c r="CHP120" s="30"/>
      <c r="CHQ120" s="30"/>
      <c r="CHR120" s="30"/>
      <c r="CHS120" s="30"/>
      <c r="CHT120" s="30"/>
      <c r="CHU120" s="30"/>
      <c r="CHV120" s="30"/>
      <c r="CHW120" s="30"/>
      <c r="CHX120" s="30"/>
      <c r="CHY120" s="30"/>
      <c r="CHZ120" s="30"/>
      <c r="CIA120" s="30"/>
      <c r="CIB120" s="30"/>
      <c r="CIC120" s="30"/>
      <c r="CID120" s="30"/>
      <c r="CIE120" s="30"/>
      <c r="CIF120" s="30"/>
      <c r="CIG120" s="30"/>
      <c r="CIH120" s="30"/>
      <c r="CII120" s="30"/>
      <c r="CIJ120" s="30"/>
      <c r="CIK120" s="30"/>
      <c r="CIL120" s="30"/>
      <c r="CIM120" s="30"/>
      <c r="CIN120" s="30"/>
      <c r="CIO120" s="30"/>
      <c r="CIP120" s="30"/>
      <c r="CIQ120" s="30"/>
      <c r="CIR120" s="30"/>
      <c r="CIS120" s="30"/>
      <c r="CIT120" s="30"/>
      <c r="CIU120" s="30"/>
      <c r="CIV120" s="30"/>
      <c r="CIW120" s="30"/>
      <c r="CIX120" s="30"/>
      <c r="CIY120" s="30"/>
      <c r="CIZ120" s="30"/>
      <c r="CJA120" s="30"/>
      <c r="CJB120" s="30"/>
      <c r="CJC120" s="30"/>
      <c r="CJD120" s="30"/>
      <c r="CJE120" s="30"/>
      <c r="CJF120" s="30"/>
      <c r="CJG120" s="30"/>
      <c r="CJH120" s="30"/>
      <c r="CJI120" s="30"/>
      <c r="CJJ120" s="30"/>
      <c r="CJK120" s="30"/>
      <c r="CJL120" s="30"/>
      <c r="CJM120" s="30"/>
      <c r="CJN120" s="30"/>
      <c r="CJO120" s="30"/>
      <c r="CJP120" s="30"/>
      <c r="CJQ120" s="30"/>
      <c r="CJR120" s="30"/>
      <c r="CJS120" s="30"/>
      <c r="CJT120" s="30"/>
      <c r="CJU120" s="30"/>
      <c r="CJV120" s="30"/>
      <c r="CJW120" s="30"/>
      <c r="CJX120" s="30"/>
      <c r="CJY120" s="30"/>
      <c r="CJZ120" s="30"/>
      <c r="CKA120" s="30"/>
      <c r="CKB120" s="30"/>
      <c r="CKC120" s="30"/>
      <c r="CKD120" s="30"/>
      <c r="CKE120" s="30"/>
      <c r="CKF120" s="30"/>
      <c r="CKG120" s="30"/>
      <c r="CKH120" s="30"/>
      <c r="CKI120" s="30"/>
      <c r="CKJ120" s="30"/>
      <c r="CKK120" s="30"/>
      <c r="CKL120" s="30"/>
      <c r="CKM120" s="30"/>
      <c r="CKN120" s="30"/>
      <c r="CKO120" s="30"/>
      <c r="CKP120" s="30"/>
      <c r="CKQ120" s="30"/>
      <c r="CKR120" s="30"/>
      <c r="CKS120" s="30"/>
      <c r="CKT120" s="30"/>
      <c r="CKU120" s="30"/>
      <c r="CKV120" s="30"/>
      <c r="CKW120" s="30"/>
      <c r="CKX120" s="30"/>
      <c r="CKY120" s="30"/>
      <c r="CKZ120" s="30"/>
      <c r="CLA120" s="30"/>
      <c r="CLB120" s="30"/>
      <c r="CLC120" s="30"/>
      <c r="CLD120" s="30"/>
      <c r="CLE120" s="30"/>
      <c r="CLF120" s="30"/>
      <c r="CLG120" s="30"/>
      <c r="CLH120" s="30"/>
      <c r="CLI120" s="30"/>
      <c r="CLJ120" s="30"/>
      <c r="CLK120" s="30"/>
      <c r="CLL120" s="30"/>
      <c r="CLM120" s="30"/>
      <c r="CLN120" s="30"/>
      <c r="CLO120" s="30"/>
      <c r="CLP120" s="30"/>
      <c r="CLQ120" s="30"/>
      <c r="CLR120" s="30"/>
      <c r="CLS120" s="30"/>
      <c r="CLT120" s="30"/>
      <c r="CLU120" s="30"/>
      <c r="CLV120" s="30"/>
      <c r="CLW120" s="30"/>
      <c r="CLX120" s="30"/>
      <c r="CLY120" s="30"/>
      <c r="CLZ120" s="30"/>
      <c r="CMA120" s="30"/>
      <c r="CMB120" s="30"/>
      <c r="CMC120" s="30"/>
      <c r="CMD120" s="30"/>
      <c r="CME120" s="30"/>
      <c r="CMF120" s="30"/>
      <c r="CMG120" s="30"/>
      <c r="CMH120" s="30"/>
      <c r="CMI120" s="30"/>
      <c r="CMJ120" s="30"/>
      <c r="CMK120" s="30"/>
      <c r="CML120" s="30"/>
      <c r="CMM120" s="30"/>
      <c r="CMN120" s="30"/>
      <c r="CMO120" s="30"/>
      <c r="CMP120" s="30"/>
      <c r="CMQ120" s="30"/>
      <c r="CMR120" s="30"/>
      <c r="CMS120" s="30"/>
      <c r="CMT120" s="30"/>
      <c r="CMU120" s="30"/>
      <c r="CMV120" s="30"/>
      <c r="CMW120" s="30"/>
      <c r="CMX120" s="30"/>
      <c r="CMY120" s="30"/>
      <c r="CMZ120" s="30"/>
      <c r="CNA120" s="30"/>
      <c r="CNB120" s="30"/>
      <c r="CNC120" s="30"/>
      <c r="CND120" s="30"/>
      <c r="CNE120" s="30"/>
      <c r="CNF120" s="30"/>
      <c r="CNG120" s="30"/>
      <c r="CNH120" s="30"/>
      <c r="CNI120" s="30"/>
      <c r="CNJ120" s="30"/>
      <c r="CNK120" s="30"/>
      <c r="CNL120" s="30"/>
      <c r="CNM120" s="30"/>
      <c r="CNN120" s="30"/>
      <c r="CNO120" s="30"/>
      <c r="CNP120" s="30"/>
      <c r="CNQ120" s="30"/>
      <c r="CNR120" s="30"/>
      <c r="CNS120" s="30"/>
      <c r="CNT120" s="30"/>
      <c r="CNU120" s="30"/>
      <c r="CNV120" s="30"/>
      <c r="CNW120" s="30"/>
      <c r="CNX120" s="30"/>
      <c r="CNY120" s="30"/>
      <c r="CNZ120" s="30"/>
      <c r="COA120" s="30"/>
      <c r="COB120" s="30"/>
      <c r="COC120" s="30"/>
      <c r="COD120" s="30"/>
      <c r="COE120" s="30"/>
      <c r="COF120" s="30"/>
      <c r="COG120" s="30"/>
      <c r="COH120" s="30"/>
      <c r="COI120" s="30"/>
      <c r="COJ120" s="30"/>
      <c r="COK120" s="30"/>
      <c r="COL120" s="30"/>
      <c r="COM120" s="30"/>
      <c r="CON120" s="30"/>
      <c r="COO120" s="30"/>
      <c r="COP120" s="30"/>
      <c r="COQ120" s="30"/>
      <c r="COR120" s="30"/>
      <c r="COS120" s="30"/>
      <c r="COT120" s="30"/>
      <c r="COU120" s="30"/>
      <c r="COV120" s="30"/>
      <c r="COW120" s="30"/>
      <c r="COX120" s="30"/>
      <c r="COY120" s="30"/>
      <c r="COZ120" s="30"/>
      <c r="CPA120" s="30"/>
      <c r="CPB120" s="30"/>
      <c r="CPC120" s="30"/>
      <c r="CPD120" s="30"/>
      <c r="CPE120" s="30"/>
      <c r="CPF120" s="30"/>
      <c r="CPG120" s="30"/>
      <c r="CPH120" s="30"/>
      <c r="CPI120" s="30"/>
      <c r="CPJ120" s="30"/>
      <c r="CPK120" s="30"/>
      <c r="CPL120" s="30"/>
      <c r="CPM120" s="30"/>
      <c r="CPN120" s="30"/>
      <c r="CPO120" s="30"/>
      <c r="CPP120" s="30"/>
      <c r="CPQ120" s="30"/>
      <c r="CPR120" s="30"/>
      <c r="CPS120" s="30"/>
      <c r="CPT120" s="30"/>
      <c r="CPU120" s="30"/>
      <c r="CPV120" s="30"/>
      <c r="CPW120" s="30"/>
      <c r="CPX120" s="30"/>
      <c r="CPY120" s="30"/>
      <c r="CPZ120" s="30"/>
      <c r="CQA120" s="30"/>
      <c r="CQB120" s="30"/>
      <c r="CQC120" s="30"/>
      <c r="CQD120" s="30"/>
      <c r="CQE120" s="30"/>
      <c r="CQF120" s="30"/>
      <c r="CQG120" s="30"/>
      <c r="CQH120" s="30"/>
      <c r="CQI120" s="30"/>
      <c r="CQJ120" s="30"/>
      <c r="CQK120" s="30"/>
      <c r="CQL120" s="30"/>
      <c r="CQM120" s="30"/>
      <c r="CQN120" s="30"/>
      <c r="CQO120" s="30"/>
      <c r="CQP120" s="30"/>
      <c r="CQQ120" s="30"/>
      <c r="CQR120" s="30"/>
      <c r="CQS120" s="30"/>
      <c r="CQT120" s="30"/>
      <c r="CQU120" s="30"/>
      <c r="CQV120" s="30"/>
      <c r="CQW120" s="30"/>
      <c r="CQX120" s="30"/>
      <c r="CQY120" s="30"/>
      <c r="CQZ120" s="30"/>
      <c r="CRA120" s="30"/>
      <c r="CRB120" s="30"/>
      <c r="CRC120" s="30"/>
      <c r="CRD120" s="30"/>
      <c r="CRE120" s="30"/>
      <c r="CRF120" s="30"/>
      <c r="CRG120" s="30"/>
      <c r="CRH120" s="30"/>
      <c r="CRI120" s="30"/>
      <c r="CRJ120" s="30"/>
      <c r="CRK120" s="30"/>
      <c r="CRL120" s="30"/>
      <c r="CRM120" s="30"/>
      <c r="CRN120" s="30"/>
      <c r="CRO120" s="30"/>
      <c r="CRP120" s="30"/>
      <c r="CRQ120" s="30"/>
      <c r="CRR120" s="30"/>
      <c r="CRS120" s="30"/>
      <c r="CRT120" s="30"/>
      <c r="CRU120" s="30"/>
      <c r="CRV120" s="30"/>
      <c r="CRW120" s="30"/>
      <c r="CRX120" s="30"/>
      <c r="CRY120" s="30"/>
      <c r="CRZ120" s="30"/>
      <c r="CSA120" s="30"/>
      <c r="CSB120" s="30"/>
      <c r="CSC120" s="30"/>
      <c r="CSD120" s="30"/>
      <c r="CSE120" s="30"/>
      <c r="CSF120" s="30"/>
      <c r="CSG120" s="30"/>
      <c r="CSH120" s="30"/>
      <c r="CSI120" s="30"/>
      <c r="CSJ120" s="30"/>
      <c r="CSK120" s="30"/>
      <c r="CSL120" s="30"/>
      <c r="CSM120" s="30"/>
      <c r="CSN120" s="30"/>
      <c r="CSO120" s="30"/>
      <c r="CSP120" s="30"/>
      <c r="CSQ120" s="30"/>
      <c r="CSR120" s="30"/>
      <c r="CSS120" s="30"/>
      <c r="CST120" s="30"/>
      <c r="CSU120" s="30"/>
      <c r="CSV120" s="30"/>
      <c r="CSW120" s="30"/>
      <c r="CSX120" s="30"/>
      <c r="CSY120" s="30"/>
      <c r="CSZ120" s="30"/>
      <c r="CTA120" s="30"/>
      <c r="CTB120" s="30"/>
      <c r="CTC120" s="30"/>
      <c r="CTD120" s="30"/>
      <c r="CTE120" s="30"/>
      <c r="CTF120" s="30"/>
      <c r="CTG120" s="30"/>
      <c r="CTH120" s="30"/>
      <c r="CTI120" s="30"/>
      <c r="CTJ120" s="30"/>
      <c r="CTK120" s="30"/>
      <c r="CTL120" s="30"/>
      <c r="CTM120" s="30"/>
      <c r="CTN120" s="30"/>
      <c r="CTO120" s="30"/>
      <c r="CTP120" s="30"/>
      <c r="CTQ120" s="30"/>
      <c r="CTR120" s="30"/>
      <c r="CTS120" s="30"/>
      <c r="CTT120" s="30"/>
      <c r="CTU120" s="30"/>
      <c r="CTV120" s="30"/>
      <c r="CTW120" s="30"/>
      <c r="CTX120" s="30"/>
      <c r="CTY120" s="30"/>
      <c r="CTZ120" s="30"/>
      <c r="CUA120" s="30"/>
    </row>
    <row r="121" s="30" customFormat="1" ht="17" customHeight="1" spans="1:18">
      <c r="A121" s="268">
        <v>127</v>
      </c>
      <c r="B121" s="268" t="s">
        <v>15</v>
      </c>
      <c r="C121" s="268" t="s">
        <v>54</v>
      </c>
      <c r="D121" s="82" t="s">
        <v>675</v>
      </c>
      <c r="E121" s="29" t="s">
        <v>951</v>
      </c>
      <c r="F121" s="31" t="s">
        <v>42</v>
      </c>
      <c r="G121" s="31"/>
      <c r="H121" s="119" t="s">
        <v>952</v>
      </c>
      <c r="I121" s="119"/>
      <c r="J121" s="31" t="s">
        <v>953</v>
      </c>
      <c r="K121" s="51" t="s">
        <v>708</v>
      </c>
      <c r="L121" s="248" t="s">
        <v>673</v>
      </c>
      <c r="M121" s="29" t="s">
        <v>674</v>
      </c>
      <c r="N121" s="286">
        <v>45860</v>
      </c>
      <c r="O121" s="286">
        <v>46224</v>
      </c>
      <c r="P121" s="29">
        <v>90</v>
      </c>
      <c r="Q121" s="85"/>
      <c r="R121" s="251"/>
    </row>
    <row r="122" s="30" customFormat="1" ht="14" customHeight="1" spans="1:18">
      <c r="A122" s="268">
        <v>128</v>
      </c>
      <c r="B122" s="268" t="s">
        <v>13</v>
      </c>
      <c r="C122" s="268" t="s">
        <v>37</v>
      </c>
      <c r="D122" s="82" t="s">
        <v>330</v>
      </c>
      <c r="E122" s="248" t="s">
        <v>700</v>
      </c>
      <c r="F122" s="261" t="s">
        <v>42</v>
      </c>
      <c r="G122" s="31" t="s">
        <v>42</v>
      </c>
      <c r="H122" s="119" t="s">
        <v>954</v>
      </c>
      <c r="I122" s="31" t="s">
        <v>42</v>
      </c>
      <c r="J122" s="31" t="s">
        <v>42</v>
      </c>
      <c r="K122" s="31" t="s">
        <v>42</v>
      </c>
      <c r="L122" s="248" t="s">
        <v>673</v>
      </c>
      <c r="M122" s="248" t="s">
        <v>674</v>
      </c>
      <c r="N122" s="286">
        <v>45863</v>
      </c>
      <c r="O122" s="286">
        <v>46227</v>
      </c>
      <c r="P122" s="29">
        <v>50</v>
      </c>
      <c r="Q122" s="85"/>
      <c r="R122" s="251"/>
    </row>
    <row r="123" s="30" customFormat="1" ht="14" customHeight="1" spans="1:18">
      <c r="A123" s="268">
        <v>129</v>
      </c>
      <c r="B123" s="268" t="s">
        <v>14</v>
      </c>
      <c r="C123" s="268" t="s">
        <v>37</v>
      </c>
      <c r="D123" s="82" t="s">
        <v>262</v>
      </c>
      <c r="E123" s="248" t="s">
        <v>955</v>
      </c>
      <c r="F123" s="261"/>
      <c r="G123" s="31" t="s">
        <v>956</v>
      </c>
      <c r="H123" s="119" t="s">
        <v>957</v>
      </c>
      <c r="I123" s="31">
        <v>2025.7</v>
      </c>
      <c r="J123" s="31"/>
      <c r="K123" s="31"/>
      <c r="L123" s="248" t="s">
        <v>673</v>
      </c>
      <c r="M123" s="248" t="s">
        <v>674</v>
      </c>
      <c r="N123" s="286">
        <v>45866</v>
      </c>
      <c r="O123" s="286">
        <v>46230</v>
      </c>
      <c r="P123" s="29">
        <v>400</v>
      </c>
      <c r="Q123" s="85"/>
      <c r="R123" s="251"/>
    </row>
    <row r="124" s="30" customFormat="1" ht="14" customHeight="1" spans="1:18">
      <c r="A124" s="268">
        <v>130</v>
      </c>
      <c r="B124" s="268" t="s">
        <v>15</v>
      </c>
      <c r="C124" s="268" t="s">
        <v>54</v>
      </c>
      <c r="D124" s="85" t="s">
        <v>958</v>
      </c>
      <c r="E124" s="28" t="s">
        <v>959</v>
      </c>
      <c r="F124" s="31" t="s">
        <v>42</v>
      </c>
      <c r="G124" s="119" t="s">
        <v>960</v>
      </c>
      <c r="H124" s="31">
        <v>10.2014</v>
      </c>
      <c r="I124" s="31" t="s">
        <v>961</v>
      </c>
      <c r="J124" s="119" t="s">
        <v>440</v>
      </c>
      <c r="K124" s="119"/>
      <c r="L124" s="248" t="s">
        <v>673</v>
      </c>
      <c r="M124" s="29" t="s">
        <v>674</v>
      </c>
      <c r="N124" s="286">
        <v>45869</v>
      </c>
      <c r="O124" s="286">
        <v>46233</v>
      </c>
      <c r="P124" s="319">
        <v>150</v>
      </c>
      <c r="Q124" s="85"/>
      <c r="R124" s="291" t="s">
        <v>958</v>
      </c>
    </row>
    <row r="125" s="30" customFormat="1" ht="14" customHeight="1" spans="1:18">
      <c r="A125" s="268">
        <v>131</v>
      </c>
      <c r="B125" s="268" t="s">
        <v>15</v>
      </c>
      <c r="C125" s="268" t="s">
        <v>54</v>
      </c>
      <c r="D125" s="85" t="s">
        <v>958</v>
      </c>
      <c r="E125" s="28" t="s">
        <v>959</v>
      </c>
      <c r="F125" s="31" t="s">
        <v>42</v>
      </c>
      <c r="G125" s="119" t="s">
        <v>960</v>
      </c>
      <c r="H125" s="31">
        <v>10.2101</v>
      </c>
      <c r="I125" s="31" t="s">
        <v>961</v>
      </c>
      <c r="J125" s="119" t="s">
        <v>149</v>
      </c>
      <c r="K125" s="119"/>
      <c r="L125" s="248" t="s">
        <v>673</v>
      </c>
      <c r="M125" s="29" t="s">
        <v>674</v>
      </c>
      <c r="N125" s="286">
        <v>45869</v>
      </c>
      <c r="O125" s="286">
        <v>46233</v>
      </c>
      <c r="P125" s="319">
        <v>150</v>
      </c>
      <c r="Q125" s="85"/>
      <c r="R125" s="291"/>
    </row>
    <row r="126" s="30" customFormat="1" ht="14" customHeight="1" spans="1:18">
      <c r="A126" s="268">
        <v>132</v>
      </c>
      <c r="B126" s="268" t="s">
        <v>15</v>
      </c>
      <c r="C126" s="268" t="s">
        <v>54</v>
      </c>
      <c r="D126" s="85" t="s">
        <v>958</v>
      </c>
      <c r="E126" s="28" t="s">
        <v>959</v>
      </c>
      <c r="F126" s="31" t="s">
        <v>42</v>
      </c>
      <c r="G126" s="119" t="s">
        <v>960</v>
      </c>
      <c r="H126" s="31">
        <v>10.2012</v>
      </c>
      <c r="I126" s="31" t="s">
        <v>961</v>
      </c>
      <c r="J126" s="119" t="s">
        <v>448</v>
      </c>
      <c r="K126" s="119"/>
      <c r="L126" s="248" t="s">
        <v>673</v>
      </c>
      <c r="M126" s="29" t="s">
        <v>674</v>
      </c>
      <c r="N126" s="286">
        <v>45869</v>
      </c>
      <c r="O126" s="286">
        <v>46233</v>
      </c>
      <c r="P126" s="319">
        <v>150</v>
      </c>
      <c r="Q126" s="85"/>
      <c r="R126" s="291"/>
    </row>
    <row r="127" s="30" customFormat="1" ht="14" customHeight="1" spans="1:18">
      <c r="A127" s="268">
        <v>133</v>
      </c>
      <c r="B127" s="268" t="s">
        <v>15</v>
      </c>
      <c r="C127" s="268" t="s">
        <v>54</v>
      </c>
      <c r="D127" s="85" t="s">
        <v>958</v>
      </c>
      <c r="E127" s="28" t="s">
        <v>959</v>
      </c>
      <c r="F127" s="31" t="s">
        <v>42</v>
      </c>
      <c r="G127" s="119" t="s">
        <v>960</v>
      </c>
      <c r="H127" s="31">
        <v>10.2013</v>
      </c>
      <c r="I127" s="31" t="s">
        <v>961</v>
      </c>
      <c r="J127" s="119" t="s">
        <v>470</v>
      </c>
      <c r="K127" s="119"/>
      <c r="L127" s="248" t="s">
        <v>673</v>
      </c>
      <c r="M127" s="29" t="s">
        <v>674</v>
      </c>
      <c r="N127" s="286">
        <v>45869</v>
      </c>
      <c r="O127" s="286">
        <v>46233</v>
      </c>
      <c r="P127" s="319">
        <v>150</v>
      </c>
      <c r="Q127" s="85"/>
      <c r="R127" s="291"/>
    </row>
    <row r="128" s="30" customFormat="1" ht="14" customHeight="1" spans="1:18">
      <c r="A128" s="268">
        <v>134</v>
      </c>
      <c r="B128" s="268" t="s">
        <v>15</v>
      </c>
      <c r="C128" s="268" t="s">
        <v>37</v>
      </c>
      <c r="D128" s="82" t="s">
        <v>675</v>
      </c>
      <c r="E128" s="29" t="s">
        <v>713</v>
      </c>
      <c r="F128" s="31"/>
      <c r="G128" s="119" t="s">
        <v>962</v>
      </c>
      <c r="H128" s="32">
        <v>20181862</v>
      </c>
      <c r="I128" s="119"/>
      <c r="J128" s="283"/>
      <c r="K128" s="284"/>
      <c r="L128" s="31" t="s">
        <v>667</v>
      </c>
      <c r="M128" s="29" t="s">
        <v>674</v>
      </c>
      <c r="N128" s="94">
        <v>45882</v>
      </c>
      <c r="O128" s="94">
        <v>46246</v>
      </c>
      <c r="P128" s="29">
        <v>200</v>
      </c>
      <c r="Q128" s="85" t="s">
        <v>833</v>
      </c>
      <c r="R128" s="251"/>
    </row>
    <row r="129" s="30" customFormat="1" spans="1:18">
      <c r="A129" s="268">
        <v>135</v>
      </c>
      <c r="B129" s="268" t="s">
        <v>15</v>
      </c>
      <c r="C129" s="268" t="s">
        <v>37</v>
      </c>
      <c r="D129" s="82" t="s">
        <v>675</v>
      </c>
      <c r="E129" s="29" t="s">
        <v>710</v>
      </c>
      <c r="F129" s="186"/>
      <c r="G129" s="119" t="s">
        <v>963</v>
      </c>
      <c r="H129" s="32">
        <v>18271310</v>
      </c>
      <c r="I129" s="119"/>
      <c r="J129" s="31"/>
      <c r="K129" s="31"/>
      <c r="L129" s="31" t="s">
        <v>667</v>
      </c>
      <c r="M129" s="29" t="s">
        <v>674</v>
      </c>
      <c r="N129" s="94">
        <v>45882</v>
      </c>
      <c r="O129" s="94">
        <v>46246</v>
      </c>
      <c r="P129" s="29">
        <v>400</v>
      </c>
      <c r="Q129" s="85" t="s">
        <v>833</v>
      </c>
      <c r="R129" s="251"/>
    </row>
    <row r="130" s="30" customFormat="1" ht="24" spans="1:18">
      <c r="A130" s="268">
        <v>9</v>
      </c>
      <c r="B130" s="268" t="s">
        <v>15</v>
      </c>
      <c r="C130" s="268" t="s">
        <v>37</v>
      </c>
      <c r="D130" s="82" t="s">
        <v>675</v>
      </c>
      <c r="E130" s="29" t="s">
        <v>694</v>
      </c>
      <c r="F130" s="31"/>
      <c r="G130" s="119" t="s">
        <v>964</v>
      </c>
      <c r="H130" s="119" t="s">
        <v>965</v>
      </c>
      <c r="I130" s="32"/>
      <c r="J130" s="283"/>
      <c r="K130" s="283"/>
      <c r="L130" s="31" t="s">
        <v>667</v>
      </c>
      <c r="M130" s="29" t="s">
        <v>674</v>
      </c>
      <c r="N130" s="94">
        <v>45905</v>
      </c>
      <c r="O130" s="94">
        <v>46269</v>
      </c>
      <c r="P130" s="29">
        <v>500</v>
      </c>
      <c r="Q130" s="85"/>
      <c r="R130" s="251"/>
    </row>
    <row r="131" s="30" customFormat="1" ht="24" spans="1:18">
      <c r="A131" s="268">
        <v>10</v>
      </c>
      <c r="B131" s="268" t="s">
        <v>14</v>
      </c>
      <c r="C131" s="268" t="s">
        <v>54</v>
      </c>
      <c r="D131" s="82" t="s">
        <v>262</v>
      </c>
      <c r="E131" s="29" t="s">
        <v>801</v>
      </c>
      <c r="F131" s="31" t="s">
        <v>42</v>
      </c>
      <c r="G131" s="31" t="s">
        <v>966</v>
      </c>
      <c r="H131" s="119" t="s">
        <v>967</v>
      </c>
      <c r="I131" s="119" t="s">
        <v>42</v>
      </c>
      <c r="J131" s="31" t="s">
        <v>966</v>
      </c>
      <c r="K131" s="31" t="s">
        <v>42</v>
      </c>
      <c r="L131" s="31" t="s">
        <v>667</v>
      </c>
      <c r="M131" s="29" t="s">
        <v>674</v>
      </c>
      <c r="N131" s="94">
        <v>45905</v>
      </c>
      <c r="O131" s="94">
        <v>46269</v>
      </c>
      <c r="P131" s="29">
        <v>200</v>
      </c>
      <c r="Q131" s="294"/>
      <c r="R131" s="251"/>
    </row>
    <row r="132" s="30" customFormat="1" ht="24" spans="1:18">
      <c r="A132" s="268">
        <v>11</v>
      </c>
      <c r="B132" s="268" t="s">
        <v>14</v>
      </c>
      <c r="C132" s="268" t="s">
        <v>37</v>
      </c>
      <c r="D132" s="82" t="s">
        <v>262</v>
      </c>
      <c r="E132" s="29" t="s">
        <v>801</v>
      </c>
      <c r="F132" s="31" t="s">
        <v>42</v>
      </c>
      <c r="G132" s="31" t="s">
        <v>968</v>
      </c>
      <c r="H132" s="119" t="s">
        <v>969</v>
      </c>
      <c r="I132" s="119" t="s">
        <v>42</v>
      </c>
      <c r="J132" s="31" t="s">
        <v>968</v>
      </c>
      <c r="K132" s="31" t="s">
        <v>42</v>
      </c>
      <c r="L132" s="31" t="s">
        <v>667</v>
      </c>
      <c r="M132" s="29" t="s">
        <v>674</v>
      </c>
      <c r="N132" s="94">
        <v>45905</v>
      </c>
      <c r="O132" s="94">
        <v>46269</v>
      </c>
      <c r="P132" s="29">
        <v>200</v>
      </c>
      <c r="Q132" s="294"/>
      <c r="R132" s="251"/>
    </row>
    <row r="133" s="30" customFormat="1" spans="1:18">
      <c r="A133" s="268">
        <v>13</v>
      </c>
      <c r="B133" s="268" t="s">
        <v>14</v>
      </c>
      <c r="C133" s="268" t="s">
        <v>54</v>
      </c>
      <c r="D133" s="82" t="s">
        <v>262</v>
      </c>
      <c r="E133" s="248" t="s">
        <v>801</v>
      </c>
      <c r="F133" s="273" t="s">
        <v>970</v>
      </c>
      <c r="G133" s="273" t="s">
        <v>971</v>
      </c>
      <c r="H133" s="303" t="s">
        <v>972</v>
      </c>
      <c r="I133" s="274">
        <v>2012.1</v>
      </c>
      <c r="J133" s="273" t="s">
        <v>971</v>
      </c>
      <c r="K133" s="273" t="s">
        <v>42</v>
      </c>
      <c r="L133" s="31" t="s">
        <v>667</v>
      </c>
      <c r="M133" s="248" t="s">
        <v>674</v>
      </c>
      <c r="N133" s="94">
        <v>45905</v>
      </c>
      <c r="O133" s="94">
        <v>46269</v>
      </c>
      <c r="P133" s="248">
        <v>200</v>
      </c>
      <c r="Q133" s="294"/>
      <c r="R133" s="251"/>
    </row>
    <row r="134" s="30" customFormat="1" spans="1:18">
      <c r="A134" s="268">
        <v>14</v>
      </c>
      <c r="B134" s="268" t="s">
        <v>13</v>
      </c>
      <c r="C134" s="268" t="s">
        <v>54</v>
      </c>
      <c r="D134" s="82" t="s">
        <v>330</v>
      </c>
      <c r="E134" s="29" t="s">
        <v>973</v>
      </c>
      <c r="F134" s="31" t="s">
        <v>42</v>
      </c>
      <c r="G134" s="31" t="s">
        <v>42</v>
      </c>
      <c r="H134" s="119" t="s">
        <v>974</v>
      </c>
      <c r="I134" s="119">
        <v>2020.11</v>
      </c>
      <c r="J134" s="283" t="s">
        <v>975</v>
      </c>
      <c r="K134" s="283" t="s">
        <v>42</v>
      </c>
      <c r="L134" s="31" t="s">
        <v>667</v>
      </c>
      <c r="M134" s="29" t="s">
        <v>674</v>
      </c>
      <c r="N134" s="94">
        <v>45905</v>
      </c>
      <c r="O134" s="94">
        <v>46269</v>
      </c>
      <c r="P134" s="29">
        <v>200</v>
      </c>
      <c r="Q134" s="294"/>
      <c r="R134" s="251"/>
    </row>
    <row r="135" s="30" customFormat="1" spans="1:18">
      <c r="A135" s="268">
        <v>8</v>
      </c>
      <c r="B135" s="268" t="s">
        <v>15</v>
      </c>
      <c r="C135" s="268" t="s">
        <v>37</v>
      </c>
      <c r="D135" s="82" t="s">
        <v>675</v>
      </c>
      <c r="E135" s="29" t="s">
        <v>976</v>
      </c>
      <c r="F135" s="31"/>
      <c r="G135" s="31" t="s">
        <v>977</v>
      </c>
      <c r="H135" s="119"/>
      <c r="I135" s="119"/>
      <c r="J135" s="31"/>
      <c r="K135" s="31"/>
      <c r="L135" s="31" t="s">
        <v>667</v>
      </c>
      <c r="M135" s="29" t="s">
        <v>674</v>
      </c>
      <c r="N135" s="94">
        <v>45910</v>
      </c>
      <c r="O135" s="94">
        <v>46274</v>
      </c>
      <c r="P135" s="29">
        <v>300</v>
      </c>
      <c r="Q135" s="294"/>
      <c r="R135" s="251"/>
    </row>
    <row r="136" s="30" customFormat="1" spans="1:19">
      <c r="A136" s="268">
        <v>136</v>
      </c>
      <c r="B136" s="268" t="s">
        <v>14</v>
      </c>
      <c r="C136" s="268" t="s">
        <v>54</v>
      </c>
      <c r="D136" s="82" t="s">
        <v>262</v>
      </c>
      <c r="E136" s="227" t="s">
        <v>978</v>
      </c>
      <c r="F136" s="171" t="s">
        <v>979</v>
      </c>
      <c r="G136" s="171" t="s">
        <v>980</v>
      </c>
      <c r="H136" s="172" t="s">
        <v>981</v>
      </c>
      <c r="I136" s="237">
        <v>2012.1</v>
      </c>
      <c r="J136" s="171" t="s">
        <v>42</v>
      </c>
      <c r="K136" s="171" t="s">
        <v>42</v>
      </c>
      <c r="L136" s="236" t="s">
        <v>943</v>
      </c>
      <c r="M136" s="227" t="s">
        <v>674</v>
      </c>
      <c r="N136" s="180">
        <v>45664</v>
      </c>
      <c r="O136" s="180">
        <v>46393</v>
      </c>
      <c r="P136" s="227">
        <v>800</v>
      </c>
      <c r="Q136" s="294"/>
      <c r="R136" s="251"/>
      <c r="S136" s="27"/>
    </row>
    <row r="137" s="30" customFormat="1" spans="1:19">
      <c r="A137" s="268">
        <v>137</v>
      </c>
      <c r="B137" s="268" t="s">
        <v>14</v>
      </c>
      <c r="C137" s="268" t="s">
        <v>54</v>
      </c>
      <c r="D137" s="82" t="s">
        <v>262</v>
      </c>
      <c r="E137" s="29" t="s">
        <v>982</v>
      </c>
      <c r="F137" s="31" t="s">
        <v>983</v>
      </c>
      <c r="G137" s="31">
        <v>1260</v>
      </c>
      <c r="H137" s="119" t="s">
        <v>984</v>
      </c>
      <c r="I137" s="32">
        <v>2012.1</v>
      </c>
      <c r="J137" s="31" t="s">
        <v>42</v>
      </c>
      <c r="K137" s="31" t="s">
        <v>42</v>
      </c>
      <c r="L137" s="236" t="s">
        <v>943</v>
      </c>
      <c r="M137" s="29" t="s">
        <v>674</v>
      </c>
      <c r="N137" s="94">
        <v>45764</v>
      </c>
      <c r="O137" s="94">
        <v>46493</v>
      </c>
      <c r="P137" s="29">
        <v>1600</v>
      </c>
      <c r="Q137" s="287"/>
      <c r="R137" s="327"/>
      <c r="S137" s="27"/>
    </row>
    <row r="138" s="30" customFormat="1" ht="24" spans="1:19">
      <c r="A138" s="268">
        <v>12</v>
      </c>
      <c r="B138" s="268" t="s">
        <v>13</v>
      </c>
      <c r="C138" s="268" t="s">
        <v>54</v>
      </c>
      <c r="D138" s="82" t="s">
        <v>330</v>
      </c>
      <c r="E138" s="29" t="s">
        <v>801</v>
      </c>
      <c r="F138" s="31" t="s">
        <v>42</v>
      </c>
      <c r="G138" s="31" t="s">
        <v>802</v>
      </c>
      <c r="H138" s="119" t="s">
        <v>985</v>
      </c>
      <c r="I138" s="119" t="s">
        <v>42</v>
      </c>
      <c r="J138" s="31" t="s">
        <v>42</v>
      </c>
      <c r="K138" s="31" t="s">
        <v>42</v>
      </c>
      <c r="L138" s="31" t="s">
        <v>667</v>
      </c>
      <c r="M138" s="29" t="s">
        <v>674</v>
      </c>
      <c r="N138" s="94"/>
      <c r="O138" s="94"/>
      <c r="P138" s="29">
        <v>200</v>
      </c>
      <c r="Q138" s="294" t="s">
        <v>704</v>
      </c>
      <c r="R138" s="251"/>
      <c r="S138" s="265"/>
    </row>
    <row r="139" s="30" customFormat="1" spans="1:18">
      <c r="A139" s="268"/>
      <c r="B139" s="268" t="s">
        <v>13</v>
      </c>
      <c r="C139" s="268" t="s">
        <v>37</v>
      </c>
      <c r="D139" s="82" t="s">
        <v>330</v>
      </c>
      <c r="E139" s="29" t="s">
        <v>665</v>
      </c>
      <c r="F139" s="85"/>
      <c r="G139" s="31"/>
      <c r="H139" s="31" t="s">
        <v>986</v>
      </c>
      <c r="I139" s="119"/>
      <c r="J139" s="31"/>
      <c r="K139" s="31"/>
      <c r="L139" s="248" t="s">
        <v>673</v>
      </c>
      <c r="M139" s="29" t="s">
        <v>44</v>
      </c>
      <c r="N139" s="94"/>
      <c r="O139" s="94"/>
      <c r="P139" s="29"/>
      <c r="Q139" s="85" t="s">
        <v>704</v>
      </c>
      <c r="R139" s="251"/>
    </row>
    <row r="140" s="30" customFormat="1" spans="1:18">
      <c r="A140" s="268"/>
      <c r="B140" s="268" t="s">
        <v>13</v>
      </c>
      <c r="C140" s="268" t="s">
        <v>37</v>
      </c>
      <c r="D140" s="82" t="s">
        <v>330</v>
      </c>
      <c r="E140" s="29" t="s">
        <v>665</v>
      </c>
      <c r="F140" s="85"/>
      <c r="G140" s="31"/>
      <c r="H140" s="31" t="s">
        <v>987</v>
      </c>
      <c r="I140" s="119"/>
      <c r="J140" s="31"/>
      <c r="K140" s="31"/>
      <c r="L140" s="248" t="s">
        <v>673</v>
      </c>
      <c r="M140" s="29" t="s">
        <v>44</v>
      </c>
      <c r="N140" s="94"/>
      <c r="O140" s="94"/>
      <c r="P140" s="29"/>
      <c r="Q140" s="85" t="s">
        <v>704</v>
      </c>
      <c r="R140" s="251"/>
    </row>
    <row r="141" s="30" customFormat="1" spans="1:18">
      <c r="A141" s="268"/>
      <c r="B141" s="268" t="s">
        <v>13</v>
      </c>
      <c r="C141" s="268" t="s">
        <v>37</v>
      </c>
      <c r="D141" s="82" t="s">
        <v>330</v>
      </c>
      <c r="E141" s="29" t="s">
        <v>665</v>
      </c>
      <c r="F141" s="85"/>
      <c r="G141" s="31"/>
      <c r="H141" s="31" t="s">
        <v>988</v>
      </c>
      <c r="I141" s="119"/>
      <c r="J141" s="31"/>
      <c r="K141" s="31"/>
      <c r="L141" s="31" t="s">
        <v>667</v>
      </c>
      <c r="M141" s="29" t="s">
        <v>44</v>
      </c>
      <c r="N141" s="94"/>
      <c r="O141" s="94"/>
      <c r="P141" s="29"/>
      <c r="Q141" s="85" t="s">
        <v>989</v>
      </c>
      <c r="R141" s="251"/>
    </row>
    <row r="142" s="30" customFormat="1" spans="1:2575">
      <c r="A142" s="268">
        <v>138</v>
      </c>
      <c r="B142" s="268" t="s">
        <v>13</v>
      </c>
      <c r="C142" s="268" t="s">
        <v>37</v>
      </c>
      <c r="D142" s="82" t="s">
        <v>330</v>
      </c>
      <c r="E142" s="29" t="s">
        <v>720</v>
      </c>
      <c r="F142" s="31"/>
      <c r="G142" s="31"/>
      <c r="H142" s="31"/>
      <c r="I142" s="32">
        <v>2025.8</v>
      </c>
      <c r="J142" s="31" t="s">
        <v>42</v>
      </c>
      <c r="K142" s="31" t="s">
        <v>42</v>
      </c>
      <c r="L142" s="31" t="s">
        <v>667</v>
      </c>
      <c r="M142" s="29" t="s">
        <v>674</v>
      </c>
      <c r="N142" s="94">
        <v>45928</v>
      </c>
      <c r="O142" s="94">
        <v>46292</v>
      </c>
      <c r="P142" s="29">
        <v>400</v>
      </c>
      <c r="Q142" s="85"/>
      <c r="R142" s="251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  <c r="AR142" s="267"/>
      <c r="AS142" s="267"/>
      <c r="AT142" s="267"/>
      <c r="AU142" s="267"/>
      <c r="AV142" s="267"/>
      <c r="AW142" s="267"/>
      <c r="AX142" s="267"/>
      <c r="AY142" s="267"/>
      <c r="AZ142" s="267"/>
      <c r="BA142" s="267"/>
      <c r="BB142" s="267"/>
      <c r="BC142" s="267"/>
      <c r="BD142" s="267"/>
      <c r="BE142" s="267"/>
      <c r="BF142" s="267"/>
      <c r="BG142" s="267"/>
      <c r="BH142" s="267"/>
      <c r="BI142" s="267"/>
      <c r="BJ142" s="267"/>
      <c r="BK142" s="267"/>
      <c r="BL142" s="267"/>
      <c r="BM142" s="267"/>
      <c r="BN142" s="267"/>
      <c r="BO142" s="267"/>
      <c r="BP142" s="267"/>
      <c r="BQ142" s="267"/>
      <c r="BR142" s="267"/>
      <c r="BS142" s="267"/>
      <c r="BT142" s="267"/>
      <c r="BU142" s="267"/>
      <c r="BV142" s="267"/>
      <c r="BW142" s="267"/>
      <c r="BX142" s="267"/>
      <c r="BY142" s="267"/>
      <c r="BZ142" s="267"/>
      <c r="CA142" s="267"/>
      <c r="CB142" s="267"/>
      <c r="CC142" s="267"/>
      <c r="CD142" s="267"/>
      <c r="CE142" s="267"/>
      <c r="CF142" s="267"/>
      <c r="CG142" s="267"/>
      <c r="CH142" s="267"/>
      <c r="CI142" s="267"/>
      <c r="CJ142" s="267"/>
      <c r="CK142" s="267"/>
      <c r="CL142" s="267"/>
      <c r="CM142" s="267"/>
      <c r="CN142" s="267"/>
      <c r="CO142" s="267"/>
      <c r="CP142" s="267"/>
      <c r="CQ142" s="267"/>
      <c r="CR142" s="267"/>
      <c r="CS142" s="267"/>
      <c r="CT142" s="267"/>
      <c r="CU142" s="267"/>
      <c r="CV142" s="267"/>
      <c r="CW142" s="267"/>
      <c r="CX142" s="267"/>
      <c r="CY142" s="267"/>
      <c r="CZ142" s="267"/>
      <c r="DA142" s="267"/>
      <c r="DB142" s="267"/>
      <c r="DC142" s="267"/>
      <c r="DD142" s="267"/>
      <c r="DE142" s="267"/>
      <c r="DF142" s="267"/>
      <c r="DG142" s="267"/>
      <c r="DH142" s="267"/>
      <c r="DI142" s="267"/>
      <c r="DJ142" s="267"/>
      <c r="DK142" s="267"/>
      <c r="DL142" s="267"/>
      <c r="DM142" s="267"/>
      <c r="DN142" s="267"/>
      <c r="DO142" s="267"/>
      <c r="DP142" s="267"/>
      <c r="DQ142" s="267"/>
      <c r="DR142" s="267"/>
      <c r="DS142" s="267"/>
      <c r="DT142" s="267"/>
      <c r="DU142" s="267"/>
      <c r="DV142" s="267"/>
      <c r="DW142" s="267"/>
      <c r="DX142" s="267"/>
      <c r="DY142" s="267"/>
      <c r="DZ142" s="267"/>
      <c r="EA142" s="267"/>
      <c r="EB142" s="267"/>
      <c r="EC142" s="267"/>
      <c r="ED142" s="267"/>
      <c r="EE142" s="267"/>
      <c r="EF142" s="267"/>
      <c r="EG142" s="267"/>
      <c r="EH142" s="267"/>
      <c r="EI142" s="267"/>
      <c r="EJ142" s="267"/>
      <c r="EK142" s="267"/>
      <c r="EL142" s="267"/>
      <c r="EM142" s="267"/>
      <c r="EN142" s="267"/>
      <c r="EO142" s="267"/>
      <c r="EP142" s="267"/>
      <c r="EQ142" s="267"/>
      <c r="ER142" s="267"/>
      <c r="ES142" s="267"/>
      <c r="ET142" s="267"/>
      <c r="EU142" s="267"/>
      <c r="EV142" s="267"/>
      <c r="EW142" s="267"/>
      <c r="EX142" s="267"/>
      <c r="EY142" s="267"/>
      <c r="EZ142" s="267"/>
      <c r="FA142" s="267"/>
      <c r="FB142" s="267"/>
      <c r="FC142" s="267"/>
      <c r="FD142" s="267"/>
      <c r="FE142" s="267"/>
      <c r="FF142" s="267"/>
      <c r="FG142" s="267"/>
      <c r="FH142" s="267"/>
      <c r="FI142" s="267"/>
      <c r="FJ142" s="267"/>
      <c r="FK142" s="267"/>
      <c r="FL142" s="267"/>
      <c r="FM142" s="267"/>
      <c r="FN142" s="267"/>
      <c r="FO142" s="267"/>
      <c r="FP142" s="267"/>
      <c r="FQ142" s="267"/>
      <c r="FR142" s="267"/>
      <c r="FS142" s="267"/>
      <c r="FT142" s="267"/>
      <c r="FU142" s="267"/>
      <c r="FV142" s="267"/>
      <c r="FW142" s="267"/>
      <c r="FX142" s="267"/>
      <c r="FY142" s="267"/>
      <c r="FZ142" s="267"/>
      <c r="GA142" s="267"/>
      <c r="GB142" s="267"/>
      <c r="GC142" s="267"/>
      <c r="GD142" s="267"/>
      <c r="GE142" s="267"/>
      <c r="GF142" s="267"/>
      <c r="GG142" s="267"/>
      <c r="GH142" s="267"/>
      <c r="GI142" s="267"/>
      <c r="GJ142" s="267"/>
      <c r="GK142" s="267"/>
      <c r="GL142" s="267"/>
      <c r="GM142" s="267"/>
      <c r="GN142" s="267"/>
      <c r="GO142" s="267"/>
      <c r="GP142" s="267"/>
      <c r="GQ142" s="267"/>
      <c r="GR142" s="267"/>
      <c r="GS142" s="267"/>
      <c r="GT142" s="267"/>
      <c r="GU142" s="267"/>
      <c r="GV142" s="267"/>
      <c r="GW142" s="267"/>
      <c r="GX142" s="267"/>
      <c r="GY142" s="267"/>
      <c r="GZ142" s="267"/>
      <c r="HA142" s="267"/>
      <c r="HB142" s="267"/>
      <c r="HC142" s="267"/>
      <c r="HD142" s="267"/>
      <c r="HE142" s="267"/>
      <c r="HF142" s="267"/>
      <c r="HG142" s="267"/>
      <c r="HH142" s="267"/>
      <c r="HI142" s="267"/>
      <c r="HJ142" s="267"/>
      <c r="HK142" s="267"/>
      <c r="HL142" s="267"/>
      <c r="HM142" s="267"/>
      <c r="HN142" s="267"/>
      <c r="HO142" s="267"/>
      <c r="HP142" s="267"/>
      <c r="HQ142" s="267"/>
      <c r="HR142" s="267"/>
      <c r="HS142" s="267"/>
      <c r="HT142" s="267"/>
      <c r="HU142" s="267"/>
      <c r="HV142" s="267"/>
      <c r="HW142" s="267"/>
      <c r="HX142" s="267"/>
      <c r="HY142" s="267"/>
      <c r="HZ142" s="267"/>
      <c r="IA142" s="267"/>
      <c r="IB142" s="267"/>
      <c r="IC142" s="267"/>
      <c r="ID142" s="267"/>
      <c r="IE142" s="267"/>
      <c r="IF142" s="267"/>
      <c r="IG142" s="267"/>
      <c r="IH142" s="267"/>
      <c r="II142" s="267"/>
      <c r="IJ142" s="267"/>
      <c r="IK142" s="267"/>
      <c r="IL142" s="267"/>
      <c r="IM142" s="267"/>
      <c r="IN142" s="267"/>
      <c r="IO142" s="267"/>
      <c r="IP142" s="267"/>
      <c r="IQ142" s="267"/>
      <c r="IR142" s="267"/>
      <c r="IS142" s="267"/>
      <c r="IT142" s="267"/>
      <c r="IU142" s="267"/>
      <c r="IV142" s="267"/>
      <c r="IW142" s="267"/>
      <c r="IX142" s="267"/>
      <c r="IY142" s="267"/>
      <c r="IZ142" s="267"/>
      <c r="JA142" s="267"/>
      <c r="JB142" s="267"/>
      <c r="JC142" s="267"/>
      <c r="JD142" s="267"/>
      <c r="JE142" s="267"/>
      <c r="JF142" s="267"/>
      <c r="JG142" s="267"/>
      <c r="JH142" s="267"/>
      <c r="JI142" s="267"/>
      <c r="JJ142" s="267"/>
      <c r="JK142" s="267"/>
      <c r="JL142" s="267"/>
      <c r="JM142" s="267"/>
      <c r="JN142" s="267"/>
      <c r="JO142" s="267"/>
      <c r="JP142" s="267"/>
      <c r="JQ142" s="267"/>
      <c r="JR142" s="267"/>
      <c r="JS142" s="267"/>
      <c r="JT142" s="267"/>
      <c r="JU142" s="267"/>
      <c r="JV142" s="267"/>
      <c r="JW142" s="267"/>
      <c r="JX142" s="267"/>
      <c r="JY142" s="267"/>
      <c r="JZ142" s="267"/>
      <c r="KA142" s="267"/>
      <c r="KB142" s="267"/>
      <c r="KC142" s="267"/>
      <c r="KD142" s="267"/>
      <c r="KE142" s="267"/>
      <c r="KF142" s="267"/>
      <c r="KG142" s="267"/>
      <c r="KH142" s="267"/>
      <c r="KI142" s="267"/>
      <c r="KJ142" s="267"/>
      <c r="KK142" s="267"/>
      <c r="KL142" s="267"/>
      <c r="KM142" s="267"/>
      <c r="KN142" s="267"/>
      <c r="KO142" s="267"/>
      <c r="KP142" s="267"/>
      <c r="KQ142" s="267"/>
      <c r="KR142" s="267"/>
      <c r="KS142" s="267"/>
      <c r="KT142" s="267"/>
      <c r="KU142" s="267"/>
      <c r="KV142" s="267"/>
      <c r="KW142" s="267"/>
      <c r="KX142" s="267"/>
      <c r="KY142" s="267"/>
      <c r="KZ142" s="267"/>
      <c r="LA142" s="267"/>
      <c r="LB142" s="267"/>
      <c r="LC142" s="267"/>
      <c r="LD142" s="267"/>
      <c r="LE142" s="267"/>
      <c r="LF142" s="267"/>
      <c r="LG142" s="267"/>
      <c r="LH142" s="267"/>
      <c r="LI142" s="267"/>
      <c r="LJ142" s="267"/>
      <c r="LK142" s="267"/>
      <c r="LL142" s="267"/>
      <c r="LM142" s="267"/>
      <c r="LN142" s="267"/>
      <c r="LO142" s="267"/>
      <c r="LP142" s="267"/>
      <c r="LQ142" s="267"/>
      <c r="LR142" s="267"/>
      <c r="LS142" s="267"/>
      <c r="LT142" s="267"/>
      <c r="LU142" s="267"/>
      <c r="LV142" s="267"/>
      <c r="LW142" s="267"/>
      <c r="LX142" s="267"/>
      <c r="LY142" s="267"/>
      <c r="LZ142" s="267"/>
      <c r="MA142" s="267"/>
      <c r="MB142" s="267"/>
      <c r="MC142" s="267"/>
      <c r="MD142" s="267"/>
      <c r="ME142" s="267"/>
      <c r="MF142" s="267"/>
      <c r="MG142" s="267"/>
      <c r="MH142" s="267"/>
      <c r="MI142" s="267"/>
      <c r="MJ142" s="267"/>
      <c r="MK142" s="267"/>
      <c r="ML142" s="267"/>
      <c r="MM142" s="267"/>
      <c r="MN142" s="267"/>
      <c r="MO142" s="267"/>
      <c r="MP142" s="267"/>
      <c r="MQ142" s="267"/>
      <c r="MR142" s="267"/>
      <c r="MS142" s="267"/>
      <c r="MT142" s="267"/>
      <c r="MU142" s="267"/>
      <c r="MV142" s="267"/>
      <c r="MW142" s="267"/>
      <c r="MX142" s="267"/>
      <c r="MY142" s="267"/>
      <c r="MZ142" s="267"/>
      <c r="NA142" s="267"/>
      <c r="NB142" s="267"/>
      <c r="NC142" s="267"/>
      <c r="ND142" s="267"/>
      <c r="NE142" s="267"/>
      <c r="NF142" s="267"/>
      <c r="NG142" s="267"/>
      <c r="NH142" s="267"/>
      <c r="NI142" s="267"/>
      <c r="NJ142" s="267"/>
      <c r="NK142" s="267"/>
      <c r="NL142" s="267"/>
      <c r="NM142" s="267"/>
      <c r="NN142" s="267"/>
      <c r="NO142" s="267"/>
      <c r="NP142" s="267"/>
      <c r="NQ142" s="267"/>
      <c r="NR142" s="267"/>
      <c r="NS142" s="267"/>
      <c r="NT142" s="267"/>
      <c r="NU142" s="267"/>
      <c r="NV142" s="267"/>
      <c r="NW142" s="267"/>
      <c r="NX142" s="267"/>
      <c r="NY142" s="267"/>
      <c r="NZ142" s="267"/>
      <c r="OA142" s="267"/>
      <c r="OB142" s="267"/>
      <c r="OC142" s="267"/>
      <c r="OD142" s="267"/>
      <c r="OE142" s="267"/>
      <c r="OF142" s="267"/>
      <c r="OG142" s="267"/>
      <c r="OH142" s="267"/>
      <c r="OI142" s="267"/>
      <c r="OJ142" s="267"/>
      <c r="OK142" s="267"/>
      <c r="OL142" s="267"/>
      <c r="OM142" s="267"/>
      <c r="ON142" s="267"/>
      <c r="OO142" s="267"/>
      <c r="OP142" s="267"/>
      <c r="OQ142" s="267"/>
      <c r="OR142" s="267"/>
      <c r="OS142" s="267"/>
      <c r="OT142" s="267"/>
      <c r="OU142" s="267"/>
      <c r="OV142" s="267"/>
      <c r="OW142" s="267"/>
      <c r="OX142" s="267"/>
      <c r="OY142" s="267"/>
      <c r="OZ142" s="267"/>
      <c r="PA142" s="267"/>
      <c r="PB142" s="267"/>
      <c r="PC142" s="267"/>
      <c r="PD142" s="267"/>
      <c r="PE142" s="267"/>
      <c r="PF142" s="267"/>
      <c r="PG142" s="267"/>
      <c r="PH142" s="267"/>
      <c r="PI142" s="267"/>
      <c r="PJ142" s="267"/>
      <c r="PK142" s="267"/>
      <c r="PL142" s="267"/>
      <c r="PM142" s="267"/>
      <c r="PN142" s="267"/>
      <c r="PO142" s="267"/>
      <c r="PP142" s="267"/>
      <c r="PQ142" s="267"/>
      <c r="PR142" s="267"/>
      <c r="PS142" s="267"/>
      <c r="PT142" s="267"/>
      <c r="PU142" s="267"/>
      <c r="PV142" s="267"/>
      <c r="PW142" s="267"/>
      <c r="PX142" s="267"/>
      <c r="PY142" s="267"/>
      <c r="PZ142" s="267"/>
      <c r="QA142" s="267"/>
      <c r="QB142" s="267"/>
      <c r="QC142" s="267"/>
      <c r="QD142" s="267"/>
      <c r="QE142" s="267"/>
      <c r="QF142" s="267"/>
      <c r="QG142" s="267"/>
      <c r="QH142" s="267"/>
      <c r="QI142" s="267"/>
      <c r="QJ142" s="267"/>
      <c r="QK142" s="267"/>
      <c r="QL142" s="267"/>
      <c r="QM142" s="267"/>
      <c r="QN142" s="267"/>
      <c r="QO142" s="267"/>
      <c r="QP142" s="267"/>
      <c r="QQ142" s="267"/>
      <c r="QR142" s="267"/>
      <c r="QS142" s="267"/>
      <c r="QT142" s="267"/>
      <c r="QU142" s="267"/>
      <c r="QV142" s="267"/>
      <c r="QW142" s="267"/>
      <c r="QX142" s="267"/>
      <c r="QY142" s="267"/>
      <c r="QZ142" s="267"/>
      <c r="RA142" s="267"/>
      <c r="RB142" s="267"/>
      <c r="RC142" s="267"/>
      <c r="RD142" s="267"/>
      <c r="RE142" s="267"/>
      <c r="RF142" s="267"/>
      <c r="RG142" s="267"/>
      <c r="RH142" s="267"/>
      <c r="RI142" s="267"/>
      <c r="RJ142" s="267"/>
      <c r="RK142" s="267"/>
      <c r="RL142" s="267"/>
      <c r="RM142" s="267"/>
      <c r="RN142" s="267"/>
      <c r="RO142" s="267"/>
      <c r="RP142" s="267"/>
      <c r="RQ142" s="267"/>
      <c r="RR142" s="267"/>
      <c r="RS142" s="267"/>
      <c r="RT142" s="267"/>
      <c r="RU142" s="267"/>
      <c r="RV142" s="267"/>
      <c r="RW142" s="267"/>
      <c r="RX142" s="267"/>
      <c r="RY142" s="267"/>
      <c r="RZ142" s="267"/>
      <c r="SA142" s="267"/>
      <c r="SB142" s="267"/>
      <c r="SC142" s="267"/>
      <c r="SD142" s="267"/>
      <c r="SE142" s="267"/>
      <c r="SF142" s="267"/>
      <c r="SG142" s="267"/>
      <c r="SH142" s="267"/>
      <c r="SI142" s="267"/>
      <c r="SJ142" s="267"/>
      <c r="SK142" s="267"/>
      <c r="SL142" s="267"/>
      <c r="SM142" s="267"/>
      <c r="SN142" s="267"/>
      <c r="SO142" s="267"/>
      <c r="SP142" s="267"/>
      <c r="SQ142" s="267"/>
      <c r="SR142" s="267"/>
      <c r="SS142" s="267"/>
      <c r="ST142" s="267"/>
      <c r="SU142" s="267"/>
      <c r="SV142" s="267"/>
      <c r="SW142" s="267"/>
      <c r="SX142" s="267"/>
      <c r="SY142" s="267"/>
      <c r="SZ142" s="267"/>
      <c r="TA142" s="267"/>
      <c r="TB142" s="267"/>
      <c r="TC142" s="267"/>
      <c r="TD142" s="267"/>
      <c r="TE142" s="267"/>
      <c r="TF142" s="267"/>
      <c r="TG142" s="267"/>
      <c r="TH142" s="267"/>
      <c r="TI142" s="267"/>
      <c r="TJ142" s="267"/>
      <c r="TK142" s="267"/>
      <c r="TL142" s="267"/>
      <c r="TM142" s="267"/>
      <c r="TN142" s="267"/>
      <c r="TO142" s="267"/>
      <c r="TP142" s="267"/>
      <c r="TQ142" s="267"/>
      <c r="TR142" s="267"/>
      <c r="TS142" s="267"/>
      <c r="TT142" s="267"/>
      <c r="TU142" s="267"/>
      <c r="TV142" s="267"/>
      <c r="TW142" s="267"/>
      <c r="TX142" s="267"/>
      <c r="TY142" s="267"/>
      <c r="TZ142" s="267"/>
      <c r="UA142" s="267"/>
      <c r="UB142" s="267"/>
      <c r="UC142" s="267"/>
      <c r="UD142" s="267"/>
      <c r="UE142" s="267"/>
      <c r="UF142" s="267"/>
      <c r="UG142" s="267"/>
      <c r="UH142" s="267"/>
      <c r="UI142" s="267"/>
      <c r="UJ142" s="267"/>
      <c r="UK142" s="267"/>
      <c r="UL142" s="267"/>
      <c r="UM142" s="267"/>
      <c r="UN142" s="267"/>
      <c r="UO142" s="267"/>
      <c r="UP142" s="267"/>
      <c r="UQ142" s="267"/>
      <c r="UR142" s="267"/>
      <c r="US142" s="267"/>
      <c r="UT142" s="267"/>
      <c r="UU142" s="267"/>
      <c r="UV142" s="267"/>
      <c r="UW142" s="267"/>
      <c r="UX142" s="267"/>
      <c r="UY142" s="267"/>
      <c r="UZ142" s="267"/>
      <c r="VA142" s="267"/>
      <c r="VB142" s="267"/>
      <c r="VC142" s="267"/>
      <c r="VD142" s="267"/>
      <c r="VE142" s="267"/>
      <c r="VF142" s="267"/>
      <c r="VG142" s="267"/>
      <c r="VH142" s="267"/>
      <c r="VI142" s="267"/>
      <c r="VJ142" s="267"/>
      <c r="VK142" s="267"/>
      <c r="VL142" s="267"/>
      <c r="VM142" s="267"/>
      <c r="VN142" s="267"/>
      <c r="VO142" s="267"/>
      <c r="VP142" s="267"/>
      <c r="VQ142" s="267"/>
      <c r="VR142" s="267"/>
      <c r="VS142" s="267"/>
      <c r="VT142" s="267"/>
      <c r="VU142" s="267"/>
      <c r="VV142" s="267"/>
      <c r="VW142" s="267"/>
      <c r="VX142" s="267"/>
      <c r="VY142" s="267"/>
      <c r="VZ142" s="267"/>
      <c r="WA142" s="267"/>
      <c r="WB142" s="267"/>
      <c r="WC142" s="267"/>
      <c r="WD142" s="267"/>
      <c r="WE142" s="267"/>
      <c r="WF142" s="267"/>
      <c r="WG142" s="267"/>
      <c r="WH142" s="267"/>
      <c r="WI142" s="267"/>
      <c r="WJ142" s="267"/>
      <c r="WK142" s="267"/>
      <c r="WL142" s="267"/>
      <c r="WM142" s="267"/>
      <c r="WN142" s="267"/>
      <c r="WO142" s="267"/>
      <c r="WP142" s="267"/>
      <c r="WQ142" s="267"/>
      <c r="WR142" s="267"/>
      <c r="WS142" s="267"/>
      <c r="WT142" s="267"/>
      <c r="WU142" s="267"/>
      <c r="WV142" s="267"/>
      <c r="WW142" s="267"/>
      <c r="WX142" s="267"/>
      <c r="WY142" s="267"/>
      <c r="WZ142" s="267"/>
      <c r="XA142" s="267"/>
      <c r="XB142" s="267"/>
      <c r="XC142" s="267"/>
      <c r="XD142" s="267"/>
      <c r="XE142" s="267"/>
      <c r="XF142" s="267"/>
      <c r="XG142" s="267"/>
      <c r="XH142" s="267"/>
      <c r="XI142" s="267"/>
      <c r="XJ142" s="267"/>
      <c r="XK142" s="267"/>
      <c r="XL142" s="267"/>
      <c r="XM142" s="267"/>
      <c r="XN142" s="267"/>
      <c r="XO142" s="267"/>
      <c r="XP142" s="267"/>
      <c r="XQ142" s="267"/>
      <c r="XR142" s="267"/>
      <c r="XS142" s="267"/>
      <c r="XT142" s="267"/>
      <c r="XU142" s="267"/>
      <c r="XV142" s="267"/>
      <c r="XW142" s="267"/>
      <c r="XX142" s="267"/>
      <c r="XY142" s="267"/>
      <c r="XZ142" s="267"/>
      <c r="YA142" s="267"/>
      <c r="YB142" s="267"/>
      <c r="YC142" s="267"/>
      <c r="YD142" s="267"/>
      <c r="YE142" s="267"/>
      <c r="YF142" s="267"/>
      <c r="YG142" s="267"/>
      <c r="YH142" s="267"/>
      <c r="YI142" s="267"/>
      <c r="YJ142" s="267"/>
      <c r="YK142" s="267"/>
      <c r="YL142" s="267"/>
      <c r="YM142" s="267"/>
      <c r="YN142" s="267"/>
      <c r="YO142" s="267"/>
      <c r="YP142" s="267"/>
      <c r="YQ142" s="267"/>
      <c r="YR142" s="267"/>
      <c r="YS142" s="267"/>
      <c r="YT142" s="267"/>
      <c r="YU142" s="267"/>
      <c r="YV142" s="267"/>
      <c r="YW142" s="267"/>
      <c r="YX142" s="267"/>
      <c r="YY142" s="267"/>
      <c r="YZ142" s="267"/>
      <c r="ZA142" s="267"/>
      <c r="ZB142" s="267"/>
      <c r="ZC142" s="267"/>
      <c r="ZD142" s="267"/>
      <c r="ZE142" s="267"/>
      <c r="ZF142" s="267"/>
      <c r="ZG142" s="267"/>
      <c r="ZH142" s="267"/>
      <c r="ZI142" s="267"/>
      <c r="ZJ142" s="267"/>
      <c r="ZK142" s="267"/>
      <c r="ZL142" s="267"/>
      <c r="ZM142" s="267"/>
      <c r="ZN142" s="267"/>
      <c r="ZO142" s="267"/>
      <c r="ZP142" s="267"/>
      <c r="ZQ142" s="267"/>
      <c r="ZR142" s="267"/>
      <c r="ZS142" s="267"/>
      <c r="ZT142" s="267"/>
      <c r="ZU142" s="267"/>
      <c r="ZV142" s="267"/>
      <c r="ZW142" s="267"/>
      <c r="ZX142" s="267"/>
      <c r="ZY142" s="267"/>
      <c r="ZZ142" s="267"/>
      <c r="AAA142" s="267"/>
      <c r="AAB142" s="267"/>
      <c r="AAC142" s="267"/>
      <c r="AAD142" s="267"/>
      <c r="AAE142" s="267"/>
      <c r="AAF142" s="267"/>
      <c r="AAG142" s="267"/>
      <c r="AAH142" s="267"/>
      <c r="AAI142" s="267"/>
      <c r="AAJ142" s="267"/>
      <c r="AAK142" s="267"/>
      <c r="AAL142" s="267"/>
      <c r="AAM142" s="267"/>
      <c r="AAN142" s="267"/>
      <c r="AAO142" s="267"/>
      <c r="AAP142" s="267"/>
      <c r="AAQ142" s="267"/>
      <c r="AAR142" s="267"/>
      <c r="AAS142" s="267"/>
      <c r="AAT142" s="267"/>
      <c r="AAU142" s="267"/>
      <c r="AAV142" s="267"/>
      <c r="AAW142" s="267"/>
      <c r="AAX142" s="267"/>
      <c r="AAY142" s="267"/>
      <c r="AAZ142" s="267"/>
      <c r="ABA142" s="267"/>
      <c r="ABB142" s="267"/>
      <c r="ABC142" s="267"/>
      <c r="ABD142" s="267"/>
      <c r="ABE142" s="267"/>
      <c r="ABF142" s="267"/>
      <c r="ABG142" s="267"/>
      <c r="ABH142" s="267"/>
      <c r="ABI142" s="267"/>
      <c r="ABJ142" s="267"/>
      <c r="ABK142" s="267"/>
      <c r="ABL142" s="267"/>
      <c r="ABM142" s="267"/>
      <c r="ABN142" s="267"/>
      <c r="ABO142" s="267"/>
      <c r="ABP142" s="267"/>
      <c r="ABQ142" s="267"/>
      <c r="ABR142" s="267"/>
      <c r="ABS142" s="267"/>
      <c r="ABT142" s="267"/>
      <c r="ABU142" s="267"/>
      <c r="ABV142" s="267"/>
      <c r="ABW142" s="267"/>
      <c r="ABX142" s="267"/>
      <c r="ABY142" s="267"/>
      <c r="ABZ142" s="267"/>
      <c r="ACA142" s="267"/>
      <c r="ACB142" s="267"/>
      <c r="ACC142" s="267"/>
      <c r="ACD142" s="267"/>
      <c r="ACE142" s="267"/>
      <c r="ACF142" s="267"/>
      <c r="ACG142" s="267"/>
      <c r="ACH142" s="267"/>
      <c r="ACI142" s="267"/>
      <c r="ACJ142" s="267"/>
      <c r="ACK142" s="267"/>
      <c r="ACL142" s="267"/>
      <c r="ACM142" s="267"/>
      <c r="ACN142" s="267"/>
      <c r="ACO142" s="267"/>
      <c r="ACP142" s="267"/>
      <c r="ACQ142" s="267"/>
      <c r="ACR142" s="267"/>
      <c r="ACS142" s="267"/>
      <c r="ACT142" s="267"/>
      <c r="ACU142" s="267"/>
      <c r="ACV142" s="267"/>
      <c r="ACW142" s="267"/>
      <c r="ACX142" s="267"/>
      <c r="ACY142" s="267"/>
      <c r="ACZ142" s="267"/>
      <c r="ADA142" s="267"/>
      <c r="ADB142" s="267"/>
      <c r="ADC142" s="267"/>
      <c r="ADD142" s="267"/>
      <c r="ADE142" s="267"/>
      <c r="ADF142" s="267"/>
      <c r="ADG142" s="267"/>
      <c r="ADH142" s="267"/>
      <c r="ADI142" s="267"/>
      <c r="ADJ142" s="267"/>
      <c r="ADK142" s="267"/>
      <c r="ADL142" s="267"/>
      <c r="ADM142" s="267"/>
      <c r="ADN142" s="267"/>
      <c r="ADO142" s="267"/>
      <c r="ADP142" s="267"/>
      <c r="ADQ142" s="267"/>
      <c r="ADR142" s="267"/>
      <c r="ADS142" s="267"/>
      <c r="ADT142" s="267"/>
      <c r="ADU142" s="267"/>
      <c r="ADV142" s="267"/>
      <c r="ADW142" s="267"/>
      <c r="ADX142" s="267"/>
      <c r="ADY142" s="267"/>
      <c r="ADZ142" s="267"/>
      <c r="AEA142" s="267"/>
      <c r="AEB142" s="267"/>
      <c r="AEC142" s="267"/>
      <c r="AED142" s="267"/>
      <c r="AEE142" s="267"/>
      <c r="AEF142" s="267"/>
      <c r="AEG142" s="267"/>
      <c r="AEH142" s="267"/>
      <c r="AEI142" s="267"/>
      <c r="AEJ142" s="267"/>
      <c r="AEK142" s="267"/>
      <c r="AEL142" s="267"/>
      <c r="AEM142" s="267"/>
      <c r="AEN142" s="267"/>
      <c r="AEO142" s="267"/>
      <c r="AEP142" s="267"/>
      <c r="AEQ142" s="267"/>
      <c r="AER142" s="267"/>
      <c r="AES142" s="267"/>
      <c r="AET142" s="267"/>
      <c r="AEU142" s="267"/>
      <c r="AEV142" s="267"/>
      <c r="AEW142" s="267"/>
      <c r="AEX142" s="267"/>
      <c r="AEY142" s="267"/>
      <c r="AEZ142" s="267"/>
      <c r="AFA142" s="267"/>
      <c r="AFB142" s="267"/>
      <c r="AFC142" s="267"/>
      <c r="AFD142" s="267"/>
      <c r="AFE142" s="267"/>
      <c r="AFF142" s="267"/>
      <c r="AFG142" s="267"/>
      <c r="AFH142" s="267"/>
      <c r="AFI142" s="267"/>
      <c r="AFJ142" s="267"/>
      <c r="AFK142" s="267"/>
      <c r="AFL142" s="267"/>
      <c r="AFM142" s="267"/>
      <c r="AFN142" s="267"/>
      <c r="AFO142" s="267"/>
      <c r="AFP142" s="267"/>
      <c r="AFQ142" s="267"/>
      <c r="AFR142" s="267"/>
      <c r="AFS142" s="267"/>
      <c r="AFT142" s="267"/>
      <c r="AFU142" s="267"/>
      <c r="AFV142" s="267"/>
      <c r="AFW142" s="267"/>
      <c r="AFX142" s="267"/>
      <c r="AFY142" s="267"/>
      <c r="AFZ142" s="267"/>
      <c r="AGA142" s="267"/>
      <c r="AGB142" s="267"/>
      <c r="AGC142" s="267"/>
      <c r="AGD142" s="267"/>
      <c r="AGE142" s="267"/>
      <c r="AGF142" s="267"/>
      <c r="AGG142" s="267"/>
      <c r="AGH142" s="267"/>
      <c r="AGI142" s="267"/>
      <c r="AGJ142" s="267"/>
      <c r="AGK142" s="267"/>
      <c r="AGL142" s="267"/>
      <c r="AGM142" s="267"/>
      <c r="AGN142" s="267"/>
      <c r="AGO142" s="267"/>
      <c r="AGP142" s="267"/>
      <c r="AGQ142" s="267"/>
      <c r="AGR142" s="267"/>
      <c r="AGS142" s="267"/>
      <c r="AGT142" s="267"/>
      <c r="AGU142" s="267"/>
      <c r="AGV142" s="267"/>
      <c r="AGW142" s="267"/>
      <c r="AGX142" s="267"/>
      <c r="AGY142" s="267"/>
      <c r="AGZ142" s="267"/>
      <c r="AHA142" s="267"/>
      <c r="AHB142" s="267"/>
      <c r="AHC142" s="267"/>
      <c r="AHD142" s="267"/>
      <c r="AHE142" s="267"/>
      <c r="AHF142" s="267"/>
      <c r="AHG142" s="267"/>
      <c r="AHH142" s="267"/>
      <c r="AHI142" s="267"/>
      <c r="AHJ142" s="267"/>
      <c r="AHK142" s="267"/>
      <c r="AHL142" s="267"/>
      <c r="AHM142" s="267"/>
      <c r="AHN142" s="267"/>
      <c r="AHO142" s="267"/>
      <c r="AHP142" s="267"/>
      <c r="AHQ142" s="267"/>
      <c r="AHR142" s="267"/>
      <c r="AHS142" s="267"/>
      <c r="AHT142" s="267"/>
      <c r="AHU142" s="267"/>
      <c r="AHV142" s="267"/>
      <c r="AHW142" s="267"/>
      <c r="AHX142" s="267"/>
      <c r="AHY142" s="267"/>
      <c r="AHZ142" s="267"/>
      <c r="AIA142" s="267"/>
      <c r="AIB142" s="267"/>
      <c r="AIC142" s="267"/>
      <c r="AID142" s="267"/>
      <c r="AIE142" s="267"/>
      <c r="AIF142" s="267"/>
      <c r="AIG142" s="267"/>
      <c r="AIH142" s="267"/>
      <c r="AII142" s="267"/>
      <c r="AIJ142" s="267"/>
      <c r="AIK142" s="267"/>
      <c r="AIL142" s="267"/>
      <c r="AIM142" s="267"/>
      <c r="AIN142" s="267"/>
      <c r="AIO142" s="267"/>
      <c r="AIP142" s="267"/>
      <c r="AIQ142" s="267"/>
      <c r="AIR142" s="267"/>
      <c r="AIS142" s="267"/>
      <c r="AIT142" s="267"/>
      <c r="AIU142" s="267"/>
      <c r="AIV142" s="267"/>
      <c r="AIW142" s="267"/>
      <c r="AIX142" s="267"/>
      <c r="AIY142" s="267"/>
      <c r="AIZ142" s="267"/>
      <c r="AJA142" s="267"/>
      <c r="AJB142" s="267"/>
      <c r="AJC142" s="267"/>
      <c r="AJD142" s="267"/>
      <c r="AJE142" s="267"/>
      <c r="AJF142" s="267"/>
      <c r="AJG142" s="267"/>
      <c r="AJH142" s="267"/>
      <c r="AJI142" s="267"/>
      <c r="AJJ142" s="267"/>
      <c r="AJK142" s="267"/>
      <c r="AJL142" s="267"/>
      <c r="AJM142" s="267"/>
      <c r="AJN142" s="267"/>
      <c r="AJO142" s="267"/>
      <c r="AJP142" s="267"/>
      <c r="AJQ142" s="267"/>
      <c r="AJR142" s="267"/>
      <c r="AJS142" s="267"/>
      <c r="AJT142" s="267"/>
      <c r="AJU142" s="267"/>
      <c r="AJV142" s="267"/>
      <c r="AJW142" s="267"/>
      <c r="AJX142" s="267"/>
      <c r="AJY142" s="267"/>
      <c r="AJZ142" s="267"/>
      <c r="AKA142" s="267"/>
      <c r="AKB142" s="267"/>
      <c r="AKC142" s="267"/>
      <c r="AKD142" s="267"/>
      <c r="AKE142" s="267"/>
      <c r="AKF142" s="267"/>
      <c r="AKG142" s="267"/>
      <c r="AKH142" s="267"/>
      <c r="AKI142" s="267"/>
      <c r="AKJ142" s="267"/>
      <c r="AKK142" s="267"/>
      <c r="AKL142" s="267"/>
      <c r="AKM142" s="267"/>
      <c r="AKN142" s="267"/>
      <c r="AKO142" s="267"/>
      <c r="AKP142" s="267"/>
      <c r="AKQ142" s="267"/>
      <c r="AKR142" s="267"/>
      <c r="AKS142" s="267"/>
      <c r="AKT142" s="267"/>
      <c r="AKU142" s="267"/>
      <c r="AKV142" s="267"/>
      <c r="AKW142" s="267"/>
      <c r="AKX142" s="267"/>
      <c r="AKY142" s="267"/>
      <c r="AKZ142" s="267"/>
      <c r="ALA142" s="267"/>
      <c r="ALB142" s="267"/>
      <c r="ALC142" s="267"/>
      <c r="ALD142" s="267"/>
      <c r="ALE142" s="267"/>
      <c r="ALF142" s="267"/>
      <c r="ALG142" s="267"/>
      <c r="ALH142" s="267"/>
      <c r="ALI142" s="267"/>
      <c r="ALJ142" s="267"/>
      <c r="ALK142" s="267"/>
      <c r="ALL142" s="267"/>
      <c r="ALM142" s="267"/>
      <c r="ALN142" s="267"/>
      <c r="ALO142" s="267"/>
      <c r="ALP142" s="267"/>
      <c r="ALQ142" s="267"/>
      <c r="ALR142" s="267"/>
      <c r="ALS142" s="267"/>
      <c r="ALT142" s="267"/>
      <c r="ALU142" s="267"/>
      <c r="ALV142" s="267"/>
      <c r="ALW142" s="267"/>
      <c r="ALX142" s="267"/>
      <c r="ALY142" s="267"/>
      <c r="ALZ142" s="267"/>
      <c r="AMA142" s="267"/>
      <c r="AMB142" s="267"/>
      <c r="AMC142" s="267"/>
      <c r="AMD142" s="267"/>
      <c r="AME142" s="267"/>
      <c r="AMF142" s="267"/>
      <c r="AMG142" s="267"/>
      <c r="AMH142" s="267"/>
      <c r="AMI142" s="267"/>
      <c r="AMJ142" s="267"/>
      <c r="AMK142" s="267"/>
      <c r="AML142" s="267"/>
      <c r="AMM142" s="267"/>
      <c r="AMN142" s="267"/>
      <c r="AMO142" s="267"/>
      <c r="AMP142" s="267"/>
      <c r="AMQ142" s="267"/>
      <c r="AMR142" s="267"/>
      <c r="AMS142" s="267"/>
      <c r="AMT142" s="267"/>
      <c r="AMU142" s="267"/>
      <c r="AMV142" s="267"/>
      <c r="AMW142" s="267"/>
      <c r="AMX142" s="267"/>
      <c r="AMY142" s="267"/>
      <c r="AMZ142" s="267"/>
      <c r="ANA142" s="267"/>
      <c r="ANB142" s="267"/>
      <c r="ANC142" s="267"/>
      <c r="AND142" s="267"/>
      <c r="ANE142" s="267"/>
      <c r="ANF142" s="267"/>
      <c r="ANG142" s="267"/>
      <c r="ANH142" s="267"/>
      <c r="ANI142" s="267"/>
      <c r="ANJ142" s="267"/>
      <c r="ANK142" s="267"/>
      <c r="ANL142" s="267"/>
      <c r="ANM142" s="267"/>
      <c r="ANN142" s="267"/>
      <c r="ANO142" s="267"/>
      <c r="ANP142" s="267"/>
      <c r="ANQ142" s="267"/>
      <c r="ANR142" s="267"/>
      <c r="ANS142" s="267"/>
      <c r="ANT142" s="267"/>
      <c r="ANU142" s="267"/>
      <c r="ANV142" s="267"/>
      <c r="ANW142" s="267"/>
      <c r="ANX142" s="267"/>
      <c r="ANY142" s="267"/>
      <c r="ANZ142" s="267"/>
      <c r="AOA142" s="267"/>
      <c r="AOB142" s="267"/>
      <c r="AOC142" s="267"/>
      <c r="AOD142" s="267"/>
      <c r="AOE142" s="267"/>
      <c r="AOF142" s="267"/>
      <c r="AOG142" s="267"/>
      <c r="AOH142" s="267"/>
      <c r="AOI142" s="267"/>
      <c r="AOJ142" s="267"/>
      <c r="AOK142" s="267"/>
      <c r="AOL142" s="267"/>
      <c r="AOM142" s="267"/>
      <c r="AON142" s="267"/>
      <c r="AOO142" s="267"/>
      <c r="AOP142" s="267"/>
      <c r="AOQ142" s="267"/>
      <c r="AOR142" s="267"/>
      <c r="AOS142" s="267"/>
      <c r="AOT142" s="267"/>
      <c r="AOU142" s="267"/>
      <c r="AOV142" s="267"/>
      <c r="AOW142" s="267"/>
      <c r="AOX142" s="267"/>
      <c r="AOY142" s="267"/>
      <c r="AOZ142" s="267"/>
      <c r="APA142" s="267"/>
      <c r="APB142" s="267"/>
      <c r="APC142" s="267"/>
      <c r="APD142" s="267"/>
      <c r="APE142" s="267"/>
      <c r="APF142" s="267"/>
      <c r="APG142" s="267"/>
      <c r="APH142" s="267"/>
      <c r="API142" s="267"/>
      <c r="APJ142" s="267"/>
      <c r="APK142" s="267"/>
      <c r="APL142" s="267"/>
      <c r="APM142" s="267"/>
      <c r="APN142" s="267"/>
      <c r="APO142" s="267"/>
      <c r="APP142" s="267"/>
      <c r="APQ142" s="267"/>
      <c r="APR142" s="267"/>
      <c r="APS142" s="267"/>
      <c r="APT142" s="267"/>
      <c r="APU142" s="267"/>
      <c r="APV142" s="267"/>
      <c r="APW142" s="267"/>
      <c r="APX142" s="267"/>
      <c r="APY142" s="267"/>
      <c r="APZ142" s="267"/>
      <c r="AQA142" s="267"/>
      <c r="AQB142" s="267"/>
      <c r="AQC142" s="267"/>
      <c r="AQD142" s="267"/>
      <c r="AQE142" s="267"/>
      <c r="AQF142" s="267"/>
      <c r="AQG142" s="267"/>
      <c r="AQH142" s="267"/>
      <c r="AQI142" s="267"/>
      <c r="AQJ142" s="267"/>
      <c r="AQK142" s="267"/>
      <c r="AQL142" s="267"/>
      <c r="AQM142" s="267"/>
      <c r="AQN142" s="267"/>
      <c r="AQO142" s="267"/>
      <c r="AQP142" s="267"/>
      <c r="AQQ142" s="267"/>
      <c r="AQR142" s="267"/>
      <c r="AQS142" s="267"/>
      <c r="AQT142" s="267"/>
      <c r="AQU142" s="267"/>
      <c r="AQV142" s="267"/>
      <c r="AQW142" s="267"/>
      <c r="AQX142" s="267"/>
      <c r="AQY142" s="267"/>
      <c r="AQZ142" s="267"/>
      <c r="ARA142" s="267"/>
      <c r="ARB142" s="267"/>
      <c r="ARC142" s="267"/>
      <c r="ARD142" s="267"/>
      <c r="ARE142" s="267"/>
      <c r="ARF142" s="267"/>
      <c r="ARG142" s="267"/>
      <c r="ARH142" s="267"/>
      <c r="ARI142" s="267"/>
      <c r="ARJ142" s="267"/>
      <c r="ARK142" s="267"/>
      <c r="ARL142" s="267"/>
      <c r="ARM142" s="267"/>
      <c r="ARN142" s="267"/>
      <c r="ARO142" s="267"/>
      <c r="ARP142" s="267"/>
      <c r="ARQ142" s="267"/>
      <c r="ARR142" s="267"/>
      <c r="ARS142" s="267"/>
      <c r="ART142" s="267"/>
      <c r="ARU142" s="267"/>
      <c r="ARV142" s="267"/>
      <c r="ARW142" s="267"/>
      <c r="ARX142" s="267"/>
      <c r="ARY142" s="267"/>
      <c r="ARZ142" s="267"/>
      <c r="ASA142" s="267"/>
      <c r="ASB142" s="267"/>
      <c r="ASC142" s="267"/>
      <c r="ASD142" s="267"/>
      <c r="ASE142" s="267"/>
      <c r="ASF142" s="267"/>
      <c r="ASG142" s="267"/>
      <c r="ASH142" s="267"/>
      <c r="ASI142" s="267"/>
      <c r="ASJ142" s="267"/>
      <c r="ASK142" s="267"/>
      <c r="ASL142" s="267"/>
      <c r="ASM142" s="267"/>
      <c r="ASN142" s="267"/>
      <c r="ASO142" s="267"/>
      <c r="ASP142" s="267"/>
      <c r="ASQ142" s="267"/>
      <c r="ASR142" s="267"/>
      <c r="ASS142" s="267"/>
      <c r="AST142" s="267"/>
      <c r="ASU142" s="267"/>
      <c r="ASV142" s="267"/>
      <c r="ASW142" s="267"/>
      <c r="ASX142" s="267"/>
      <c r="ASY142" s="267"/>
      <c r="ASZ142" s="267"/>
      <c r="ATA142" s="267"/>
      <c r="ATB142" s="267"/>
      <c r="ATC142" s="267"/>
      <c r="ATD142" s="267"/>
      <c r="ATE142" s="267"/>
      <c r="ATF142" s="267"/>
      <c r="ATG142" s="267"/>
      <c r="ATH142" s="267"/>
      <c r="ATI142" s="267"/>
      <c r="ATJ142" s="267"/>
      <c r="ATK142" s="267"/>
      <c r="ATL142" s="267"/>
      <c r="ATM142" s="267"/>
      <c r="ATN142" s="267"/>
      <c r="ATO142" s="267"/>
      <c r="ATP142" s="267"/>
      <c r="ATQ142" s="267"/>
      <c r="ATR142" s="267"/>
      <c r="ATS142" s="267"/>
      <c r="ATT142" s="267"/>
      <c r="ATU142" s="267"/>
      <c r="ATV142" s="267"/>
      <c r="ATW142" s="267"/>
      <c r="ATX142" s="267"/>
      <c r="ATY142" s="267"/>
      <c r="ATZ142" s="267"/>
      <c r="AUA142" s="267"/>
      <c r="AUB142" s="267"/>
      <c r="AUC142" s="267"/>
      <c r="AUD142" s="267"/>
      <c r="AUE142" s="267"/>
      <c r="AUF142" s="267"/>
      <c r="AUG142" s="267"/>
      <c r="AUH142" s="267"/>
      <c r="AUI142" s="267"/>
      <c r="AUJ142" s="267"/>
      <c r="AUK142" s="267"/>
      <c r="AUL142" s="267"/>
      <c r="AUM142" s="267"/>
      <c r="AUN142" s="267"/>
      <c r="AUO142" s="267"/>
      <c r="AUP142" s="267"/>
      <c r="AUQ142" s="267"/>
      <c r="AUR142" s="267"/>
      <c r="AUS142" s="267"/>
      <c r="AUT142" s="267"/>
      <c r="AUU142" s="267"/>
      <c r="AUV142" s="267"/>
      <c r="AUW142" s="267"/>
      <c r="AUX142" s="267"/>
      <c r="AUY142" s="267"/>
      <c r="AUZ142" s="267"/>
      <c r="AVA142" s="267"/>
      <c r="AVB142" s="267"/>
      <c r="AVC142" s="267"/>
      <c r="AVD142" s="267"/>
      <c r="AVE142" s="267"/>
      <c r="AVF142" s="267"/>
      <c r="AVG142" s="267"/>
      <c r="AVH142" s="267"/>
      <c r="AVI142" s="267"/>
      <c r="AVJ142" s="267"/>
      <c r="AVK142" s="267"/>
      <c r="AVL142" s="267"/>
      <c r="AVM142" s="267"/>
      <c r="AVN142" s="267"/>
      <c r="AVO142" s="267"/>
      <c r="AVP142" s="267"/>
      <c r="AVQ142" s="267"/>
      <c r="AVR142" s="267"/>
      <c r="AVS142" s="267"/>
      <c r="AVT142" s="267"/>
      <c r="AVU142" s="267"/>
      <c r="AVV142" s="267"/>
      <c r="AVW142" s="267"/>
      <c r="AVX142" s="267"/>
      <c r="AVY142" s="267"/>
      <c r="AVZ142" s="267"/>
      <c r="AWA142" s="267"/>
      <c r="AWB142" s="267"/>
      <c r="AWC142" s="267"/>
      <c r="AWD142" s="267"/>
      <c r="AWE142" s="267"/>
      <c r="AWF142" s="267"/>
      <c r="AWG142" s="267"/>
      <c r="AWH142" s="267"/>
      <c r="AWI142" s="267"/>
      <c r="AWJ142" s="267"/>
      <c r="AWK142" s="267"/>
      <c r="AWL142" s="267"/>
      <c r="AWM142" s="267"/>
      <c r="AWN142" s="267"/>
      <c r="AWO142" s="267"/>
      <c r="AWP142" s="267"/>
      <c r="AWQ142" s="267"/>
      <c r="AWR142" s="267"/>
      <c r="AWS142" s="267"/>
      <c r="AWT142" s="267"/>
      <c r="AWU142" s="267"/>
      <c r="AWV142" s="267"/>
      <c r="AWW142" s="267"/>
      <c r="AWX142" s="267"/>
      <c r="AWY142" s="267"/>
      <c r="AWZ142" s="267"/>
      <c r="AXA142" s="267"/>
      <c r="AXB142" s="267"/>
      <c r="AXC142" s="267"/>
      <c r="AXD142" s="267"/>
      <c r="AXE142" s="267"/>
      <c r="AXF142" s="267"/>
      <c r="AXG142" s="267"/>
      <c r="AXH142" s="267"/>
      <c r="AXI142" s="267"/>
      <c r="AXJ142" s="267"/>
      <c r="AXK142" s="267"/>
      <c r="AXL142" s="267"/>
      <c r="AXM142" s="267"/>
      <c r="AXN142" s="267"/>
      <c r="AXO142" s="267"/>
      <c r="AXP142" s="267"/>
      <c r="AXQ142" s="267"/>
      <c r="AXR142" s="267"/>
      <c r="AXS142" s="267"/>
      <c r="AXT142" s="267"/>
      <c r="AXU142" s="267"/>
      <c r="AXV142" s="267"/>
      <c r="AXW142" s="267"/>
      <c r="AXX142" s="267"/>
      <c r="AXY142" s="267"/>
      <c r="AXZ142" s="267"/>
      <c r="AYA142" s="267"/>
      <c r="AYB142" s="267"/>
      <c r="AYC142" s="267"/>
      <c r="AYD142" s="267"/>
      <c r="AYE142" s="267"/>
      <c r="AYF142" s="267"/>
      <c r="AYG142" s="267"/>
      <c r="AYH142" s="267"/>
      <c r="AYI142" s="267"/>
      <c r="AYJ142" s="267"/>
      <c r="AYK142" s="267"/>
      <c r="AYL142" s="267"/>
      <c r="AYM142" s="267"/>
      <c r="AYN142" s="267"/>
      <c r="AYO142" s="267"/>
      <c r="AYP142" s="267"/>
      <c r="AYQ142" s="267"/>
      <c r="AYR142" s="267"/>
      <c r="AYS142" s="267"/>
      <c r="AYT142" s="267"/>
      <c r="AYU142" s="267"/>
      <c r="AYV142" s="267"/>
      <c r="AYW142" s="267"/>
      <c r="AYX142" s="267"/>
      <c r="AYY142" s="267"/>
      <c r="AYZ142" s="267"/>
      <c r="AZA142" s="267"/>
      <c r="AZB142" s="267"/>
      <c r="AZC142" s="267"/>
      <c r="AZD142" s="267"/>
      <c r="AZE142" s="267"/>
      <c r="AZF142" s="267"/>
      <c r="AZG142" s="267"/>
      <c r="AZH142" s="267"/>
      <c r="AZI142" s="267"/>
      <c r="AZJ142" s="267"/>
      <c r="AZK142" s="267"/>
      <c r="AZL142" s="267"/>
      <c r="AZM142" s="267"/>
      <c r="AZN142" s="267"/>
      <c r="AZO142" s="267"/>
      <c r="AZP142" s="267"/>
      <c r="AZQ142" s="267"/>
      <c r="AZR142" s="267"/>
      <c r="AZS142" s="267"/>
      <c r="AZT142" s="267"/>
      <c r="AZU142" s="267"/>
      <c r="AZV142" s="267"/>
      <c r="AZW142" s="267"/>
      <c r="AZX142" s="267"/>
      <c r="AZY142" s="267"/>
      <c r="AZZ142" s="267"/>
      <c r="BAA142" s="267"/>
      <c r="BAB142" s="267"/>
      <c r="BAC142" s="267"/>
      <c r="BAD142" s="267"/>
      <c r="BAE142" s="267"/>
      <c r="BAF142" s="267"/>
      <c r="BAG142" s="267"/>
      <c r="BAH142" s="267"/>
      <c r="BAI142" s="267"/>
      <c r="BAJ142" s="267"/>
      <c r="BAK142" s="267"/>
      <c r="BAL142" s="267"/>
      <c r="BAM142" s="267"/>
      <c r="BAN142" s="267"/>
      <c r="BAO142" s="267"/>
      <c r="BAP142" s="267"/>
      <c r="BAQ142" s="267"/>
      <c r="BAR142" s="267"/>
      <c r="BAS142" s="267"/>
      <c r="BAT142" s="267"/>
      <c r="BAU142" s="267"/>
      <c r="BAV142" s="267"/>
      <c r="BAW142" s="267"/>
      <c r="BAX142" s="267"/>
      <c r="BAY142" s="267"/>
      <c r="BAZ142" s="267"/>
      <c r="BBA142" s="267"/>
      <c r="BBB142" s="267"/>
      <c r="BBC142" s="267"/>
      <c r="BBD142" s="267"/>
      <c r="BBE142" s="267"/>
      <c r="BBF142" s="267"/>
      <c r="BBG142" s="267"/>
      <c r="BBH142" s="267"/>
      <c r="BBI142" s="267"/>
      <c r="BBJ142" s="267"/>
      <c r="BBK142" s="267"/>
      <c r="BBL142" s="267"/>
      <c r="BBM142" s="267"/>
      <c r="BBN142" s="267"/>
      <c r="BBO142" s="267"/>
      <c r="BBP142" s="267"/>
      <c r="BBQ142" s="267"/>
      <c r="BBR142" s="267"/>
      <c r="BBS142" s="267"/>
      <c r="BBT142" s="267"/>
      <c r="BBU142" s="267"/>
      <c r="BBV142" s="267"/>
      <c r="BBW142" s="267"/>
      <c r="BBX142" s="267"/>
      <c r="BBY142" s="267"/>
      <c r="BBZ142" s="267"/>
      <c r="BCA142" s="267"/>
      <c r="BCB142" s="267"/>
      <c r="BCC142" s="267"/>
      <c r="BCD142" s="267"/>
      <c r="BCE142" s="267"/>
      <c r="BCF142" s="267"/>
      <c r="BCG142" s="267"/>
      <c r="BCH142" s="267"/>
      <c r="BCI142" s="267"/>
      <c r="BCJ142" s="267"/>
      <c r="BCK142" s="267"/>
      <c r="BCL142" s="267"/>
      <c r="BCM142" s="267"/>
      <c r="BCN142" s="267"/>
      <c r="BCO142" s="267"/>
      <c r="BCP142" s="267"/>
      <c r="BCQ142" s="267"/>
      <c r="BCR142" s="267"/>
      <c r="BCS142" s="267"/>
      <c r="BCT142" s="267"/>
      <c r="BCU142" s="267"/>
      <c r="BCV142" s="267"/>
      <c r="BCW142" s="267"/>
      <c r="BCX142" s="267"/>
      <c r="BCY142" s="267"/>
      <c r="BCZ142" s="267"/>
      <c r="BDA142" s="267"/>
      <c r="BDB142" s="267"/>
      <c r="BDC142" s="267"/>
      <c r="BDD142" s="267"/>
      <c r="BDE142" s="267"/>
      <c r="BDF142" s="267"/>
      <c r="BDG142" s="267"/>
      <c r="BDH142" s="267"/>
      <c r="BDI142" s="267"/>
      <c r="BDJ142" s="267"/>
      <c r="BDK142" s="267"/>
      <c r="BDL142" s="267"/>
      <c r="BDM142" s="267"/>
      <c r="BDN142" s="267"/>
      <c r="BDO142" s="267"/>
      <c r="BDP142" s="267"/>
      <c r="BDQ142" s="267"/>
      <c r="BDR142" s="267"/>
      <c r="BDS142" s="267"/>
      <c r="BDT142" s="267"/>
      <c r="BDU142" s="267"/>
      <c r="BDV142" s="267"/>
      <c r="BDW142" s="267"/>
      <c r="BDX142" s="267"/>
      <c r="BDY142" s="267"/>
      <c r="BDZ142" s="267"/>
      <c r="BEA142" s="267"/>
      <c r="BEB142" s="267"/>
      <c r="BEC142" s="267"/>
      <c r="BED142" s="267"/>
      <c r="BEE142" s="267"/>
      <c r="BEF142" s="267"/>
      <c r="BEG142" s="267"/>
      <c r="BEH142" s="267"/>
      <c r="BEI142" s="267"/>
      <c r="BEJ142" s="267"/>
      <c r="BEK142" s="267"/>
      <c r="BEL142" s="267"/>
      <c r="BEM142" s="267"/>
      <c r="BEN142" s="267"/>
      <c r="BEO142" s="267"/>
      <c r="BEP142" s="267"/>
      <c r="BEQ142" s="267"/>
      <c r="BER142" s="267"/>
      <c r="BES142" s="267"/>
      <c r="BET142" s="267"/>
      <c r="BEU142" s="267"/>
      <c r="BEV142" s="267"/>
      <c r="BEW142" s="267"/>
      <c r="BEX142" s="267"/>
      <c r="BEY142" s="267"/>
      <c r="BEZ142" s="267"/>
      <c r="BFA142" s="267"/>
      <c r="BFB142" s="267"/>
      <c r="BFC142" s="267"/>
      <c r="BFD142" s="267"/>
      <c r="BFE142" s="267"/>
      <c r="BFF142" s="267"/>
      <c r="BFG142" s="267"/>
      <c r="BFH142" s="267"/>
      <c r="BFI142" s="267"/>
      <c r="BFJ142" s="267"/>
      <c r="BFK142" s="267"/>
      <c r="BFL142" s="267"/>
      <c r="BFM142" s="267"/>
      <c r="BFN142" s="267"/>
      <c r="BFO142" s="267"/>
      <c r="BFP142" s="267"/>
      <c r="BFQ142" s="267"/>
      <c r="BFR142" s="267"/>
      <c r="BFS142" s="267"/>
      <c r="BFT142" s="267"/>
      <c r="BFU142" s="267"/>
      <c r="BFV142" s="267"/>
      <c r="BFW142" s="267"/>
      <c r="BFX142" s="267"/>
      <c r="BFY142" s="267"/>
      <c r="BFZ142" s="267"/>
      <c r="BGA142" s="267"/>
      <c r="BGB142" s="267"/>
      <c r="BGC142" s="267"/>
      <c r="BGD142" s="267"/>
      <c r="BGE142" s="267"/>
      <c r="BGF142" s="267"/>
      <c r="BGG142" s="267"/>
      <c r="BGH142" s="267"/>
      <c r="BGI142" s="267"/>
      <c r="BGJ142" s="267"/>
      <c r="BGK142" s="267"/>
      <c r="BGL142" s="267"/>
      <c r="BGM142" s="267"/>
      <c r="BGN142" s="267"/>
      <c r="BGO142" s="267"/>
      <c r="BGP142" s="267"/>
      <c r="BGQ142" s="267"/>
      <c r="BGR142" s="267"/>
      <c r="BGS142" s="267"/>
      <c r="BGT142" s="267"/>
      <c r="BGU142" s="267"/>
      <c r="BGV142" s="267"/>
      <c r="BGW142" s="267"/>
      <c r="BGX142" s="267"/>
      <c r="BGY142" s="267"/>
      <c r="BGZ142" s="267"/>
      <c r="BHA142" s="267"/>
      <c r="BHB142" s="267"/>
      <c r="BHC142" s="267"/>
      <c r="BHD142" s="267"/>
      <c r="BHE142" s="267"/>
      <c r="BHF142" s="267"/>
      <c r="BHG142" s="267"/>
      <c r="BHH142" s="267"/>
      <c r="BHI142" s="267"/>
      <c r="BHJ142" s="267"/>
      <c r="BHK142" s="267"/>
      <c r="BHL142" s="267"/>
      <c r="BHM142" s="267"/>
      <c r="BHN142" s="267"/>
      <c r="BHO142" s="267"/>
      <c r="BHP142" s="267"/>
      <c r="BHQ142" s="267"/>
      <c r="BHR142" s="267"/>
      <c r="BHS142" s="267"/>
      <c r="BHT142" s="267"/>
      <c r="BHU142" s="267"/>
      <c r="BHV142" s="267"/>
      <c r="BHW142" s="267"/>
      <c r="BHX142" s="267"/>
      <c r="BHY142" s="267"/>
      <c r="BHZ142" s="267"/>
      <c r="BIA142" s="267"/>
      <c r="BIB142" s="267"/>
      <c r="BIC142" s="267"/>
      <c r="BID142" s="267"/>
      <c r="BIE142" s="267"/>
      <c r="BIF142" s="267"/>
      <c r="BIG142" s="267"/>
      <c r="BIH142" s="267"/>
      <c r="BII142" s="267"/>
      <c r="BIJ142" s="267"/>
      <c r="BIK142" s="267"/>
      <c r="BIL142" s="267"/>
      <c r="BIM142" s="267"/>
      <c r="BIN142" s="267"/>
      <c r="BIO142" s="267"/>
      <c r="BIP142" s="267"/>
      <c r="BIQ142" s="267"/>
      <c r="BIR142" s="267"/>
      <c r="BIS142" s="267"/>
      <c r="BIT142" s="267"/>
      <c r="BIU142" s="267"/>
      <c r="BIV142" s="267"/>
      <c r="BIW142" s="267"/>
      <c r="BIX142" s="267"/>
      <c r="BIY142" s="267"/>
      <c r="BIZ142" s="267"/>
      <c r="BJA142" s="267"/>
      <c r="BJB142" s="267"/>
      <c r="BJC142" s="267"/>
      <c r="BJD142" s="267"/>
      <c r="BJE142" s="267"/>
      <c r="BJF142" s="267"/>
      <c r="BJG142" s="267"/>
      <c r="BJH142" s="267"/>
      <c r="BJI142" s="267"/>
      <c r="BJJ142" s="267"/>
      <c r="BJK142" s="267"/>
      <c r="BJL142" s="267"/>
      <c r="BJM142" s="267"/>
      <c r="BJN142" s="267"/>
      <c r="BJO142" s="267"/>
      <c r="BJP142" s="267"/>
      <c r="BJQ142" s="267"/>
      <c r="BJR142" s="267"/>
      <c r="BJS142" s="267"/>
      <c r="BJT142" s="267"/>
      <c r="BJU142" s="267"/>
      <c r="BJV142" s="267"/>
      <c r="BJW142" s="267"/>
      <c r="BJX142" s="267"/>
      <c r="BJY142" s="267"/>
      <c r="BJZ142" s="267"/>
      <c r="BKA142" s="267"/>
      <c r="BKB142" s="267"/>
      <c r="BKC142" s="267"/>
      <c r="BKD142" s="267"/>
      <c r="BKE142" s="267"/>
      <c r="BKF142" s="267"/>
      <c r="BKG142" s="267"/>
      <c r="BKH142" s="267"/>
      <c r="BKI142" s="267"/>
      <c r="BKJ142" s="267"/>
      <c r="BKK142" s="267"/>
      <c r="BKL142" s="267"/>
      <c r="BKM142" s="267"/>
      <c r="BKN142" s="267"/>
      <c r="BKO142" s="267"/>
      <c r="BKP142" s="267"/>
      <c r="BKQ142" s="267"/>
      <c r="BKR142" s="267"/>
      <c r="BKS142" s="267"/>
      <c r="BKT142" s="267"/>
      <c r="BKU142" s="267"/>
      <c r="BKV142" s="267"/>
      <c r="BKW142" s="267"/>
      <c r="BKX142" s="267"/>
      <c r="BKY142" s="267"/>
      <c r="BKZ142" s="267"/>
      <c r="BLA142" s="267"/>
      <c r="BLB142" s="267"/>
      <c r="BLC142" s="267"/>
      <c r="BLD142" s="267"/>
      <c r="BLE142" s="267"/>
      <c r="BLF142" s="267"/>
      <c r="BLG142" s="267"/>
      <c r="BLH142" s="267"/>
      <c r="BLI142" s="267"/>
      <c r="BLJ142" s="267"/>
      <c r="BLK142" s="267"/>
      <c r="BLL142" s="267"/>
      <c r="BLM142" s="267"/>
      <c r="BLN142" s="267"/>
      <c r="BLO142" s="267"/>
      <c r="BLP142" s="267"/>
      <c r="BLQ142" s="267"/>
      <c r="BLR142" s="267"/>
      <c r="BLS142" s="267"/>
      <c r="BLT142" s="267"/>
      <c r="BLU142" s="267"/>
      <c r="BLV142" s="267"/>
      <c r="BLW142" s="267"/>
      <c r="BLX142" s="267"/>
      <c r="BLY142" s="267"/>
      <c r="BLZ142" s="267"/>
      <c r="BMA142" s="267"/>
      <c r="BMB142" s="267"/>
      <c r="BMC142" s="267"/>
      <c r="BMD142" s="267"/>
      <c r="BME142" s="267"/>
      <c r="BMF142" s="267"/>
      <c r="BMG142" s="267"/>
      <c r="BMH142" s="267"/>
      <c r="BMI142" s="267"/>
      <c r="BMJ142" s="267"/>
      <c r="BMK142" s="267"/>
      <c r="BML142" s="267"/>
      <c r="BMM142" s="267"/>
      <c r="BMN142" s="267"/>
      <c r="BMO142" s="267"/>
      <c r="BMP142" s="267"/>
      <c r="BMQ142" s="267"/>
      <c r="BMR142" s="267"/>
      <c r="BMS142" s="267"/>
      <c r="BMT142" s="267"/>
      <c r="BMU142" s="267"/>
      <c r="BMV142" s="267"/>
      <c r="BMW142" s="267"/>
      <c r="BMX142" s="267"/>
      <c r="BMY142" s="267"/>
      <c r="BMZ142" s="267"/>
      <c r="BNA142" s="267"/>
      <c r="BNB142" s="267"/>
      <c r="BNC142" s="267"/>
      <c r="BND142" s="267"/>
      <c r="BNE142" s="267"/>
      <c r="BNF142" s="267"/>
      <c r="BNG142" s="267"/>
      <c r="BNH142" s="267"/>
      <c r="BNI142" s="267"/>
      <c r="BNJ142" s="267"/>
      <c r="BNK142" s="267"/>
      <c r="BNL142" s="267"/>
      <c r="BNM142" s="267"/>
      <c r="BNN142" s="267"/>
      <c r="BNO142" s="267"/>
      <c r="BNP142" s="267"/>
      <c r="BNQ142" s="267"/>
      <c r="BNR142" s="267"/>
      <c r="BNS142" s="267"/>
      <c r="BNT142" s="267"/>
      <c r="BNU142" s="267"/>
      <c r="BNV142" s="267"/>
      <c r="BNW142" s="267"/>
      <c r="BNX142" s="267"/>
      <c r="BNY142" s="267"/>
      <c r="BNZ142" s="267"/>
      <c r="BOA142" s="267"/>
      <c r="BOB142" s="267"/>
      <c r="BOC142" s="267"/>
      <c r="BOD142" s="267"/>
      <c r="BOE142" s="267"/>
      <c r="BOF142" s="267"/>
      <c r="BOG142" s="267"/>
      <c r="BOH142" s="267"/>
      <c r="BOI142" s="267"/>
      <c r="BOJ142" s="267"/>
      <c r="BOK142" s="267"/>
      <c r="BOL142" s="267"/>
      <c r="BOM142" s="267"/>
      <c r="BON142" s="267"/>
      <c r="BOO142" s="267"/>
      <c r="BOP142" s="267"/>
      <c r="BOQ142" s="267"/>
      <c r="BOR142" s="267"/>
      <c r="BOS142" s="267"/>
      <c r="BOT142" s="267"/>
      <c r="BOU142" s="267"/>
      <c r="BOV142" s="267"/>
      <c r="BOW142" s="267"/>
      <c r="BOX142" s="267"/>
      <c r="BOY142" s="267"/>
      <c r="BOZ142" s="267"/>
      <c r="BPA142" s="267"/>
      <c r="BPB142" s="267"/>
      <c r="BPC142" s="267"/>
      <c r="BPD142" s="267"/>
      <c r="BPE142" s="267"/>
      <c r="BPF142" s="267"/>
      <c r="BPG142" s="267"/>
      <c r="BPH142" s="267"/>
      <c r="BPI142" s="267"/>
      <c r="BPJ142" s="267"/>
      <c r="BPK142" s="267"/>
      <c r="BPL142" s="267"/>
      <c r="BPM142" s="267"/>
      <c r="BPN142" s="267"/>
      <c r="BPO142" s="267"/>
      <c r="BPP142" s="267"/>
      <c r="BPQ142" s="267"/>
      <c r="BPR142" s="267"/>
      <c r="BPS142" s="267"/>
      <c r="BPT142" s="267"/>
      <c r="BPU142" s="267"/>
      <c r="BPV142" s="267"/>
      <c r="BPW142" s="267"/>
      <c r="BPX142" s="267"/>
      <c r="BPY142" s="267"/>
      <c r="BPZ142" s="267"/>
      <c r="BQA142" s="267"/>
      <c r="BQB142" s="267"/>
      <c r="BQC142" s="267"/>
      <c r="BQD142" s="267"/>
      <c r="BQE142" s="267"/>
      <c r="BQF142" s="267"/>
      <c r="BQG142" s="267"/>
      <c r="BQH142" s="267"/>
      <c r="BQI142" s="267"/>
      <c r="BQJ142" s="267"/>
      <c r="BQK142" s="267"/>
      <c r="BQL142" s="267"/>
      <c r="BQM142" s="267"/>
      <c r="BQN142" s="267"/>
      <c r="BQO142" s="267"/>
      <c r="BQP142" s="267"/>
      <c r="BQQ142" s="267"/>
      <c r="BQR142" s="267"/>
      <c r="BQS142" s="267"/>
      <c r="BQT142" s="267"/>
      <c r="BQU142" s="267"/>
      <c r="BQV142" s="267"/>
      <c r="BQW142" s="267"/>
      <c r="BQX142" s="267"/>
      <c r="BQY142" s="267"/>
      <c r="BQZ142" s="267"/>
      <c r="BRA142" s="267"/>
      <c r="BRB142" s="267"/>
      <c r="BRC142" s="267"/>
      <c r="BRD142" s="267"/>
      <c r="BRE142" s="267"/>
      <c r="BRF142" s="267"/>
      <c r="BRG142" s="267"/>
      <c r="BRH142" s="267"/>
      <c r="BRI142" s="267"/>
      <c r="BRJ142" s="267"/>
      <c r="BRK142" s="267"/>
      <c r="BRL142" s="267"/>
      <c r="BRM142" s="267"/>
      <c r="BRN142" s="267"/>
      <c r="BRO142" s="267"/>
      <c r="BRP142" s="267"/>
      <c r="BRQ142" s="267"/>
      <c r="BRR142" s="267"/>
      <c r="BRS142" s="267"/>
      <c r="BRT142" s="267"/>
      <c r="BRU142" s="267"/>
      <c r="BRV142" s="267"/>
      <c r="BRW142" s="267"/>
      <c r="BRX142" s="267"/>
      <c r="BRY142" s="267"/>
      <c r="BRZ142" s="267"/>
      <c r="BSA142" s="267"/>
      <c r="BSB142" s="267"/>
      <c r="BSC142" s="267"/>
      <c r="BSD142" s="267"/>
      <c r="BSE142" s="267"/>
      <c r="BSF142" s="267"/>
      <c r="BSG142" s="267"/>
      <c r="BSH142" s="267"/>
      <c r="BSI142" s="267"/>
      <c r="BSJ142" s="267"/>
      <c r="BSK142" s="267"/>
      <c r="BSL142" s="267"/>
      <c r="BSM142" s="267"/>
      <c r="BSN142" s="267"/>
      <c r="BSO142" s="267"/>
      <c r="BSP142" s="267"/>
      <c r="BSQ142" s="267"/>
      <c r="BSR142" s="267"/>
      <c r="BSS142" s="267"/>
      <c r="BST142" s="267"/>
      <c r="BSU142" s="267"/>
      <c r="BSV142" s="267"/>
      <c r="BSW142" s="267"/>
      <c r="BSX142" s="267"/>
      <c r="BSY142" s="267"/>
      <c r="BSZ142" s="267"/>
      <c r="BTA142" s="267"/>
      <c r="BTB142" s="267"/>
      <c r="BTC142" s="267"/>
      <c r="BTD142" s="267"/>
      <c r="BTE142" s="267"/>
      <c r="BTF142" s="267"/>
      <c r="BTG142" s="267"/>
      <c r="BTH142" s="267"/>
      <c r="BTI142" s="267"/>
      <c r="BTJ142" s="267"/>
      <c r="BTK142" s="267"/>
      <c r="BTL142" s="267"/>
      <c r="BTM142" s="267"/>
      <c r="BTN142" s="267"/>
      <c r="BTO142" s="267"/>
      <c r="BTP142" s="267"/>
      <c r="BTQ142" s="267"/>
      <c r="BTR142" s="267"/>
      <c r="BTS142" s="267"/>
      <c r="BTT142" s="267"/>
      <c r="BTU142" s="267"/>
      <c r="BTV142" s="267"/>
      <c r="BTW142" s="267"/>
      <c r="BTX142" s="267"/>
      <c r="BTY142" s="267"/>
      <c r="BTZ142" s="267"/>
      <c r="BUA142" s="267"/>
      <c r="BUB142" s="267"/>
      <c r="BUC142" s="267"/>
      <c r="BUD142" s="267"/>
      <c r="BUE142" s="267"/>
      <c r="BUF142" s="267"/>
      <c r="BUG142" s="267"/>
      <c r="BUH142" s="267"/>
      <c r="BUI142" s="267"/>
      <c r="BUJ142" s="267"/>
      <c r="BUK142" s="267"/>
      <c r="BUL142" s="267"/>
      <c r="BUM142" s="267"/>
      <c r="BUN142" s="267"/>
      <c r="BUO142" s="267"/>
      <c r="BUP142" s="267"/>
      <c r="BUQ142" s="267"/>
      <c r="BUR142" s="267"/>
      <c r="BUS142" s="267"/>
      <c r="BUT142" s="267"/>
      <c r="BUU142" s="267"/>
      <c r="BUV142" s="267"/>
      <c r="BUW142" s="267"/>
      <c r="BUX142" s="267"/>
      <c r="BUY142" s="267"/>
      <c r="BUZ142" s="267"/>
      <c r="BVA142" s="267"/>
      <c r="BVB142" s="267"/>
      <c r="BVC142" s="267"/>
      <c r="BVD142" s="267"/>
      <c r="BVE142" s="267"/>
      <c r="BVF142" s="267"/>
      <c r="BVG142" s="267"/>
      <c r="BVH142" s="267"/>
      <c r="BVI142" s="267"/>
      <c r="BVJ142" s="267"/>
      <c r="BVK142" s="267"/>
      <c r="BVL142" s="267"/>
      <c r="BVM142" s="267"/>
      <c r="BVN142" s="267"/>
      <c r="BVO142" s="267"/>
      <c r="BVP142" s="267"/>
      <c r="BVQ142" s="267"/>
      <c r="BVR142" s="267"/>
      <c r="BVS142" s="267"/>
      <c r="BVT142" s="267"/>
      <c r="BVU142" s="267"/>
      <c r="BVV142" s="267"/>
      <c r="BVW142" s="267"/>
      <c r="BVX142" s="267"/>
      <c r="BVY142" s="267"/>
      <c r="BVZ142" s="267"/>
      <c r="BWA142" s="267"/>
      <c r="BWB142" s="267"/>
      <c r="BWC142" s="267"/>
      <c r="BWD142" s="267"/>
      <c r="BWE142" s="267"/>
      <c r="BWF142" s="267"/>
      <c r="BWG142" s="267"/>
      <c r="BWH142" s="267"/>
      <c r="BWI142" s="267"/>
      <c r="BWJ142" s="267"/>
      <c r="BWK142" s="267"/>
      <c r="BWL142" s="267"/>
      <c r="BWM142" s="267"/>
      <c r="BWN142" s="267"/>
      <c r="BWO142" s="267"/>
      <c r="BWP142" s="267"/>
      <c r="BWQ142" s="267"/>
      <c r="BWR142" s="267"/>
      <c r="BWS142" s="267"/>
      <c r="BWT142" s="267"/>
      <c r="BWU142" s="267"/>
      <c r="BWV142" s="267"/>
      <c r="BWW142" s="267"/>
      <c r="BWX142" s="267"/>
      <c r="BWY142" s="267"/>
      <c r="BWZ142" s="267"/>
      <c r="BXA142" s="267"/>
      <c r="BXB142" s="267"/>
      <c r="BXC142" s="267"/>
      <c r="BXD142" s="267"/>
      <c r="BXE142" s="267"/>
      <c r="BXF142" s="267"/>
      <c r="BXG142" s="267"/>
      <c r="BXH142" s="267"/>
      <c r="BXI142" s="267"/>
      <c r="BXJ142" s="267"/>
      <c r="BXK142" s="267"/>
      <c r="BXL142" s="267"/>
      <c r="BXM142" s="267"/>
      <c r="BXN142" s="267"/>
      <c r="BXO142" s="267"/>
      <c r="BXP142" s="267"/>
      <c r="BXQ142" s="267"/>
      <c r="BXR142" s="267"/>
      <c r="BXS142" s="267"/>
      <c r="BXT142" s="267"/>
      <c r="BXU142" s="267"/>
      <c r="BXV142" s="267"/>
      <c r="BXW142" s="267"/>
      <c r="BXX142" s="267"/>
      <c r="BXY142" s="267"/>
      <c r="BXZ142" s="267"/>
      <c r="BYA142" s="267"/>
      <c r="BYB142" s="267"/>
      <c r="BYC142" s="267"/>
      <c r="BYD142" s="267"/>
      <c r="BYE142" s="267"/>
      <c r="BYF142" s="267"/>
      <c r="BYG142" s="267"/>
      <c r="BYH142" s="267"/>
      <c r="BYI142" s="267"/>
      <c r="BYJ142" s="267"/>
      <c r="BYK142" s="267"/>
      <c r="BYL142" s="267"/>
      <c r="BYM142" s="267"/>
      <c r="BYN142" s="267"/>
      <c r="BYO142" s="267"/>
      <c r="BYP142" s="267"/>
      <c r="BYQ142" s="267"/>
      <c r="BYR142" s="267"/>
      <c r="BYS142" s="267"/>
      <c r="BYT142" s="267"/>
      <c r="BYU142" s="267"/>
      <c r="BYV142" s="267"/>
      <c r="BYW142" s="267"/>
      <c r="BYX142" s="267"/>
      <c r="BYY142" s="267"/>
      <c r="BYZ142" s="267"/>
      <c r="BZA142" s="267"/>
      <c r="BZB142" s="267"/>
      <c r="BZC142" s="267"/>
      <c r="BZD142" s="267"/>
      <c r="BZE142" s="267"/>
      <c r="BZF142" s="267"/>
      <c r="BZG142" s="267"/>
      <c r="BZH142" s="267"/>
      <c r="BZI142" s="267"/>
      <c r="BZJ142" s="267"/>
      <c r="BZK142" s="267"/>
      <c r="BZL142" s="267"/>
      <c r="BZM142" s="267"/>
      <c r="BZN142" s="267"/>
      <c r="BZO142" s="267"/>
      <c r="BZP142" s="267"/>
      <c r="BZQ142" s="267"/>
      <c r="BZR142" s="267"/>
      <c r="BZS142" s="267"/>
      <c r="BZT142" s="267"/>
      <c r="BZU142" s="267"/>
      <c r="BZV142" s="267"/>
      <c r="BZW142" s="267"/>
      <c r="BZX142" s="267"/>
      <c r="BZY142" s="267"/>
      <c r="BZZ142" s="267"/>
      <c r="CAA142" s="267"/>
      <c r="CAB142" s="267"/>
      <c r="CAC142" s="267"/>
      <c r="CAD142" s="267"/>
      <c r="CAE142" s="267"/>
      <c r="CAF142" s="267"/>
      <c r="CAG142" s="267"/>
      <c r="CAH142" s="267"/>
      <c r="CAI142" s="267"/>
      <c r="CAJ142" s="267"/>
      <c r="CAK142" s="267"/>
      <c r="CAL142" s="267"/>
      <c r="CAM142" s="267"/>
      <c r="CAN142" s="267"/>
      <c r="CAO142" s="267"/>
      <c r="CAP142" s="267"/>
      <c r="CAQ142" s="267"/>
      <c r="CAR142" s="267"/>
      <c r="CAS142" s="267"/>
      <c r="CAT142" s="267"/>
      <c r="CAU142" s="267"/>
      <c r="CAV142" s="267"/>
      <c r="CAW142" s="267"/>
      <c r="CAX142" s="267"/>
      <c r="CAY142" s="267"/>
      <c r="CAZ142" s="267"/>
      <c r="CBA142" s="267"/>
      <c r="CBB142" s="267"/>
      <c r="CBC142" s="267"/>
      <c r="CBD142" s="267"/>
      <c r="CBE142" s="267"/>
      <c r="CBF142" s="267"/>
      <c r="CBG142" s="267"/>
      <c r="CBH142" s="267"/>
      <c r="CBI142" s="267"/>
      <c r="CBJ142" s="267"/>
      <c r="CBK142" s="267"/>
      <c r="CBL142" s="267"/>
      <c r="CBM142" s="267"/>
      <c r="CBN142" s="267"/>
      <c r="CBO142" s="267"/>
      <c r="CBP142" s="267"/>
      <c r="CBQ142" s="267"/>
      <c r="CBR142" s="267"/>
      <c r="CBS142" s="267"/>
      <c r="CBT142" s="267"/>
      <c r="CBU142" s="267"/>
      <c r="CBV142" s="267"/>
      <c r="CBW142" s="267"/>
      <c r="CBX142" s="267"/>
      <c r="CBY142" s="267"/>
      <c r="CBZ142" s="267"/>
      <c r="CCA142" s="267"/>
      <c r="CCB142" s="267"/>
      <c r="CCC142" s="267"/>
      <c r="CCD142" s="267"/>
      <c r="CCE142" s="267"/>
      <c r="CCF142" s="267"/>
      <c r="CCG142" s="267"/>
      <c r="CCH142" s="267"/>
      <c r="CCI142" s="267"/>
      <c r="CCJ142" s="267"/>
      <c r="CCK142" s="267"/>
      <c r="CCL142" s="267"/>
      <c r="CCM142" s="267"/>
      <c r="CCN142" s="267"/>
      <c r="CCO142" s="267"/>
      <c r="CCP142" s="267"/>
      <c r="CCQ142" s="267"/>
      <c r="CCR142" s="267"/>
      <c r="CCS142" s="267"/>
      <c r="CCT142" s="267"/>
      <c r="CCU142" s="267"/>
      <c r="CCV142" s="267"/>
      <c r="CCW142" s="267"/>
      <c r="CCX142" s="267"/>
      <c r="CCY142" s="267"/>
      <c r="CCZ142" s="267"/>
      <c r="CDA142" s="267"/>
      <c r="CDB142" s="267"/>
      <c r="CDC142" s="267"/>
      <c r="CDD142" s="267"/>
      <c r="CDE142" s="267"/>
      <c r="CDF142" s="267"/>
      <c r="CDG142" s="267"/>
      <c r="CDH142" s="267"/>
      <c r="CDI142" s="267"/>
      <c r="CDJ142" s="267"/>
      <c r="CDK142" s="267"/>
      <c r="CDL142" s="267"/>
      <c r="CDM142" s="267"/>
      <c r="CDN142" s="267"/>
      <c r="CDO142" s="267"/>
      <c r="CDP142" s="267"/>
      <c r="CDQ142" s="267"/>
      <c r="CDR142" s="267"/>
      <c r="CDS142" s="267"/>
      <c r="CDT142" s="267"/>
      <c r="CDU142" s="267"/>
      <c r="CDV142" s="267"/>
      <c r="CDW142" s="267"/>
      <c r="CDX142" s="267"/>
      <c r="CDY142" s="267"/>
      <c r="CDZ142" s="267"/>
      <c r="CEA142" s="267"/>
      <c r="CEB142" s="267"/>
      <c r="CEC142" s="267"/>
      <c r="CED142" s="267"/>
      <c r="CEE142" s="267"/>
      <c r="CEF142" s="267"/>
      <c r="CEG142" s="267"/>
      <c r="CEH142" s="267"/>
      <c r="CEI142" s="267"/>
      <c r="CEJ142" s="267"/>
      <c r="CEK142" s="267"/>
      <c r="CEL142" s="267"/>
      <c r="CEM142" s="267"/>
      <c r="CEN142" s="267"/>
      <c r="CEO142" s="267"/>
      <c r="CEP142" s="267"/>
      <c r="CEQ142" s="267"/>
      <c r="CER142" s="267"/>
      <c r="CES142" s="267"/>
      <c r="CET142" s="267"/>
      <c r="CEU142" s="267"/>
      <c r="CEV142" s="267"/>
      <c r="CEW142" s="267"/>
      <c r="CEX142" s="267"/>
      <c r="CEY142" s="267"/>
      <c r="CEZ142" s="267"/>
      <c r="CFA142" s="267"/>
      <c r="CFB142" s="267"/>
      <c r="CFC142" s="267"/>
      <c r="CFD142" s="267"/>
      <c r="CFE142" s="267"/>
      <c r="CFF142" s="267"/>
      <c r="CFG142" s="267"/>
      <c r="CFH142" s="267"/>
      <c r="CFI142" s="267"/>
      <c r="CFJ142" s="267"/>
      <c r="CFK142" s="267"/>
      <c r="CFL142" s="267"/>
      <c r="CFM142" s="267"/>
      <c r="CFN142" s="267"/>
      <c r="CFO142" s="267"/>
      <c r="CFP142" s="267"/>
      <c r="CFQ142" s="267"/>
      <c r="CFR142" s="267"/>
      <c r="CFS142" s="267"/>
      <c r="CFT142" s="267"/>
      <c r="CFU142" s="267"/>
      <c r="CFV142" s="267"/>
      <c r="CFW142" s="267"/>
      <c r="CFX142" s="267"/>
      <c r="CFY142" s="267"/>
      <c r="CFZ142" s="267"/>
      <c r="CGA142" s="267"/>
      <c r="CGB142" s="267"/>
      <c r="CGC142" s="267"/>
      <c r="CGD142" s="267"/>
      <c r="CGE142" s="267"/>
      <c r="CGF142" s="267"/>
      <c r="CGG142" s="267"/>
      <c r="CGH142" s="267"/>
      <c r="CGI142" s="267"/>
      <c r="CGJ142" s="267"/>
      <c r="CGK142" s="267"/>
      <c r="CGL142" s="267"/>
      <c r="CGM142" s="267"/>
      <c r="CGN142" s="267"/>
      <c r="CGO142" s="267"/>
      <c r="CGP142" s="267"/>
      <c r="CGQ142" s="267"/>
      <c r="CGR142" s="267"/>
      <c r="CGS142" s="267"/>
      <c r="CGT142" s="267"/>
      <c r="CGU142" s="267"/>
      <c r="CGV142" s="267"/>
      <c r="CGW142" s="267"/>
      <c r="CGX142" s="267"/>
      <c r="CGY142" s="267"/>
      <c r="CGZ142" s="267"/>
      <c r="CHA142" s="267"/>
      <c r="CHB142" s="267"/>
      <c r="CHC142" s="267"/>
      <c r="CHD142" s="267"/>
      <c r="CHE142" s="267"/>
      <c r="CHF142" s="267"/>
      <c r="CHG142" s="267"/>
      <c r="CHH142" s="267"/>
      <c r="CHI142" s="267"/>
      <c r="CHJ142" s="267"/>
      <c r="CHK142" s="267"/>
      <c r="CHL142" s="267"/>
      <c r="CHM142" s="267"/>
      <c r="CHN142" s="267"/>
      <c r="CHO142" s="267"/>
      <c r="CHP142" s="267"/>
      <c r="CHQ142" s="267"/>
      <c r="CHR142" s="267"/>
      <c r="CHS142" s="267"/>
      <c r="CHT142" s="267"/>
      <c r="CHU142" s="267"/>
      <c r="CHV142" s="267"/>
      <c r="CHW142" s="267"/>
      <c r="CHX142" s="267"/>
      <c r="CHY142" s="267"/>
      <c r="CHZ142" s="267"/>
      <c r="CIA142" s="267"/>
      <c r="CIB142" s="267"/>
      <c r="CIC142" s="267"/>
      <c r="CID142" s="267"/>
      <c r="CIE142" s="267"/>
      <c r="CIF142" s="267"/>
      <c r="CIG142" s="267"/>
      <c r="CIH142" s="267"/>
      <c r="CII142" s="267"/>
      <c r="CIJ142" s="267"/>
      <c r="CIK142" s="267"/>
      <c r="CIL142" s="267"/>
      <c r="CIM142" s="267"/>
      <c r="CIN142" s="267"/>
      <c r="CIO142" s="267"/>
      <c r="CIP142" s="267"/>
      <c r="CIQ142" s="267"/>
      <c r="CIR142" s="267"/>
      <c r="CIS142" s="267"/>
      <c r="CIT142" s="267"/>
      <c r="CIU142" s="267"/>
      <c r="CIV142" s="267"/>
      <c r="CIW142" s="267"/>
      <c r="CIX142" s="267"/>
      <c r="CIY142" s="267"/>
      <c r="CIZ142" s="267"/>
      <c r="CJA142" s="267"/>
      <c r="CJB142" s="267"/>
      <c r="CJC142" s="267"/>
      <c r="CJD142" s="267"/>
      <c r="CJE142" s="267"/>
      <c r="CJF142" s="267"/>
      <c r="CJG142" s="267"/>
      <c r="CJH142" s="267"/>
      <c r="CJI142" s="267"/>
      <c r="CJJ142" s="267"/>
      <c r="CJK142" s="267"/>
      <c r="CJL142" s="267"/>
      <c r="CJM142" s="267"/>
      <c r="CJN142" s="267"/>
      <c r="CJO142" s="267"/>
      <c r="CJP142" s="267"/>
      <c r="CJQ142" s="267"/>
      <c r="CJR142" s="267"/>
      <c r="CJS142" s="267"/>
      <c r="CJT142" s="267"/>
      <c r="CJU142" s="267"/>
      <c r="CJV142" s="267"/>
      <c r="CJW142" s="267"/>
      <c r="CJX142" s="267"/>
      <c r="CJY142" s="267"/>
      <c r="CJZ142" s="267"/>
      <c r="CKA142" s="267"/>
      <c r="CKB142" s="267"/>
      <c r="CKC142" s="267"/>
      <c r="CKD142" s="267"/>
      <c r="CKE142" s="267"/>
      <c r="CKF142" s="267"/>
      <c r="CKG142" s="267"/>
      <c r="CKH142" s="267"/>
      <c r="CKI142" s="267"/>
      <c r="CKJ142" s="267"/>
      <c r="CKK142" s="267"/>
      <c r="CKL142" s="267"/>
      <c r="CKM142" s="267"/>
      <c r="CKN142" s="267"/>
      <c r="CKO142" s="267"/>
      <c r="CKP142" s="267"/>
      <c r="CKQ142" s="267"/>
      <c r="CKR142" s="267"/>
      <c r="CKS142" s="267"/>
      <c r="CKT142" s="267"/>
      <c r="CKU142" s="267"/>
      <c r="CKV142" s="267"/>
      <c r="CKW142" s="267"/>
      <c r="CKX142" s="267"/>
      <c r="CKY142" s="267"/>
      <c r="CKZ142" s="267"/>
      <c r="CLA142" s="267"/>
      <c r="CLB142" s="267"/>
      <c r="CLC142" s="267"/>
      <c r="CLD142" s="267"/>
      <c r="CLE142" s="267"/>
      <c r="CLF142" s="267"/>
      <c r="CLG142" s="267"/>
      <c r="CLH142" s="267"/>
      <c r="CLI142" s="267"/>
      <c r="CLJ142" s="267"/>
      <c r="CLK142" s="267"/>
      <c r="CLL142" s="267"/>
      <c r="CLM142" s="267"/>
      <c r="CLN142" s="267"/>
      <c r="CLO142" s="267"/>
      <c r="CLP142" s="267"/>
      <c r="CLQ142" s="267"/>
      <c r="CLR142" s="267"/>
      <c r="CLS142" s="267"/>
      <c r="CLT142" s="267"/>
      <c r="CLU142" s="267"/>
      <c r="CLV142" s="267"/>
      <c r="CLW142" s="267"/>
      <c r="CLX142" s="267"/>
      <c r="CLY142" s="267"/>
      <c r="CLZ142" s="267"/>
      <c r="CMA142" s="267"/>
      <c r="CMB142" s="267"/>
      <c r="CMC142" s="267"/>
      <c r="CMD142" s="267"/>
      <c r="CME142" s="267"/>
      <c r="CMF142" s="267"/>
      <c r="CMG142" s="267"/>
      <c r="CMH142" s="267"/>
      <c r="CMI142" s="267"/>
      <c r="CMJ142" s="267"/>
      <c r="CMK142" s="267"/>
      <c r="CML142" s="267"/>
      <c r="CMM142" s="267"/>
      <c r="CMN142" s="267"/>
      <c r="CMO142" s="267"/>
      <c r="CMP142" s="267"/>
      <c r="CMQ142" s="267"/>
      <c r="CMR142" s="267"/>
      <c r="CMS142" s="267"/>
      <c r="CMT142" s="267"/>
      <c r="CMU142" s="267"/>
      <c r="CMV142" s="267"/>
      <c r="CMW142" s="267"/>
      <c r="CMX142" s="267"/>
      <c r="CMY142" s="267"/>
      <c r="CMZ142" s="267"/>
      <c r="CNA142" s="267"/>
      <c r="CNB142" s="267"/>
      <c r="CNC142" s="267"/>
      <c r="CND142" s="267"/>
      <c r="CNE142" s="267"/>
      <c r="CNF142" s="267"/>
      <c r="CNG142" s="267"/>
      <c r="CNH142" s="267"/>
      <c r="CNI142" s="267"/>
      <c r="CNJ142" s="267"/>
      <c r="CNK142" s="267"/>
      <c r="CNL142" s="267"/>
      <c r="CNM142" s="267"/>
      <c r="CNN142" s="267"/>
      <c r="CNO142" s="267"/>
      <c r="CNP142" s="267"/>
      <c r="CNQ142" s="267"/>
      <c r="CNR142" s="267"/>
      <c r="CNS142" s="267"/>
      <c r="CNT142" s="267"/>
      <c r="CNU142" s="267"/>
      <c r="CNV142" s="267"/>
      <c r="CNW142" s="267"/>
      <c r="CNX142" s="267"/>
      <c r="CNY142" s="267"/>
      <c r="CNZ142" s="267"/>
      <c r="COA142" s="267"/>
      <c r="COB142" s="267"/>
      <c r="COC142" s="267"/>
      <c r="COD142" s="267"/>
      <c r="COE142" s="267"/>
      <c r="COF142" s="267"/>
      <c r="COG142" s="267"/>
      <c r="COH142" s="267"/>
      <c r="COI142" s="267"/>
      <c r="COJ142" s="267"/>
      <c r="COK142" s="267"/>
      <c r="COL142" s="267"/>
      <c r="COM142" s="267"/>
      <c r="CON142" s="267"/>
      <c r="COO142" s="267"/>
      <c r="COP142" s="267"/>
      <c r="COQ142" s="267"/>
      <c r="COR142" s="267"/>
      <c r="COS142" s="267"/>
      <c r="COT142" s="267"/>
      <c r="COU142" s="267"/>
      <c r="COV142" s="267"/>
      <c r="COW142" s="267"/>
      <c r="COX142" s="267"/>
      <c r="COY142" s="267"/>
      <c r="COZ142" s="267"/>
      <c r="CPA142" s="267"/>
      <c r="CPB142" s="267"/>
      <c r="CPC142" s="267"/>
      <c r="CPD142" s="267"/>
      <c r="CPE142" s="267"/>
      <c r="CPF142" s="267"/>
      <c r="CPG142" s="267"/>
      <c r="CPH142" s="267"/>
      <c r="CPI142" s="267"/>
      <c r="CPJ142" s="267"/>
      <c r="CPK142" s="267"/>
      <c r="CPL142" s="267"/>
      <c r="CPM142" s="267"/>
      <c r="CPN142" s="267"/>
      <c r="CPO142" s="267"/>
      <c r="CPP142" s="267"/>
      <c r="CPQ142" s="267"/>
      <c r="CPR142" s="267"/>
      <c r="CPS142" s="267"/>
      <c r="CPT142" s="267"/>
      <c r="CPU142" s="267"/>
      <c r="CPV142" s="267"/>
      <c r="CPW142" s="267"/>
      <c r="CPX142" s="267"/>
      <c r="CPY142" s="267"/>
      <c r="CPZ142" s="267"/>
      <c r="CQA142" s="267"/>
      <c r="CQB142" s="267"/>
      <c r="CQC142" s="267"/>
      <c r="CQD142" s="267"/>
      <c r="CQE142" s="267"/>
      <c r="CQF142" s="267"/>
      <c r="CQG142" s="267"/>
      <c r="CQH142" s="267"/>
      <c r="CQI142" s="267"/>
      <c r="CQJ142" s="267"/>
      <c r="CQK142" s="267"/>
      <c r="CQL142" s="267"/>
      <c r="CQM142" s="267"/>
      <c r="CQN142" s="267"/>
      <c r="CQO142" s="267"/>
      <c r="CQP142" s="267"/>
      <c r="CQQ142" s="267"/>
      <c r="CQR142" s="267"/>
      <c r="CQS142" s="267"/>
      <c r="CQT142" s="267"/>
      <c r="CQU142" s="267"/>
      <c r="CQV142" s="267"/>
      <c r="CQW142" s="267"/>
      <c r="CQX142" s="267"/>
      <c r="CQY142" s="267"/>
      <c r="CQZ142" s="267"/>
      <c r="CRA142" s="267"/>
      <c r="CRB142" s="267"/>
      <c r="CRC142" s="267"/>
      <c r="CRD142" s="267"/>
      <c r="CRE142" s="267"/>
      <c r="CRF142" s="267"/>
      <c r="CRG142" s="267"/>
      <c r="CRH142" s="267"/>
      <c r="CRI142" s="267"/>
      <c r="CRJ142" s="267"/>
      <c r="CRK142" s="267"/>
      <c r="CRL142" s="267"/>
      <c r="CRM142" s="267"/>
      <c r="CRN142" s="267"/>
      <c r="CRO142" s="267"/>
      <c r="CRP142" s="267"/>
      <c r="CRQ142" s="267"/>
      <c r="CRR142" s="267"/>
      <c r="CRS142" s="267"/>
      <c r="CRT142" s="267"/>
      <c r="CRU142" s="267"/>
      <c r="CRV142" s="267"/>
      <c r="CRW142" s="267"/>
      <c r="CRX142" s="267"/>
      <c r="CRY142" s="267"/>
      <c r="CRZ142" s="267"/>
      <c r="CSA142" s="267"/>
      <c r="CSB142" s="267"/>
      <c r="CSC142" s="267"/>
      <c r="CSD142" s="267"/>
      <c r="CSE142" s="267"/>
      <c r="CSF142" s="267"/>
      <c r="CSG142" s="267"/>
      <c r="CSH142" s="267"/>
      <c r="CSI142" s="267"/>
      <c r="CSJ142" s="267"/>
      <c r="CSK142" s="267"/>
      <c r="CSL142" s="267"/>
      <c r="CSM142" s="267"/>
      <c r="CSN142" s="267"/>
      <c r="CSO142" s="267"/>
      <c r="CSP142" s="267"/>
      <c r="CSQ142" s="267"/>
      <c r="CSR142" s="267"/>
      <c r="CSS142" s="267"/>
      <c r="CST142" s="267"/>
      <c r="CSU142" s="267"/>
      <c r="CSV142" s="267"/>
      <c r="CSW142" s="267"/>
      <c r="CSX142" s="267"/>
      <c r="CSY142" s="267"/>
      <c r="CSZ142" s="267"/>
      <c r="CTA142" s="267"/>
      <c r="CTB142" s="267"/>
      <c r="CTC142" s="267"/>
      <c r="CTD142" s="267"/>
      <c r="CTE142" s="267"/>
      <c r="CTF142" s="267"/>
      <c r="CTG142" s="267"/>
      <c r="CTH142" s="267"/>
      <c r="CTI142" s="267"/>
      <c r="CTJ142" s="267"/>
      <c r="CTK142" s="267"/>
      <c r="CTL142" s="267"/>
      <c r="CTM142" s="267"/>
      <c r="CTN142" s="267"/>
      <c r="CTO142" s="267"/>
      <c r="CTP142" s="267"/>
      <c r="CTQ142" s="267"/>
      <c r="CTR142" s="267"/>
      <c r="CTS142" s="267"/>
      <c r="CTT142" s="267"/>
      <c r="CTU142" s="267"/>
      <c r="CTV142" s="267"/>
      <c r="CTW142" s="267"/>
      <c r="CTX142" s="267"/>
      <c r="CTY142" s="267"/>
      <c r="CTZ142" s="267"/>
      <c r="CUA142" s="267"/>
    </row>
    <row r="143" s="30" customFormat="1" spans="1:18">
      <c r="A143" s="268">
        <v>139</v>
      </c>
      <c r="B143" s="268" t="s">
        <v>13</v>
      </c>
      <c r="C143" s="268" t="s">
        <v>37</v>
      </c>
      <c r="D143" s="82" t="s">
        <v>330</v>
      </c>
      <c r="E143" s="29" t="s">
        <v>720</v>
      </c>
      <c r="F143" s="31"/>
      <c r="G143" s="31"/>
      <c r="H143" s="32"/>
      <c r="I143" s="32">
        <v>2025.8</v>
      </c>
      <c r="J143" s="31" t="s">
        <v>42</v>
      </c>
      <c r="K143" s="31" t="s">
        <v>42</v>
      </c>
      <c r="L143" s="31" t="s">
        <v>667</v>
      </c>
      <c r="M143" s="29" t="s">
        <v>674</v>
      </c>
      <c r="N143" s="94">
        <v>45928</v>
      </c>
      <c r="O143" s="94">
        <v>46292</v>
      </c>
      <c r="P143" s="29">
        <v>400</v>
      </c>
      <c r="Q143" s="85"/>
      <c r="R143" s="251"/>
    </row>
    <row r="144" s="30" customFormat="1" spans="1:18">
      <c r="A144" s="268">
        <v>140</v>
      </c>
      <c r="B144" s="268" t="s">
        <v>14</v>
      </c>
      <c r="C144" s="268" t="s">
        <v>37</v>
      </c>
      <c r="D144" s="65" t="s">
        <v>262</v>
      </c>
      <c r="E144" s="7" t="s">
        <v>678</v>
      </c>
      <c r="F144" s="100" t="s">
        <v>990</v>
      </c>
      <c r="G144" s="5" t="s">
        <v>681</v>
      </c>
      <c r="H144" s="17" t="s">
        <v>991</v>
      </c>
      <c r="I144" s="6">
        <v>2012.01</v>
      </c>
      <c r="J144" s="5" t="s">
        <v>682</v>
      </c>
      <c r="K144" s="5" t="s">
        <v>683</v>
      </c>
      <c r="L144" s="5" t="s">
        <v>667</v>
      </c>
      <c r="M144" s="7" t="s">
        <v>674</v>
      </c>
      <c r="N144" s="94"/>
      <c r="O144" s="94"/>
      <c r="P144" s="7">
        <v>300</v>
      </c>
      <c r="Q144" s="75" t="s">
        <v>992</v>
      </c>
      <c r="R144" s="328"/>
    </row>
    <row r="145" s="30" customFormat="1" spans="1:16">
      <c r="A145" s="268"/>
      <c r="B145" s="268"/>
      <c r="C145" s="268"/>
      <c r="P145" s="27"/>
    </row>
    <row r="146" s="30" customFormat="1" spans="1:16">
      <c r="A146" s="268"/>
      <c r="B146" s="268"/>
      <c r="C146" s="268"/>
      <c r="P146" s="27"/>
    </row>
    <row r="147" s="30" customFormat="1" spans="1:16">
      <c r="A147" s="268"/>
      <c r="B147" s="268"/>
      <c r="C147" s="268"/>
      <c r="P147" s="27" t="s">
        <v>993</v>
      </c>
    </row>
    <row r="148" spans="7:11">
      <c r="G148" s="30" t="s">
        <v>0</v>
      </c>
      <c r="H148" s="30" t="s">
        <v>431</v>
      </c>
      <c r="I148" s="30" t="s">
        <v>433</v>
      </c>
      <c r="J148" s="30" t="s">
        <v>434</v>
      </c>
      <c r="K148" s="30" t="s">
        <v>6</v>
      </c>
    </row>
    <row r="149" spans="7:11">
      <c r="G149" s="30">
        <v>132</v>
      </c>
      <c r="H149" s="30">
        <v>36</v>
      </c>
      <c r="I149" s="30">
        <v>48</v>
      </c>
      <c r="J149" s="30">
        <v>46</v>
      </c>
      <c r="K149" s="30">
        <v>1</v>
      </c>
    </row>
    <row r="152" spans="13:13">
      <c r="M152" s="30">
        <v>0</v>
      </c>
    </row>
    <row r="155" spans="16:16">
      <c r="P155" s="380" t="s">
        <v>994</v>
      </c>
    </row>
  </sheetData>
  <autoFilter xmlns:etc="http://www.wps.cn/officeDocument/2017/etCustomData" ref="A1:R144" etc:filterBottomFollowUsedRange="0">
    <extLst/>
  </autoFilter>
  <sortState ref="A2:R155">
    <sortCondition ref="O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35"/>
  <sheetViews>
    <sheetView zoomScale="85" zoomScaleNormal="85" workbookViewId="0">
      <selection activeCell="F14" sqref="F14"/>
    </sheetView>
  </sheetViews>
  <sheetFormatPr defaultColWidth="8.88333333333333" defaultRowHeight="13.5"/>
  <cols>
    <col min="1" max="2" width="5.21666666666667" style="30" customWidth="1"/>
    <col min="3" max="3" width="12" style="30" customWidth="1"/>
    <col min="4" max="4" width="18.3333333333333" style="30" customWidth="1"/>
    <col min="5" max="6" width="8.88333333333333" style="30"/>
    <col min="7" max="7" width="14.4416666666667" style="30" customWidth="1"/>
    <col min="8" max="9" width="8.88333333333333" style="30"/>
    <col min="10" max="10" width="9.375" style="30"/>
    <col min="11" max="11" width="8.88333333333333" style="30"/>
    <col min="12" max="12" width="11.5" style="30" customWidth="1"/>
    <col min="13" max="14" width="9" style="30" customWidth="1"/>
    <col min="15" max="16384" width="8.88333333333333" style="30"/>
  </cols>
  <sheetData>
    <row r="1" s="30" customFormat="1" ht="23" customHeight="1" spans="2:16">
      <c r="B1" s="53" t="s">
        <v>20</v>
      </c>
      <c r="C1" s="53" t="s">
        <v>21</v>
      </c>
      <c r="D1" s="53" t="s">
        <v>22</v>
      </c>
      <c r="E1" s="53" t="s">
        <v>23</v>
      </c>
      <c r="F1" s="53" t="s">
        <v>24</v>
      </c>
      <c r="G1" s="54" t="s">
        <v>25</v>
      </c>
      <c r="H1" s="53" t="s">
        <v>26</v>
      </c>
      <c r="I1" s="53" t="s">
        <v>27</v>
      </c>
      <c r="J1" s="53" t="s">
        <v>28</v>
      </c>
      <c r="K1" s="53" t="s">
        <v>29</v>
      </c>
      <c r="L1" s="53" t="s">
        <v>30</v>
      </c>
      <c r="M1" s="53" t="s">
        <v>31</v>
      </c>
      <c r="N1" s="53" t="s">
        <v>664</v>
      </c>
      <c r="O1" s="53" t="s">
        <v>33</v>
      </c>
      <c r="P1" s="53" t="s">
        <v>34</v>
      </c>
    </row>
    <row r="2" s="30" customFormat="1" spans="1:17">
      <c r="A2" s="27">
        <v>2</v>
      </c>
      <c r="B2" s="27" t="s">
        <v>54</v>
      </c>
      <c r="C2" s="82" t="s">
        <v>995</v>
      </c>
      <c r="D2" s="29" t="s">
        <v>139</v>
      </c>
      <c r="E2" s="31"/>
      <c r="F2" s="31" t="s">
        <v>141</v>
      </c>
      <c r="G2" s="119" t="s">
        <v>996</v>
      </c>
      <c r="H2" s="31"/>
      <c r="I2" s="119" t="s">
        <v>441</v>
      </c>
      <c r="J2" s="31" t="s">
        <v>440</v>
      </c>
      <c r="K2" s="29" t="s">
        <v>997</v>
      </c>
      <c r="L2" s="29" t="s">
        <v>674</v>
      </c>
      <c r="M2" s="177">
        <v>45895</v>
      </c>
      <c r="N2" s="177">
        <v>46078</v>
      </c>
      <c r="O2" s="198">
        <v>100</v>
      </c>
      <c r="P2" s="85" t="s">
        <v>998</v>
      </c>
      <c r="Q2" t="s">
        <v>999</v>
      </c>
    </row>
    <row r="3" s="43" customFormat="1" spans="1:20">
      <c r="A3" s="27">
        <v>3</v>
      </c>
      <c r="B3" s="27" t="s">
        <v>54</v>
      </c>
      <c r="C3" s="82" t="s">
        <v>995</v>
      </c>
      <c r="D3" s="29" t="s">
        <v>139</v>
      </c>
      <c r="E3" s="31"/>
      <c r="F3" s="31" t="s">
        <v>141</v>
      </c>
      <c r="G3" s="119">
        <v>23012717</v>
      </c>
      <c r="H3" s="31"/>
      <c r="I3" s="119" t="s">
        <v>466</v>
      </c>
      <c r="J3" s="31" t="s">
        <v>440</v>
      </c>
      <c r="K3" s="29" t="s">
        <v>997</v>
      </c>
      <c r="L3" s="29" t="s">
        <v>674</v>
      </c>
      <c r="M3" s="177">
        <v>45895</v>
      </c>
      <c r="N3" s="177">
        <v>46078</v>
      </c>
      <c r="O3" s="198">
        <v>100</v>
      </c>
      <c r="P3" s="85" t="s">
        <v>1000</v>
      </c>
      <c r="Q3" s="52" t="s">
        <v>613</v>
      </c>
      <c r="R3" s="30"/>
      <c r="S3" s="30"/>
      <c r="T3" s="30"/>
    </row>
    <row r="4" s="43" customFormat="1" spans="1:20">
      <c r="A4" s="27">
        <v>4</v>
      </c>
      <c r="B4" s="27" t="s">
        <v>54</v>
      </c>
      <c r="C4" s="82" t="s">
        <v>995</v>
      </c>
      <c r="D4" s="29" t="s">
        <v>139</v>
      </c>
      <c r="E4" s="31"/>
      <c r="F4" s="31" t="s">
        <v>163</v>
      </c>
      <c r="G4" s="119">
        <v>22113467</v>
      </c>
      <c r="H4" s="31"/>
      <c r="I4" s="119" t="s">
        <v>454</v>
      </c>
      <c r="J4" s="31" t="s">
        <v>448</v>
      </c>
      <c r="K4" s="29" t="s">
        <v>997</v>
      </c>
      <c r="L4" s="29" t="s">
        <v>674</v>
      </c>
      <c r="M4" s="177">
        <v>45895</v>
      </c>
      <c r="N4" s="177">
        <v>46078</v>
      </c>
      <c r="O4" s="198">
        <v>100</v>
      </c>
      <c r="P4" s="85" t="s">
        <v>1000</v>
      </c>
      <c r="Q4" s="52" t="s">
        <v>1001</v>
      </c>
      <c r="R4" s="30"/>
      <c r="S4" s="30"/>
      <c r="T4" s="30"/>
    </row>
    <row r="5" s="30" customFormat="1" spans="1:17">
      <c r="A5" s="27">
        <v>5</v>
      </c>
      <c r="B5" s="27" t="s">
        <v>54</v>
      </c>
      <c r="C5" s="82" t="s">
        <v>995</v>
      </c>
      <c r="D5" s="29" t="s">
        <v>139</v>
      </c>
      <c r="E5" s="31"/>
      <c r="F5" s="31" t="s">
        <v>163</v>
      </c>
      <c r="G5" s="119">
        <v>22050455</v>
      </c>
      <c r="H5" s="31"/>
      <c r="I5" s="119" t="s">
        <v>441</v>
      </c>
      <c r="J5" s="31" t="s">
        <v>149</v>
      </c>
      <c r="K5" s="29" t="s">
        <v>997</v>
      </c>
      <c r="L5" s="29" t="s">
        <v>674</v>
      </c>
      <c r="M5" s="177">
        <v>45895</v>
      </c>
      <c r="N5" s="177">
        <v>46078</v>
      </c>
      <c r="O5" s="198">
        <v>100</v>
      </c>
      <c r="P5" s="85" t="s">
        <v>1000</v>
      </c>
      <c r="Q5" s="52" t="s">
        <v>1001</v>
      </c>
    </row>
    <row r="6" s="30" customFormat="1" spans="1:17">
      <c r="A6" s="27">
        <v>6</v>
      </c>
      <c r="B6" s="27" t="s">
        <v>54</v>
      </c>
      <c r="C6" s="82" t="s">
        <v>995</v>
      </c>
      <c r="D6" s="29" t="s">
        <v>139</v>
      </c>
      <c r="E6" s="31"/>
      <c r="F6" s="31" t="s">
        <v>163</v>
      </c>
      <c r="G6" s="119" t="s">
        <v>1002</v>
      </c>
      <c r="H6" s="31"/>
      <c r="I6" s="119" t="s">
        <v>441</v>
      </c>
      <c r="J6" s="31" t="s">
        <v>149</v>
      </c>
      <c r="K6" s="29" t="s">
        <v>997</v>
      </c>
      <c r="L6" s="29" t="s">
        <v>674</v>
      </c>
      <c r="M6" s="177">
        <v>45895</v>
      </c>
      <c r="N6" s="177">
        <v>46078</v>
      </c>
      <c r="O6" s="198">
        <v>100</v>
      </c>
      <c r="P6" s="85" t="s">
        <v>1000</v>
      </c>
      <c r="Q6" s="52" t="s">
        <v>1003</v>
      </c>
    </row>
    <row r="7" s="30" customFormat="1" spans="1:17">
      <c r="A7" s="27">
        <v>7</v>
      </c>
      <c r="B7" s="27" t="s">
        <v>54</v>
      </c>
      <c r="C7" s="82" t="s">
        <v>995</v>
      </c>
      <c r="D7" s="29" t="s">
        <v>139</v>
      </c>
      <c r="E7" s="31"/>
      <c r="F7" s="31" t="s">
        <v>163</v>
      </c>
      <c r="G7" s="119" t="s">
        <v>1004</v>
      </c>
      <c r="H7" s="31"/>
      <c r="I7" s="119" t="s">
        <v>441</v>
      </c>
      <c r="J7" s="31" t="s">
        <v>440</v>
      </c>
      <c r="K7" s="29" t="s">
        <v>997</v>
      </c>
      <c r="L7" s="29" t="s">
        <v>674</v>
      </c>
      <c r="M7" s="177">
        <v>45895</v>
      </c>
      <c r="N7" s="177">
        <v>46078</v>
      </c>
      <c r="O7" s="198">
        <v>100</v>
      </c>
      <c r="P7" s="85" t="s">
        <v>1005</v>
      </c>
      <c r="Q7" s="30" t="s">
        <v>181</v>
      </c>
    </row>
    <row r="8" s="30" customFormat="1" spans="1:17">
      <c r="A8" s="27">
        <v>8</v>
      </c>
      <c r="B8" s="27" t="s">
        <v>54</v>
      </c>
      <c r="C8" s="82" t="s">
        <v>995</v>
      </c>
      <c r="D8" s="29" t="s">
        <v>139</v>
      </c>
      <c r="E8" s="31"/>
      <c r="F8" s="31" t="s">
        <v>163</v>
      </c>
      <c r="G8" s="119" t="s">
        <v>1006</v>
      </c>
      <c r="H8" s="31"/>
      <c r="I8" s="119" t="s">
        <v>441</v>
      </c>
      <c r="J8" s="31" t="s">
        <v>440</v>
      </c>
      <c r="K8" s="29" t="s">
        <v>997</v>
      </c>
      <c r="L8" s="29" t="s">
        <v>674</v>
      </c>
      <c r="M8" s="177">
        <v>45895</v>
      </c>
      <c r="N8" s="177">
        <v>46078</v>
      </c>
      <c r="O8" s="198">
        <v>100</v>
      </c>
      <c r="P8" s="85" t="s">
        <v>1005</v>
      </c>
      <c r="Q8" s="30" t="s">
        <v>181</v>
      </c>
    </row>
    <row r="9" s="30" customFormat="1" spans="1:17">
      <c r="A9" s="27">
        <v>9</v>
      </c>
      <c r="B9" s="27" t="s">
        <v>54</v>
      </c>
      <c r="C9" s="82" t="s">
        <v>995</v>
      </c>
      <c r="D9" s="29" t="s">
        <v>139</v>
      </c>
      <c r="E9" s="31"/>
      <c r="F9" s="31" t="s">
        <v>163</v>
      </c>
      <c r="G9" s="119" t="s">
        <v>1007</v>
      </c>
      <c r="H9" s="31"/>
      <c r="I9" s="119" t="s">
        <v>446</v>
      </c>
      <c r="J9" s="31" t="s">
        <v>440</v>
      </c>
      <c r="K9" s="29" t="s">
        <v>997</v>
      </c>
      <c r="L9" s="29" t="s">
        <v>674</v>
      </c>
      <c r="M9" s="177">
        <v>45895</v>
      </c>
      <c r="N9" s="177">
        <v>46078</v>
      </c>
      <c r="O9" s="198">
        <v>100</v>
      </c>
      <c r="P9" s="85" t="s">
        <v>1005</v>
      </c>
      <c r="Q9" s="30" t="s">
        <v>181</v>
      </c>
    </row>
    <row r="10" s="30" customFormat="1" spans="1:17">
      <c r="A10" s="27">
        <v>10</v>
      </c>
      <c r="B10" s="27" t="s">
        <v>54</v>
      </c>
      <c r="C10" s="82" t="s">
        <v>995</v>
      </c>
      <c r="D10" s="29" t="s">
        <v>139</v>
      </c>
      <c r="E10" s="31"/>
      <c r="F10" s="31" t="s">
        <v>163</v>
      </c>
      <c r="G10" s="119" t="s">
        <v>1008</v>
      </c>
      <c r="H10" s="31"/>
      <c r="I10" s="119" t="s">
        <v>454</v>
      </c>
      <c r="J10" s="31" t="s">
        <v>448</v>
      </c>
      <c r="K10" s="29" t="s">
        <v>997</v>
      </c>
      <c r="L10" s="29" t="s">
        <v>674</v>
      </c>
      <c r="M10" s="177">
        <v>45895</v>
      </c>
      <c r="N10" s="177">
        <v>46078</v>
      </c>
      <c r="O10" s="198">
        <v>100</v>
      </c>
      <c r="P10" s="85" t="s">
        <v>1005</v>
      </c>
      <c r="Q10" s="30" t="s">
        <v>1009</v>
      </c>
    </row>
    <row r="11" s="30" customFormat="1" spans="1:17">
      <c r="A11" s="27">
        <v>11</v>
      </c>
      <c r="B11" s="27" t="s">
        <v>54</v>
      </c>
      <c r="C11" s="82" t="s">
        <v>995</v>
      </c>
      <c r="D11" s="29" t="s">
        <v>139</v>
      </c>
      <c r="E11" s="31"/>
      <c r="F11" s="31" t="s">
        <v>163</v>
      </c>
      <c r="G11" s="119" t="s">
        <v>1010</v>
      </c>
      <c r="H11" s="31"/>
      <c r="I11" s="119" t="s">
        <v>454</v>
      </c>
      <c r="J11" s="31" t="s">
        <v>448</v>
      </c>
      <c r="K11" s="29" t="s">
        <v>997</v>
      </c>
      <c r="L11" s="29" t="s">
        <v>674</v>
      </c>
      <c r="M11" s="177">
        <v>45895</v>
      </c>
      <c r="N11" s="177">
        <v>46078</v>
      </c>
      <c r="O11" s="198">
        <v>100</v>
      </c>
      <c r="P11" s="85" t="s">
        <v>1005</v>
      </c>
      <c r="Q11" s="30" t="s">
        <v>1009</v>
      </c>
    </row>
    <row r="12" s="30" customFormat="1" spans="1:17">
      <c r="A12" s="27">
        <v>12</v>
      </c>
      <c r="B12" s="27" t="s">
        <v>54</v>
      </c>
      <c r="C12" s="82" t="s">
        <v>995</v>
      </c>
      <c r="D12" s="29" t="s">
        <v>139</v>
      </c>
      <c r="E12" s="31"/>
      <c r="F12" s="31" t="s">
        <v>141</v>
      </c>
      <c r="G12" s="119" t="s">
        <v>1011</v>
      </c>
      <c r="H12" s="31"/>
      <c r="I12" s="119" t="s">
        <v>441</v>
      </c>
      <c r="J12" s="31" t="s">
        <v>149</v>
      </c>
      <c r="K12" s="29" t="s">
        <v>997</v>
      </c>
      <c r="L12" s="29" t="s">
        <v>674</v>
      </c>
      <c r="M12" s="177">
        <v>45895</v>
      </c>
      <c r="N12" s="177">
        <v>46078</v>
      </c>
      <c r="O12" s="198">
        <v>100</v>
      </c>
      <c r="P12" s="85" t="s">
        <v>1000</v>
      </c>
      <c r="Q12" s="30" t="s">
        <v>999</v>
      </c>
    </row>
    <row r="13" s="30" customFormat="1" spans="1:17">
      <c r="A13" s="27">
        <v>13</v>
      </c>
      <c r="B13" s="27" t="s">
        <v>54</v>
      </c>
      <c r="C13" s="82" t="s">
        <v>995</v>
      </c>
      <c r="D13" s="29" t="s">
        <v>139</v>
      </c>
      <c r="E13" s="31"/>
      <c r="F13" s="31" t="s">
        <v>141</v>
      </c>
      <c r="G13" s="119" t="s">
        <v>1012</v>
      </c>
      <c r="H13" s="31"/>
      <c r="I13" s="119" t="s">
        <v>441</v>
      </c>
      <c r="J13" s="31" t="s">
        <v>440</v>
      </c>
      <c r="K13" s="29" t="s">
        <v>997</v>
      </c>
      <c r="L13" s="29" t="s">
        <v>674</v>
      </c>
      <c r="M13" s="177">
        <v>45895</v>
      </c>
      <c r="N13" s="177">
        <v>46078</v>
      </c>
      <c r="O13" s="198">
        <v>100</v>
      </c>
      <c r="P13" s="85" t="s">
        <v>1000</v>
      </c>
      <c r="Q13" s="30" t="s">
        <v>999</v>
      </c>
    </row>
    <row r="14" s="30" customFormat="1" spans="1:17">
      <c r="A14" s="27">
        <v>14</v>
      </c>
      <c r="B14" s="27" t="s">
        <v>54</v>
      </c>
      <c r="C14" s="82" t="s">
        <v>995</v>
      </c>
      <c r="D14" s="29" t="s">
        <v>139</v>
      </c>
      <c r="E14" s="31"/>
      <c r="F14" s="31" t="s">
        <v>141</v>
      </c>
      <c r="G14" s="119" t="s">
        <v>1013</v>
      </c>
      <c r="H14" s="31"/>
      <c r="I14" s="119" t="s">
        <v>441</v>
      </c>
      <c r="J14" s="31" t="s">
        <v>440</v>
      </c>
      <c r="K14" s="29" t="s">
        <v>997</v>
      </c>
      <c r="L14" s="29" t="s">
        <v>674</v>
      </c>
      <c r="M14" s="177">
        <v>45895</v>
      </c>
      <c r="N14" s="177">
        <v>46078</v>
      </c>
      <c r="O14" s="198">
        <v>100</v>
      </c>
      <c r="P14" s="85" t="s">
        <v>1000</v>
      </c>
      <c r="Q14" s="30" t="s">
        <v>999</v>
      </c>
    </row>
    <row r="15" s="30" customFormat="1" spans="1:17">
      <c r="A15" s="27">
        <v>15</v>
      </c>
      <c r="B15" s="27" t="s">
        <v>54</v>
      </c>
      <c r="C15" s="82" t="s">
        <v>995</v>
      </c>
      <c r="D15" s="29" t="s">
        <v>139</v>
      </c>
      <c r="E15" s="31"/>
      <c r="F15" s="31" t="s">
        <v>163</v>
      </c>
      <c r="G15" s="119" t="s">
        <v>769</v>
      </c>
      <c r="H15" s="31"/>
      <c r="I15" s="119" t="s">
        <v>441</v>
      </c>
      <c r="J15" s="31" t="s">
        <v>149</v>
      </c>
      <c r="K15" s="29" t="s">
        <v>997</v>
      </c>
      <c r="L15" s="29" t="s">
        <v>674</v>
      </c>
      <c r="M15" s="177">
        <v>45895</v>
      </c>
      <c r="N15" s="177">
        <v>46078</v>
      </c>
      <c r="O15" s="198">
        <v>100</v>
      </c>
      <c r="P15" s="85" t="s">
        <v>1005</v>
      </c>
      <c r="Q15" s="30" t="s">
        <v>1014</v>
      </c>
    </row>
    <row r="16" s="30" customFormat="1" spans="1:17">
      <c r="A16" s="27">
        <v>16</v>
      </c>
      <c r="B16" s="27" t="s">
        <v>54</v>
      </c>
      <c r="C16" s="82" t="s">
        <v>995</v>
      </c>
      <c r="D16" s="29" t="s">
        <v>139</v>
      </c>
      <c r="E16" s="31"/>
      <c r="F16" s="31" t="s">
        <v>163</v>
      </c>
      <c r="G16" s="119" t="s">
        <v>770</v>
      </c>
      <c r="H16" s="31"/>
      <c r="I16" s="119" t="s">
        <v>441</v>
      </c>
      <c r="J16" s="31" t="s">
        <v>149</v>
      </c>
      <c r="K16" s="29" t="s">
        <v>997</v>
      </c>
      <c r="L16" s="29" t="s">
        <v>674</v>
      </c>
      <c r="M16" s="177">
        <v>45895</v>
      </c>
      <c r="N16" s="177">
        <v>46078</v>
      </c>
      <c r="O16" s="198">
        <v>100</v>
      </c>
      <c r="P16" s="251" t="s">
        <v>1005</v>
      </c>
      <c r="Q16" s="30" t="s">
        <v>1014</v>
      </c>
    </row>
    <row r="17" s="30" customFormat="1" spans="1:17">
      <c r="A17" s="27">
        <v>17</v>
      </c>
      <c r="B17" s="27" t="s">
        <v>54</v>
      </c>
      <c r="C17" s="82" t="s">
        <v>995</v>
      </c>
      <c r="D17" s="29" t="s">
        <v>139</v>
      </c>
      <c r="E17" s="31"/>
      <c r="F17" s="31" t="s">
        <v>141</v>
      </c>
      <c r="G17" s="119" t="s">
        <v>1015</v>
      </c>
      <c r="H17" s="31"/>
      <c r="I17" s="119" t="s">
        <v>441</v>
      </c>
      <c r="J17" s="31" t="s">
        <v>440</v>
      </c>
      <c r="K17" s="29" t="s">
        <v>997</v>
      </c>
      <c r="L17" s="29" t="s">
        <v>674</v>
      </c>
      <c r="M17" s="177">
        <v>45895</v>
      </c>
      <c r="N17" s="177">
        <v>46078</v>
      </c>
      <c r="O17" s="198">
        <v>100</v>
      </c>
      <c r="P17" s="85" t="s">
        <v>1005</v>
      </c>
      <c r="Q17" s="168" t="s">
        <v>999</v>
      </c>
    </row>
    <row r="18" s="30" customFormat="1" spans="1:17">
      <c r="A18" s="27">
        <v>18</v>
      </c>
      <c r="B18" s="27" t="s">
        <v>54</v>
      </c>
      <c r="C18" s="82" t="s">
        <v>995</v>
      </c>
      <c r="D18" s="29" t="s">
        <v>139</v>
      </c>
      <c r="E18" s="31"/>
      <c r="F18" s="31" t="s">
        <v>141</v>
      </c>
      <c r="G18" s="119" t="s">
        <v>1016</v>
      </c>
      <c r="H18" s="31"/>
      <c r="I18" s="119" t="s">
        <v>441</v>
      </c>
      <c r="J18" s="31" t="s">
        <v>440</v>
      </c>
      <c r="K18" s="29" t="s">
        <v>997</v>
      </c>
      <c r="L18" s="29" t="s">
        <v>674</v>
      </c>
      <c r="M18" s="177">
        <v>45895</v>
      </c>
      <c r="N18" s="177">
        <v>46078</v>
      </c>
      <c r="O18" s="198">
        <v>100</v>
      </c>
      <c r="P18" s="85" t="s">
        <v>1005</v>
      </c>
      <c r="Q18" s="168" t="s">
        <v>1017</v>
      </c>
    </row>
    <row r="19" s="30" customFormat="1" spans="1:17">
      <c r="A19" s="27">
        <v>19</v>
      </c>
      <c r="B19" s="27" t="s">
        <v>54</v>
      </c>
      <c r="C19" s="82" t="s">
        <v>995</v>
      </c>
      <c r="D19" s="29" t="s">
        <v>139</v>
      </c>
      <c r="E19" s="31"/>
      <c r="F19" s="31" t="s">
        <v>163</v>
      </c>
      <c r="G19" s="119" t="s">
        <v>1018</v>
      </c>
      <c r="H19" s="31"/>
      <c r="I19" s="119" t="s">
        <v>446</v>
      </c>
      <c r="J19" s="31" t="s">
        <v>149</v>
      </c>
      <c r="K19" s="29" t="s">
        <v>997</v>
      </c>
      <c r="L19" s="29" t="s">
        <v>674</v>
      </c>
      <c r="M19" s="177">
        <v>45895</v>
      </c>
      <c r="N19" s="177">
        <v>46078</v>
      </c>
      <c r="O19" s="198">
        <v>100</v>
      </c>
      <c r="P19" s="85" t="s">
        <v>1005</v>
      </c>
      <c r="Q19" s="168" t="s">
        <v>1014</v>
      </c>
    </row>
    <row r="20" s="30" customFormat="1" spans="1:17">
      <c r="A20" s="27">
        <v>20</v>
      </c>
      <c r="B20" s="27" t="s">
        <v>37</v>
      </c>
      <c r="C20" s="82" t="s">
        <v>827</v>
      </c>
      <c r="D20" s="29" t="s">
        <v>1019</v>
      </c>
      <c r="E20" s="31" t="s">
        <v>1020</v>
      </c>
      <c r="F20" s="31" t="s">
        <v>1021</v>
      </c>
      <c r="G20" s="119" t="s">
        <v>1022</v>
      </c>
      <c r="H20" s="31">
        <v>2014.01</v>
      </c>
      <c r="I20" s="31" t="s">
        <v>1023</v>
      </c>
      <c r="J20" s="31" t="s">
        <v>1024</v>
      </c>
      <c r="K20" s="31" t="s">
        <v>667</v>
      </c>
      <c r="L20" s="29" t="s">
        <v>674</v>
      </c>
      <c r="M20" s="177">
        <v>45632</v>
      </c>
      <c r="N20" s="177">
        <v>45996</v>
      </c>
      <c r="O20" s="142">
        <v>269</v>
      </c>
      <c r="P20" s="85" t="s">
        <v>1025</v>
      </c>
      <c r="Q20" s="168"/>
    </row>
    <row r="21" s="30" customFormat="1" spans="1:17">
      <c r="A21" s="27">
        <v>21</v>
      </c>
      <c r="B21" s="27" t="s">
        <v>37</v>
      </c>
      <c r="C21" s="82" t="s">
        <v>995</v>
      </c>
      <c r="D21" s="29" t="s">
        <v>334</v>
      </c>
      <c r="E21" s="31"/>
      <c r="F21" s="31" t="s">
        <v>1026</v>
      </c>
      <c r="G21" s="119" t="s">
        <v>1027</v>
      </c>
      <c r="H21" s="168"/>
      <c r="I21" s="168"/>
      <c r="J21" s="168"/>
      <c r="K21" s="168"/>
      <c r="L21" s="29" t="s">
        <v>674</v>
      </c>
      <c r="M21" s="177">
        <v>45644</v>
      </c>
      <c r="N21" s="177">
        <v>46008</v>
      </c>
      <c r="O21" s="30">
        <v>250</v>
      </c>
      <c r="P21" s="259" t="s">
        <v>1028</v>
      </c>
      <c r="Q21" s="168" t="s">
        <v>1029</v>
      </c>
    </row>
    <row r="22" s="30" customFormat="1" spans="1:17">
      <c r="A22" s="27">
        <v>22</v>
      </c>
      <c r="B22" s="27" t="s">
        <v>54</v>
      </c>
      <c r="C22" s="82" t="s">
        <v>827</v>
      </c>
      <c r="D22" s="29" t="s">
        <v>732</v>
      </c>
      <c r="E22" s="31" t="s">
        <v>1030</v>
      </c>
      <c r="F22" s="31" t="s">
        <v>734</v>
      </c>
      <c r="G22" s="119" t="s">
        <v>1031</v>
      </c>
      <c r="H22" s="119" t="s">
        <v>439</v>
      </c>
      <c r="I22" s="31" t="s">
        <v>42</v>
      </c>
      <c r="J22" s="31" t="s">
        <v>42</v>
      </c>
      <c r="K22" s="31" t="s">
        <v>667</v>
      </c>
      <c r="L22" s="29" t="s">
        <v>674</v>
      </c>
      <c r="M22" s="177">
        <v>45666</v>
      </c>
      <c r="N22" s="177">
        <v>46030</v>
      </c>
      <c r="O22" s="142">
        <v>600</v>
      </c>
      <c r="P22" s="85"/>
      <c r="Q22" s="168"/>
    </row>
    <row r="23" s="30" customFormat="1" spans="1:17">
      <c r="A23" s="27">
        <v>23</v>
      </c>
      <c r="B23" s="27" t="s">
        <v>37</v>
      </c>
      <c r="C23" s="82" t="s">
        <v>6</v>
      </c>
      <c r="D23" s="29" t="s">
        <v>1032</v>
      </c>
      <c r="E23" s="31" t="s">
        <v>1033</v>
      </c>
      <c r="F23" s="31" t="s">
        <v>1034</v>
      </c>
      <c r="G23" s="119" t="s">
        <v>1035</v>
      </c>
      <c r="H23" s="31">
        <v>2014.01</v>
      </c>
      <c r="I23" s="31" t="s">
        <v>1036</v>
      </c>
      <c r="J23" s="31">
        <v>0.1</v>
      </c>
      <c r="K23" s="31" t="s">
        <v>667</v>
      </c>
      <c r="L23" s="29" t="s">
        <v>674</v>
      </c>
      <c r="M23" s="177">
        <v>45707</v>
      </c>
      <c r="N23" s="177">
        <v>46040</v>
      </c>
      <c r="O23" s="142">
        <v>336</v>
      </c>
      <c r="P23" s="85"/>
      <c r="Q23" s="168"/>
    </row>
    <row r="24" s="30" customFormat="1" spans="1:17">
      <c r="A24" s="27">
        <v>24</v>
      </c>
      <c r="B24" s="27" t="s">
        <v>37</v>
      </c>
      <c r="C24" s="82" t="s">
        <v>827</v>
      </c>
      <c r="D24" s="29" t="s">
        <v>771</v>
      </c>
      <c r="E24" s="31"/>
      <c r="F24" s="31" t="s">
        <v>1037</v>
      </c>
      <c r="G24" s="119" t="s">
        <v>1038</v>
      </c>
      <c r="H24" s="31"/>
      <c r="I24" s="31"/>
      <c r="J24" s="31"/>
      <c r="K24" s="31"/>
      <c r="L24" s="161" t="s">
        <v>674</v>
      </c>
      <c r="M24" s="177">
        <v>45680</v>
      </c>
      <c r="N24" s="177">
        <v>46044</v>
      </c>
      <c r="O24" s="142">
        <v>60</v>
      </c>
      <c r="P24" s="85"/>
      <c r="Q24" s="168"/>
    </row>
    <row r="25" s="30" customFormat="1" spans="1:17">
      <c r="A25" s="27">
        <v>25</v>
      </c>
      <c r="B25" s="27" t="s">
        <v>37</v>
      </c>
      <c r="C25" s="82" t="s">
        <v>827</v>
      </c>
      <c r="D25" s="29" t="s">
        <v>1039</v>
      </c>
      <c r="E25" s="31"/>
      <c r="F25" s="31" t="s">
        <v>1040</v>
      </c>
      <c r="G25" s="250" t="s">
        <v>1041</v>
      </c>
      <c r="H25" s="31"/>
      <c r="I25" s="31"/>
      <c r="J25" s="31"/>
      <c r="K25" s="31"/>
      <c r="L25" s="161" t="s">
        <v>674</v>
      </c>
      <c r="M25" s="177">
        <v>45749</v>
      </c>
      <c r="N25" s="177">
        <v>46113</v>
      </c>
      <c r="O25" s="142">
        <v>60</v>
      </c>
      <c r="P25" s="85"/>
      <c r="Q25" s="168"/>
    </row>
    <row r="26" s="30" customFormat="1" spans="1:17">
      <c r="A26" s="27">
        <v>26</v>
      </c>
      <c r="B26" s="27" t="s">
        <v>37</v>
      </c>
      <c r="C26" s="82" t="s">
        <v>827</v>
      </c>
      <c r="D26" s="252" t="s">
        <v>818</v>
      </c>
      <c r="E26" s="253" t="s">
        <v>1042</v>
      </c>
      <c r="F26" s="254" t="s">
        <v>820</v>
      </c>
      <c r="G26" s="255" t="s">
        <v>1043</v>
      </c>
      <c r="H26" s="256" t="s">
        <v>1044</v>
      </c>
      <c r="I26" s="254" t="s">
        <v>1045</v>
      </c>
      <c r="J26" s="260" t="s">
        <v>1046</v>
      </c>
      <c r="K26" s="254" t="s">
        <v>939</v>
      </c>
      <c r="L26" s="261" t="s">
        <v>674</v>
      </c>
      <c r="M26" s="177">
        <v>45776</v>
      </c>
      <c r="N26" s="177">
        <v>46140</v>
      </c>
      <c r="O26" s="142">
        <v>300</v>
      </c>
      <c r="P26" s="85"/>
      <c r="Q26" s="168"/>
    </row>
    <row r="27" s="30" customFormat="1" ht="24" spans="1:17">
      <c r="A27" s="27">
        <v>27</v>
      </c>
      <c r="B27" s="27" t="s">
        <v>37</v>
      </c>
      <c r="C27" s="82" t="s">
        <v>827</v>
      </c>
      <c r="D27" s="29" t="s">
        <v>70</v>
      </c>
      <c r="E27" s="257" t="s">
        <v>1047</v>
      </c>
      <c r="F27" s="257" t="s">
        <v>402</v>
      </c>
      <c r="G27" s="258" t="s">
        <v>1048</v>
      </c>
      <c r="H27" s="258" t="s">
        <v>1044</v>
      </c>
      <c r="I27" s="258" t="s">
        <v>728</v>
      </c>
      <c r="J27" s="262" t="s">
        <v>1049</v>
      </c>
      <c r="K27" s="257" t="s">
        <v>667</v>
      </c>
      <c r="L27" s="161" t="s">
        <v>674</v>
      </c>
      <c r="M27" s="177">
        <v>45792</v>
      </c>
      <c r="N27" s="177">
        <v>46156</v>
      </c>
      <c r="O27" s="142">
        <v>240</v>
      </c>
      <c r="P27" s="263"/>
      <c r="Q27" s="168"/>
    </row>
    <row r="28" s="30" customFormat="1" spans="1:17">
      <c r="A28" s="27">
        <v>28</v>
      </c>
      <c r="B28" s="27" t="s">
        <v>37</v>
      </c>
      <c r="C28" s="82" t="s">
        <v>827</v>
      </c>
      <c r="D28" s="29" t="s">
        <v>1050</v>
      </c>
      <c r="E28" s="31"/>
      <c r="F28" s="31" t="s">
        <v>1051</v>
      </c>
      <c r="G28" s="119" t="s">
        <v>1052</v>
      </c>
      <c r="H28" s="31"/>
      <c r="I28" s="31"/>
      <c r="J28" s="31"/>
      <c r="K28" s="31"/>
      <c r="L28" s="161" t="s">
        <v>674</v>
      </c>
      <c r="M28" s="177">
        <v>45812</v>
      </c>
      <c r="N28" s="177">
        <v>46176</v>
      </c>
      <c r="O28" s="142">
        <v>120</v>
      </c>
      <c r="P28" s="85"/>
      <c r="Q28" s="168"/>
    </row>
    <row r="29" s="30" customFormat="1" spans="1:17">
      <c r="A29" s="27">
        <v>29</v>
      </c>
      <c r="B29" s="27" t="s">
        <v>37</v>
      </c>
      <c r="C29" s="82" t="s">
        <v>827</v>
      </c>
      <c r="D29" s="29" t="s">
        <v>771</v>
      </c>
      <c r="E29" s="31"/>
      <c r="F29" s="31" t="s">
        <v>1053</v>
      </c>
      <c r="G29" s="119" t="s">
        <v>1054</v>
      </c>
      <c r="H29" s="31"/>
      <c r="I29" s="31"/>
      <c r="J29" s="31"/>
      <c r="K29" s="31"/>
      <c r="L29" s="161" t="s">
        <v>674</v>
      </c>
      <c r="M29" s="177">
        <v>45812</v>
      </c>
      <c r="N29" s="177">
        <v>46176</v>
      </c>
      <c r="O29" s="142">
        <v>60</v>
      </c>
      <c r="P29" s="85"/>
      <c r="Q29" s="168"/>
    </row>
    <row r="30" s="30" customFormat="1" spans="1:17">
      <c r="A30" s="27">
        <v>30</v>
      </c>
      <c r="B30" s="27" t="s">
        <v>37</v>
      </c>
      <c r="C30" s="82" t="s">
        <v>827</v>
      </c>
      <c r="D30" s="29" t="s">
        <v>1039</v>
      </c>
      <c r="E30" s="31"/>
      <c r="F30" s="31" t="s">
        <v>1055</v>
      </c>
      <c r="G30" s="119" t="s">
        <v>1056</v>
      </c>
      <c r="H30" s="31"/>
      <c r="I30" s="31"/>
      <c r="J30" s="31"/>
      <c r="K30" s="31"/>
      <c r="L30" s="161" t="s">
        <v>674</v>
      </c>
      <c r="M30" s="177">
        <v>45812</v>
      </c>
      <c r="N30" s="177">
        <v>46176</v>
      </c>
      <c r="O30" s="142">
        <v>60</v>
      </c>
      <c r="P30" s="85"/>
      <c r="Q30" s="168"/>
    </row>
    <row r="31" s="30" customFormat="1" spans="1:17">
      <c r="A31" s="27">
        <v>31</v>
      </c>
      <c r="B31" s="27" t="s">
        <v>37</v>
      </c>
      <c r="C31" s="82" t="s">
        <v>827</v>
      </c>
      <c r="D31" s="29" t="s">
        <v>1039</v>
      </c>
      <c r="E31" s="31"/>
      <c r="F31" s="31" t="s">
        <v>1057</v>
      </c>
      <c r="G31" s="119" t="s">
        <v>1058</v>
      </c>
      <c r="H31" s="31"/>
      <c r="I31" s="31"/>
      <c r="J31" s="31"/>
      <c r="K31" s="31"/>
      <c r="L31" s="161" t="s">
        <v>674</v>
      </c>
      <c r="M31" s="177">
        <v>45812</v>
      </c>
      <c r="N31" s="177">
        <v>46176</v>
      </c>
      <c r="O31" s="142">
        <v>60</v>
      </c>
      <c r="P31" s="85"/>
      <c r="Q31" s="168"/>
    </row>
    <row r="32" s="30" customFormat="1" ht="24" spans="1:17">
      <c r="A32" s="27">
        <v>32</v>
      </c>
      <c r="B32" s="27" t="s">
        <v>37</v>
      </c>
      <c r="C32" s="28" t="s">
        <v>827</v>
      </c>
      <c r="D32" s="29" t="s">
        <v>70</v>
      </c>
      <c r="E32" s="257" t="s">
        <v>1047</v>
      </c>
      <c r="F32" s="257" t="s">
        <v>402</v>
      </c>
      <c r="G32" s="258" t="s">
        <v>1059</v>
      </c>
      <c r="H32" s="258" t="s">
        <v>1044</v>
      </c>
      <c r="I32" s="258" t="s">
        <v>728</v>
      </c>
      <c r="J32" s="262" t="s">
        <v>1049</v>
      </c>
      <c r="K32" s="257" t="s">
        <v>667</v>
      </c>
      <c r="L32" s="29" t="s">
        <v>677</v>
      </c>
      <c r="M32" s="177">
        <v>45820</v>
      </c>
      <c r="N32" s="177">
        <v>46184</v>
      </c>
      <c r="O32" s="142">
        <v>240</v>
      </c>
      <c r="P32" s="264" t="s">
        <v>361</v>
      </c>
      <c r="Q32" s="168"/>
    </row>
    <row r="33" s="30" customFormat="1" spans="1:18">
      <c r="A33" s="27">
        <v>33</v>
      </c>
      <c r="B33" s="27" t="s">
        <v>37</v>
      </c>
      <c r="C33" s="82" t="s">
        <v>827</v>
      </c>
      <c r="D33" s="29" t="s">
        <v>1060</v>
      </c>
      <c r="E33" s="31"/>
      <c r="F33" s="31" t="s">
        <v>1061</v>
      </c>
      <c r="G33" s="250" t="s">
        <v>1062</v>
      </c>
      <c r="H33" s="31"/>
      <c r="I33" s="31"/>
      <c r="J33" s="31"/>
      <c r="K33" s="31"/>
      <c r="L33" s="29" t="s">
        <v>674</v>
      </c>
      <c r="M33" s="177">
        <v>45824</v>
      </c>
      <c r="N33" s="177">
        <v>46188</v>
      </c>
      <c r="O33" s="142">
        <v>336</v>
      </c>
      <c r="P33" s="85"/>
      <c r="Q33" s="168"/>
      <c r="R33" s="251"/>
    </row>
    <row r="34" s="30" customFormat="1" spans="1:18">
      <c r="A34" s="27">
        <v>34</v>
      </c>
      <c r="B34" s="27" t="s">
        <v>37</v>
      </c>
      <c r="C34" s="82" t="s">
        <v>995</v>
      </c>
      <c r="D34" s="29" t="s">
        <v>89</v>
      </c>
      <c r="E34" s="31"/>
      <c r="F34" s="31" t="s">
        <v>1063</v>
      </c>
      <c r="G34" s="119" t="s">
        <v>1064</v>
      </c>
      <c r="H34" s="31"/>
      <c r="I34" s="31"/>
      <c r="J34" s="31"/>
      <c r="K34" s="31"/>
      <c r="L34" s="29" t="s">
        <v>674</v>
      </c>
      <c r="M34" s="177">
        <v>45826</v>
      </c>
      <c r="N34" s="177">
        <v>46190</v>
      </c>
      <c r="O34" s="142">
        <v>60</v>
      </c>
      <c r="P34" s="168" t="s">
        <v>1065</v>
      </c>
      <c r="Q34" s="168"/>
      <c r="R34" s="251"/>
    </row>
    <row r="35" s="30" customFormat="1" spans="16:16">
      <c r="P35" s="17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P16"/>
  <sheetViews>
    <sheetView zoomScale="85" zoomScaleNormal="85" topLeftCell="B1" workbookViewId="0">
      <pane ySplit="1" topLeftCell="A2" activePane="bottomLeft" state="frozen"/>
      <selection/>
      <selection pane="bottomLeft" activeCell="M3" sqref="M3:N5"/>
    </sheetView>
  </sheetViews>
  <sheetFormatPr defaultColWidth="9" defaultRowHeight="13.5"/>
  <cols>
    <col min="3" max="3" width="10" customWidth="1"/>
    <col min="14" max="14" width="10.625" customWidth="1"/>
  </cols>
  <sheetData>
    <row r="1" spans="1:16">
      <c r="A1" s="30"/>
      <c r="B1" s="53" t="s">
        <v>20</v>
      </c>
      <c r="C1" s="53" t="s">
        <v>21</v>
      </c>
      <c r="D1" s="53" t="s">
        <v>22</v>
      </c>
      <c r="E1" s="53" t="s">
        <v>23</v>
      </c>
      <c r="F1" s="53" t="s">
        <v>24</v>
      </c>
      <c r="G1" s="54" t="s">
        <v>25</v>
      </c>
      <c r="H1" s="53" t="s">
        <v>26</v>
      </c>
      <c r="I1" s="53" t="s">
        <v>27</v>
      </c>
      <c r="J1" s="53" t="s">
        <v>28</v>
      </c>
      <c r="K1" s="53" t="s">
        <v>29</v>
      </c>
      <c r="L1" s="53" t="s">
        <v>30</v>
      </c>
      <c r="M1" s="53" t="s">
        <v>31</v>
      </c>
      <c r="N1" s="53" t="s">
        <v>664</v>
      </c>
      <c r="O1" s="53" t="s">
        <v>33</v>
      </c>
      <c r="P1" s="53" t="s">
        <v>34</v>
      </c>
    </row>
    <row r="2" ht="24" spans="1:16">
      <c r="A2" s="27">
        <v>1</v>
      </c>
      <c r="B2" s="27" t="s">
        <v>37</v>
      </c>
      <c r="C2" s="28" t="s">
        <v>675</v>
      </c>
      <c r="D2" s="29" t="s">
        <v>1066</v>
      </c>
      <c r="E2" s="31"/>
      <c r="F2" s="31" t="s">
        <v>1067</v>
      </c>
      <c r="G2" s="119" t="s">
        <v>1068</v>
      </c>
      <c r="H2" s="119" t="s">
        <v>1069</v>
      </c>
      <c r="I2" s="31"/>
      <c r="J2" s="31"/>
      <c r="K2" s="29" t="s">
        <v>673</v>
      </c>
      <c r="L2" s="29" t="s">
        <v>674</v>
      </c>
      <c r="M2" s="177">
        <v>45558</v>
      </c>
      <c r="N2" s="177">
        <v>45922</v>
      </c>
      <c r="O2" s="248">
        <v>1000</v>
      </c>
      <c r="P2" s="249"/>
    </row>
    <row r="3" ht="24" spans="1:16">
      <c r="A3" s="27">
        <v>2</v>
      </c>
      <c r="B3" s="27" t="s">
        <v>37</v>
      </c>
      <c r="C3" s="28" t="s">
        <v>675</v>
      </c>
      <c r="D3" s="29" t="s">
        <v>678</v>
      </c>
      <c r="E3" s="31" t="s">
        <v>1070</v>
      </c>
      <c r="F3" s="31" t="s">
        <v>681</v>
      </c>
      <c r="G3" s="119" t="s">
        <v>1071</v>
      </c>
      <c r="H3" s="119" t="s">
        <v>460</v>
      </c>
      <c r="I3" s="247" t="s">
        <v>1072</v>
      </c>
      <c r="J3" s="31" t="s">
        <v>1073</v>
      </c>
      <c r="K3" s="29" t="s">
        <v>673</v>
      </c>
      <c r="L3" s="29" t="s">
        <v>674</v>
      </c>
      <c r="M3" s="94">
        <v>45928</v>
      </c>
      <c r="N3" s="94">
        <v>46292</v>
      </c>
      <c r="O3" s="29">
        <v>300</v>
      </c>
      <c r="P3" s="249"/>
    </row>
    <row r="4" ht="24" spans="1:16">
      <c r="A4" s="27">
        <v>3</v>
      </c>
      <c r="B4" s="27" t="s">
        <v>37</v>
      </c>
      <c r="C4" s="28" t="s">
        <v>675</v>
      </c>
      <c r="D4" s="29" t="s">
        <v>678</v>
      </c>
      <c r="E4" s="31" t="s">
        <v>1074</v>
      </c>
      <c r="F4" s="31" t="s">
        <v>681</v>
      </c>
      <c r="G4" s="119" t="s">
        <v>1075</v>
      </c>
      <c r="H4" s="119" t="s">
        <v>453</v>
      </c>
      <c r="I4" s="247" t="s">
        <v>1072</v>
      </c>
      <c r="J4" s="31" t="s">
        <v>683</v>
      </c>
      <c r="K4" s="29" t="s">
        <v>673</v>
      </c>
      <c r="L4" s="29" t="s">
        <v>674</v>
      </c>
      <c r="M4" s="94">
        <v>45928</v>
      </c>
      <c r="N4" s="94">
        <v>46292</v>
      </c>
      <c r="O4" s="29">
        <v>300</v>
      </c>
      <c r="P4" s="249"/>
    </row>
    <row r="5" ht="24" spans="1:16">
      <c r="A5" s="27">
        <v>4</v>
      </c>
      <c r="B5" s="27" t="s">
        <v>37</v>
      </c>
      <c r="C5" s="28" t="s">
        <v>675</v>
      </c>
      <c r="D5" s="29" t="s">
        <v>678</v>
      </c>
      <c r="E5" s="31" t="s">
        <v>1076</v>
      </c>
      <c r="F5" s="31" t="s">
        <v>681</v>
      </c>
      <c r="G5" s="119" t="s">
        <v>1077</v>
      </c>
      <c r="H5" s="119" t="s">
        <v>460</v>
      </c>
      <c r="I5" s="31" t="s">
        <v>682</v>
      </c>
      <c r="J5" s="31" t="s">
        <v>683</v>
      </c>
      <c r="K5" s="29" t="s">
        <v>673</v>
      </c>
      <c r="L5" s="29" t="s">
        <v>674</v>
      </c>
      <c r="M5" s="94">
        <v>45928</v>
      </c>
      <c r="N5" s="94">
        <v>46292</v>
      </c>
      <c r="O5" s="29">
        <v>300</v>
      </c>
      <c r="P5" s="249"/>
    </row>
    <row r="6" ht="24" spans="1:16">
      <c r="A6" s="27">
        <v>5</v>
      </c>
      <c r="B6" s="27" t="s">
        <v>37</v>
      </c>
      <c r="C6" s="28" t="s">
        <v>675</v>
      </c>
      <c r="D6" s="29" t="s">
        <v>1078</v>
      </c>
      <c r="E6" s="31"/>
      <c r="F6" s="31" t="s">
        <v>1079</v>
      </c>
      <c r="G6" s="119" t="s">
        <v>1080</v>
      </c>
      <c r="H6" s="119">
        <v>2019.03</v>
      </c>
      <c r="I6" s="31"/>
      <c r="J6" s="31"/>
      <c r="K6" s="29" t="s">
        <v>673</v>
      </c>
      <c r="L6" s="29" t="s">
        <v>674</v>
      </c>
      <c r="M6" s="177">
        <v>45558</v>
      </c>
      <c r="N6" s="177">
        <v>45923</v>
      </c>
      <c r="O6" s="29">
        <v>500</v>
      </c>
      <c r="P6" s="249"/>
    </row>
    <row r="7" ht="24" spans="1:16">
      <c r="A7" s="27">
        <v>6</v>
      </c>
      <c r="B7" s="27" t="s">
        <v>37</v>
      </c>
      <c r="C7" s="28" t="s">
        <v>675</v>
      </c>
      <c r="D7" s="29" t="s">
        <v>1081</v>
      </c>
      <c r="E7" s="31"/>
      <c r="F7" s="31" t="s">
        <v>1082</v>
      </c>
      <c r="G7" s="119" t="s">
        <v>1083</v>
      </c>
      <c r="H7" s="119">
        <v>2019.03</v>
      </c>
      <c r="I7" s="31"/>
      <c r="J7" s="31"/>
      <c r="K7" s="29" t="s">
        <v>673</v>
      </c>
      <c r="L7" s="29" t="s">
        <v>674</v>
      </c>
      <c r="M7" s="177">
        <v>45559</v>
      </c>
      <c r="N7" s="177">
        <v>45923</v>
      </c>
      <c r="O7" s="29">
        <v>500</v>
      </c>
      <c r="P7" s="249"/>
    </row>
    <row r="8" ht="22.5" spans="1:16">
      <c r="A8" s="27">
        <v>7</v>
      </c>
      <c r="B8" s="27" t="s">
        <v>37</v>
      </c>
      <c r="C8" s="28" t="s">
        <v>675</v>
      </c>
      <c r="D8" s="29" t="s">
        <v>710</v>
      </c>
      <c r="E8" s="31"/>
      <c r="F8" s="247" t="s">
        <v>1084</v>
      </c>
      <c r="G8" s="119">
        <v>18099959</v>
      </c>
      <c r="H8" s="119">
        <v>2019.03</v>
      </c>
      <c r="I8" s="31"/>
      <c r="J8" s="31"/>
      <c r="K8" s="29" t="s">
        <v>673</v>
      </c>
      <c r="L8" s="29" t="s">
        <v>674</v>
      </c>
      <c r="M8" s="177">
        <v>45560</v>
      </c>
      <c r="N8" s="177">
        <v>45924</v>
      </c>
      <c r="O8" s="29">
        <v>200</v>
      </c>
      <c r="P8" s="249"/>
    </row>
    <row r="9" ht="22.5" spans="1:16">
      <c r="A9" s="27">
        <v>8</v>
      </c>
      <c r="B9" s="27" t="s">
        <v>37</v>
      </c>
      <c r="C9" s="28" t="s">
        <v>675</v>
      </c>
      <c r="D9" s="29" t="s">
        <v>1085</v>
      </c>
      <c r="E9" s="31"/>
      <c r="F9" s="31" t="s">
        <v>42</v>
      </c>
      <c r="G9" s="119">
        <v>16112058</v>
      </c>
      <c r="H9" s="119">
        <v>2019.03</v>
      </c>
      <c r="I9" s="31"/>
      <c r="J9" s="31"/>
      <c r="K9" s="29" t="s">
        <v>673</v>
      </c>
      <c r="L9" s="29" t="s">
        <v>674</v>
      </c>
      <c r="M9" s="177">
        <v>45560</v>
      </c>
      <c r="N9" s="177">
        <v>45924</v>
      </c>
      <c r="O9" s="29">
        <v>200</v>
      </c>
      <c r="P9" s="249"/>
    </row>
    <row r="10" ht="24" spans="1:16">
      <c r="A10" s="27">
        <v>9</v>
      </c>
      <c r="B10" s="27" t="s">
        <v>37</v>
      </c>
      <c r="C10" s="28" t="s">
        <v>675</v>
      </c>
      <c r="D10" s="29" t="s">
        <v>1086</v>
      </c>
      <c r="E10" s="31"/>
      <c r="F10" s="31" t="s">
        <v>42</v>
      </c>
      <c r="G10" s="119" t="s">
        <v>1087</v>
      </c>
      <c r="H10" s="119">
        <v>2019.03</v>
      </c>
      <c r="I10" s="31"/>
      <c r="J10" s="31"/>
      <c r="K10" s="29" t="s">
        <v>673</v>
      </c>
      <c r="L10" s="29" t="s">
        <v>674</v>
      </c>
      <c r="M10" s="177">
        <v>45560</v>
      </c>
      <c r="N10" s="177">
        <v>45924</v>
      </c>
      <c r="O10" s="29">
        <v>200</v>
      </c>
      <c r="P10" s="249"/>
    </row>
    <row r="11" ht="24" spans="1:16">
      <c r="A11" s="27">
        <v>10</v>
      </c>
      <c r="B11" s="27" t="s">
        <v>37</v>
      </c>
      <c r="C11" s="28" t="s">
        <v>675</v>
      </c>
      <c r="D11" s="29" t="s">
        <v>1088</v>
      </c>
      <c r="E11" s="31"/>
      <c r="F11" s="247" t="s">
        <v>1089</v>
      </c>
      <c r="G11" s="119">
        <v>18065788</v>
      </c>
      <c r="H11" s="119">
        <v>2019.03</v>
      </c>
      <c r="I11" s="31"/>
      <c r="J11" s="31"/>
      <c r="K11" s="29" t="s">
        <v>673</v>
      </c>
      <c r="L11" s="29" t="s">
        <v>674</v>
      </c>
      <c r="M11" s="177">
        <v>45560</v>
      </c>
      <c r="N11" s="177">
        <v>45924</v>
      </c>
      <c r="O11" s="29">
        <v>200</v>
      </c>
      <c r="P11" s="249"/>
    </row>
    <row r="12" ht="22.5" spans="1:16">
      <c r="A12" s="27">
        <v>11</v>
      </c>
      <c r="B12" s="27" t="s">
        <v>37</v>
      </c>
      <c r="C12" s="28" t="s">
        <v>330</v>
      </c>
      <c r="D12" s="29" t="s">
        <v>771</v>
      </c>
      <c r="E12" s="29" t="s">
        <v>42</v>
      </c>
      <c r="F12" s="29" t="s">
        <v>1090</v>
      </c>
      <c r="G12" s="29" t="s">
        <v>1091</v>
      </c>
      <c r="H12" s="119">
        <v>2020.5</v>
      </c>
      <c r="I12" s="119"/>
      <c r="J12" s="51"/>
      <c r="K12" s="29" t="s">
        <v>673</v>
      </c>
      <c r="L12" s="29" t="s">
        <v>674</v>
      </c>
      <c r="M12" s="177">
        <v>45583</v>
      </c>
      <c r="N12" s="177">
        <v>45947</v>
      </c>
      <c r="O12" s="29">
        <v>60</v>
      </c>
      <c r="P12" s="85"/>
    </row>
    <row r="13" ht="22.5" spans="1:16">
      <c r="A13" s="27">
        <v>12</v>
      </c>
      <c r="B13" s="27" t="s">
        <v>37</v>
      </c>
      <c r="C13" s="28" t="s">
        <v>675</v>
      </c>
      <c r="D13" s="29" t="s">
        <v>771</v>
      </c>
      <c r="E13" s="29"/>
      <c r="F13" s="29" t="s">
        <v>1090</v>
      </c>
      <c r="G13" s="29" t="s">
        <v>1092</v>
      </c>
      <c r="H13" s="119"/>
      <c r="I13" s="119"/>
      <c r="J13" s="51"/>
      <c r="K13" s="29" t="s">
        <v>673</v>
      </c>
      <c r="L13" s="29" t="s">
        <v>674</v>
      </c>
      <c r="M13" s="177">
        <v>45583</v>
      </c>
      <c r="N13" s="177">
        <v>45947</v>
      </c>
      <c r="O13" s="29">
        <v>60</v>
      </c>
      <c r="P13" s="85"/>
    </row>
    <row r="14" ht="22.5" spans="1:16">
      <c r="A14" s="27">
        <v>13</v>
      </c>
      <c r="B14" s="27" t="s">
        <v>37</v>
      </c>
      <c r="C14" s="28" t="s">
        <v>675</v>
      </c>
      <c r="D14" s="29" t="s">
        <v>705</v>
      </c>
      <c r="E14" s="31" t="s">
        <v>1093</v>
      </c>
      <c r="F14" s="31" t="s">
        <v>832</v>
      </c>
      <c r="G14" s="119" t="s">
        <v>1094</v>
      </c>
      <c r="H14" s="119" t="s">
        <v>453</v>
      </c>
      <c r="I14" s="31" t="s">
        <v>707</v>
      </c>
      <c r="J14" s="31" t="s">
        <v>708</v>
      </c>
      <c r="K14" s="31" t="s">
        <v>667</v>
      </c>
      <c r="L14" s="29" t="s">
        <v>674</v>
      </c>
      <c r="M14" s="177">
        <v>45705</v>
      </c>
      <c r="N14" s="177">
        <v>46070</v>
      </c>
      <c r="O14" s="29">
        <v>200</v>
      </c>
      <c r="P14" s="168"/>
    </row>
    <row r="15" ht="22.5" spans="1:16">
      <c r="A15" s="27">
        <v>14</v>
      </c>
      <c r="B15" s="27" t="s">
        <v>37</v>
      </c>
      <c r="C15" s="28" t="s">
        <v>675</v>
      </c>
      <c r="D15" s="29" t="s">
        <v>1095</v>
      </c>
      <c r="E15" s="31"/>
      <c r="F15" s="31" t="s">
        <v>1096</v>
      </c>
      <c r="G15" s="32">
        <v>9210180094</v>
      </c>
      <c r="H15" s="31">
        <v>2019.03</v>
      </c>
      <c r="I15" s="31"/>
      <c r="J15" s="31"/>
      <c r="K15" s="29" t="s">
        <v>673</v>
      </c>
      <c r="L15" s="29" t="s">
        <v>674</v>
      </c>
      <c r="M15" s="177">
        <v>45707</v>
      </c>
      <c r="N15" s="177">
        <v>46071</v>
      </c>
      <c r="O15" s="29">
        <v>400</v>
      </c>
      <c r="P15" s="85"/>
    </row>
    <row r="16" ht="22.5" spans="1:16">
      <c r="A16" s="27">
        <v>15</v>
      </c>
      <c r="B16" s="27" t="s">
        <v>37</v>
      </c>
      <c r="C16" s="28" t="s">
        <v>675</v>
      </c>
      <c r="D16" s="29" t="s">
        <v>1097</v>
      </c>
      <c r="E16" s="31"/>
      <c r="F16" s="29" t="s">
        <v>1098</v>
      </c>
      <c r="G16" s="29" t="s">
        <v>1099</v>
      </c>
      <c r="H16" s="119"/>
      <c r="I16" s="250"/>
      <c r="J16" s="51"/>
      <c r="K16" s="29" t="s">
        <v>673</v>
      </c>
      <c r="L16" s="29" t="s">
        <v>674</v>
      </c>
      <c r="M16" s="177">
        <v>45707</v>
      </c>
      <c r="N16" s="177">
        <v>46071</v>
      </c>
      <c r="O16" s="29">
        <v>480</v>
      </c>
      <c r="P16" s="251"/>
    </row>
  </sheetData>
  <sortState ref="A2:P16">
    <sortCondition ref="N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Q54"/>
  <sheetViews>
    <sheetView zoomScale="85" zoomScaleNormal="85" workbookViewId="0">
      <pane ySplit="1" topLeftCell="A36" activePane="bottomLeft" state="frozen"/>
      <selection/>
      <selection pane="bottomLeft" activeCell="T14" sqref="T14"/>
    </sheetView>
  </sheetViews>
  <sheetFormatPr defaultColWidth="9" defaultRowHeight="13.5"/>
  <cols>
    <col min="3" max="3" width="9" style="224"/>
    <col min="4" max="4" width="11.125" customWidth="1"/>
    <col min="15" max="15" width="12.25" customWidth="1"/>
    <col min="17" max="17" width="13.625" customWidth="1"/>
  </cols>
  <sheetData>
    <row r="1" spans="1:17">
      <c r="A1" s="206"/>
      <c r="B1" s="53" t="s">
        <v>21</v>
      </c>
      <c r="C1" s="225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1100</v>
      </c>
      <c r="P1" s="1" t="s">
        <v>33</v>
      </c>
      <c r="Q1" s="1" t="s">
        <v>34</v>
      </c>
    </row>
    <row r="2" ht="22.5" spans="1:17">
      <c r="A2" s="226">
        <v>1</v>
      </c>
      <c r="B2" s="226" t="s">
        <v>15</v>
      </c>
      <c r="C2" s="226" t="s">
        <v>54</v>
      </c>
      <c r="D2" s="117" t="s">
        <v>1101</v>
      </c>
      <c r="E2" s="118" t="s">
        <v>1102</v>
      </c>
      <c r="F2" s="28"/>
      <c r="G2" s="119" t="s">
        <v>1103</v>
      </c>
      <c r="H2" s="119" t="s">
        <v>1104</v>
      </c>
      <c r="I2" s="119" t="s">
        <v>1105</v>
      </c>
      <c r="J2" s="31" t="s">
        <v>1106</v>
      </c>
      <c r="K2" s="51" t="s">
        <v>1107</v>
      </c>
      <c r="L2" s="29"/>
      <c r="M2" s="29" t="s">
        <v>674</v>
      </c>
      <c r="N2" s="177">
        <v>45928</v>
      </c>
      <c r="O2" s="177">
        <v>46292</v>
      </c>
      <c r="P2" s="29">
        <v>336</v>
      </c>
      <c r="Q2" s="244"/>
    </row>
    <row r="3" ht="22.5" spans="1:17">
      <c r="A3" s="226">
        <v>2</v>
      </c>
      <c r="B3" s="226" t="s">
        <v>15</v>
      </c>
      <c r="C3" s="226" t="s">
        <v>54</v>
      </c>
      <c r="D3" s="117" t="s">
        <v>1101</v>
      </c>
      <c r="E3" s="118" t="s">
        <v>1108</v>
      </c>
      <c r="F3" s="31" t="s">
        <v>1109</v>
      </c>
      <c r="G3" s="31" t="s">
        <v>1110</v>
      </c>
      <c r="H3" s="31" t="s">
        <v>1111</v>
      </c>
      <c r="I3" s="119" t="s">
        <v>1112</v>
      </c>
      <c r="J3" s="31" t="s">
        <v>1113</v>
      </c>
      <c r="K3" s="51" t="s">
        <v>1114</v>
      </c>
      <c r="L3" s="29" t="s">
        <v>673</v>
      </c>
      <c r="M3" s="29" t="s">
        <v>674</v>
      </c>
      <c r="N3" s="177">
        <v>45928</v>
      </c>
      <c r="O3" s="177">
        <v>46292</v>
      </c>
      <c r="P3" s="29">
        <v>300</v>
      </c>
      <c r="Q3" s="168"/>
    </row>
    <row r="4" ht="22.5" spans="1:17">
      <c r="A4" s="226">
        <v>3</v>
      </c>
      <c r="B4" s="226" t="s">
        <v>6</v>
      </c>
      <c r="C4" s="226" t="s">
        <v>54</v>
      </c>
      <c r="D4" s="117" t="s">
        <v>1115</v>
      </c>
      <c r="E4" s="118" t="s">
        <v>1102</v>
      </c>
      <c r="F4" s="28"/>
      <c r="G4" s="168"/>
      <c r="H4" s="119" t="s">
        <v>1116</v>
      </c>
      <c r="I4" s="119" t="s">
        <v>1105</v>
      </c>
      <c r="J4" s="31" t="s">
        <v>1106</v>
      </c>
      <c r="K4" s="51" t="s">
        <v>1117</v>
      </c>
      <c r="L4" s="31" t="s">
        <v>667</v>
      </c>
      <c r="M4" s="29" t="s">
        <v>674</v>
      </c>
      <c r="N4" s="177">
        <v>45928</v>
      </c>
      <c r="O4" s="177">
        <v>46292</v>
      </c>
      <c r="P4" s="29">
        <v>336</v>
      </c>
      <c r="Q4" s="168"/>
    </row>
    <row r="5" ht="22.5" spans="1:17">
      <c r="A5" s="226">
        <v>4</v>
      </c>
      <c r="B5" s="226" t="s">
        <v>15</v>
      </c>
      <c r="C5" s="226" t="s">
        <v>54</v>
      </c>
      <c r="D5" s="117" t="s">
        <v>1101</v>
      </c>
      <c r="E5" s="118" t="s">
        <v>1102</v>
      </c>
      <c r="F5" s="31" t="s">
        <v>1118</v>
      </c>
      <c r="G5" s="31" t="s">
        <v>1119</v>
      </c>
      <c r="H5" s="119" t="s">
        <v>1120</v>
      </c>
      <c r="I5" s="119" t="s">
        <v>460</v>
      </c>
      <c r="J5" s="31" t="s">
        <v>1121</v>
      </c>
      <c r="K5" s="51" t="s">
        <v>1122</v>
      </c>
      <c r="L5" s="29" t="s">
        <v>673</v>
      </c>
      <c r="M5" s="29" t="s">
        <v>674</v>
      </c>
      <c r="N5" s="177">
        <v>45928</v>
      </c>
      <c r="O5" s="177">
        <v>46292</v>
      </c>
      <c r="P5" s="29">
        <v>336</v>
      </c>
      <c r="Q5" s="168"/>
    </row>
    <row r="6" ht="24" spans="1:17">
      <c r="A6" s="226">
        <v>5</v>
      </c>
      <c r="B6" s="226" t="s">
        <v>15</v>
      </c>
      <c r="C6" s="226" t="s">
        <v>54</v>
      </c>
      <c r="D6" s="117" t="s">
        <v>280</v>
      </c>
      <c r="E6" s="118" t="s">
        <v>1102</v>
      </c>
      <c r="F6" s="119" t="s">
        <v>1123</v>
      </c>
      <c r="G6" s="31" t="s">
        <v>1119</v>
      </c>
      <c r="H6" s="119" t="s">
        <v>1124</v>
      </c>
      <c r="I6" s="119" t="s">
        <v>439</v>
      </c>
      <c r="J6" s="31" t="s">
        <v>1121</v>
      </c>
      <c r="K6" s="51" t="s">
        <v>1122</v>
      </c>
      <c r="L6" s="31" t="s">
        <v>667</v>
      </c>
      <c r="M6" s="29" t="s">
        <v>674</v>
      </c>
      <c r="N6" s="177">
        <v>45928</v>
      </c>
      <c r="O6" s="177">
        <v>46292</v>
      </c>
      <c r="P6" s="29">
        <v>336</v>
      </c>
      <c r="Q6" s="168"/>
    </row>
    <row r="7" ht="24" spans="1:17">
      <c r="A7" s="226">
        <v>6</v>
      </c>
      <c r="B7" s="226" t="s">
        <v>15</v>
      </c>
      <c r="C7" s="226" t="s">
        <v>54</v>
      </c>
      <c r="D7" s="117" t="s">
        <v>280</v>
      </c>
      <c r="E7" s="118" t="s">
        <v>1102</v>
      </c>
      <c r="F7" s="119"/>
      <c r="G7" s="31" t="s">
        <v>1119</v>
      </c>
      <c r="H7" s="119" t="s">
        <v>1125</v>
      </c>
      <c r="I7" s="119" t="s">
        <v>439</v>
      </c>
      <c r="J7" s="31" t="s">
        <v>1121</v>
      </c>
      <c r="K7" s="51" t="s">
        <v>1122</v>
      </c>
      <c r="L7" s="31" t="s">
        <v>667</v>
      </c>
      <c r="M7" s="29" t="s">
        <v>674</v>
      </c>
      <c r="N7" s="177">
        <v>45928</v>
      </c>
      <c r="O7" s="177">
        <v>46292</v>
      </c>
      <c r="P7" s="29">
        <v>336</v>
      </c>
      <c r="Q7" s="168"/>
    </row>
    <row r="8" ht="22.5" spans="1:17">
      <c r="A8" s="226">
        <v>7</v>
      </c>
      <c r="B8" s="226" t="s">
        <v>15</v>
      </c>
      <c r="C8" s="226" t="s">
        <v>54</v>
      </c>
      <c r="D8" s="28" t="s">
        <v>1101</v>
      </c>
      <c r="E8" s="118" t="s">
        <v>1108</v>
      </c>
      <c r="F8" s="31" t="s">
        <v>1126</v>
      </c>
      <c r="G8" s="31" t="s">
        <v>1127</v>
      </c>
      <c r="H8" s="119" t="s">
        <v>1128</v>
      </c>
      <c r="I8" s="119" t="s">
        <v>439</v>
      </c>
      <c r="J8" s="31" t="s">
        <v>1129</v>
      </c>
      <c r="K8" s="51" t="s">
        <v>1114</v>
      </c>
      <c r="L8" s="29" t="s">
        <v>673</v>
      </c>
      <c r="M8" s="29" t="s">
        <v>674</v>
      </c>
      <c r="N8" s="177">
        <v>45928</v>
      </c>
      <c r="O8" s="177">
        <v>46292</v>
      </c>
      <c r="P8" s="29">
        <v>300</v>
      </c>
      <c r="Q8" s="168"/>
    </row>
    <row r="9" ht="22.5" spans="1:17">
      <c r="A9" s="226">
        <v>8</v>
      </c>
      <c r="B9" s="226" t="s">
        <v>15</v>
      </c>
      <c r="C9" s="226" t="s">
        <v>54</v>
      </c>
      <c r="D9" s="117" t="s">
        <v>1101</v>
      </c>
      <c r="E9" s="118" t="s">
        <v>1108</v>
      </c>
      <c r="F9" s="31" t="s">
        <v>1130</v>
      </c>
      <c r="G9" s="31" t="s">
        <v>1110</v>
      </c>
      <c r="H9" s="31" t="s">
        <v>1131</v>
      </c>
      <c r="I9" s="119" t="s">
        <v>453</v>
      </c>
      <c r="J9" s="31" t="s">
        <v>1113</v>
      </c>
      <c r="K9" s="51" t="s">
        <v>1114</v>
      </c>
      <c r="L9" s="29" t="s">
        <v>673</v>
      </c>
      <c r="M9" s="29" t="s">
        <v>674</v>
      </c>
      <c r="N9" s="177">
        <v>45928</v>
      </c>
      <c r="O9" s="177">
        <v>46292</v>
      </c>
      <c r="P9" s="29">
        <v>300</v>
      </c>
      <c r="Q9" s="168"/>
    </row>
    <row r="10" ht="22.5" spans="1:17">
      <c r="A10" s="226">
        <v>9</v>
      </c>
      <c r="B10" s="226" t="s">
        <v>15</v>
      </c>
      <c r="C10" s="226" t="s">
        <v>54</v>
      </c>
      <c r="D10" s="117" t="s">
        <v>1101</v>
      </c>
      <c r="E10" s="118" t="s">
        <v>1108</v>
      </c>
      <c r="F10" s="31" t="s">
        <v>1132</v>
      </c>
      <c r="G10" s="31" t="s">
        <v>1133</v>
      </c>
      <c r="H10" s="31">
        <v>1231160647</v>
      </c>
      <c r="I10" s="119" t="s">
        <v>439</v>
      </c>
      <c r="J10" s="31" t="s">
        <v>1134</v>
      </c>
      <c r="K10" s="51" t="s">
        <v>1135</v>
      </c>
      <c r="L10" s="29" t="s">
        <v>673</v>
      </c>
      <c r="M10" s="29" t="s">
        <v>674</v>
      </c>
      <c r="N10" s="177">
        <v>45928</v>
      </c>
      <c r="O10" s="177">
        <v>46292</v>
      </c>
      <c r="P10" s="29">
        <v>300</v>
      </c>
      <c r="Q10" s="168"/>
    </row>
    <row r="11" ht="22.5" spans="1:17">
      <c r="A11" s="226">
        <v>10</v>
      </c>
      <c r="B11" s="226" t="s">
        <v>15</v>
      </c>
      <c r="C11" s="226" t="s">
        <v>54</v>
      </c>
      <c r="D11" s="117" t="s">
        <v>1101</v>
      </c>
      <c r="E11" s="118" t="s">
        <v>1108</v>
      </c>
      <c r="F11" s="31"/>
      <c r="G11" s="31" t="s">
        <v>1110</v>
      </c>
      <c r="H11" s="31" t="s">
        <v>1136</v>
      </c>
      <c r="I11" s="119"/>
      <c r="J11" s="31" t="s">
        <v>1137</v>
      </c>
      <c r="K11" s="51" t="s">
        <v>1114</v>
      </c>
      <c r="L11" s="29" t="s">
        <v>673</v>
      </c>
      <c r="M11" s="29" t="s">
        <v>674</v>
      </c>
      <c r="N11" s="177">
        <v>45928</v>
      </c>
      <c r="O11" s="177">
        <v>46292</v>
      </c>
      <c r="P11" s="29">
        <v>300</v>
      </c>
      <c r="Q11" s="168"/>
    </row>
    <row r="12" ht="22.5" spans="1:17">
      <c r="A12" s="226">
        <v>11</v>
      </c>
      <c r="B12" s="226" t="s">
        <v>15</v>
      </c>
      <c r="C12" s="226" t="s">
        <v>54</v>
      </c>
      <c r="D12" s="117" t="s">
        <v>1101</v>
      </c>
      <c r="E12" s="118" t="s">
        <v>1108</v>
      </c>
      <c r="F12" s="31" t="s">
        <v>1138</v>
      </c>
      <c r="G12" s="31" t="s">
        <v>1110</v>
      </c>
      <c r="H12" s="31" t="s">
        <v>1139</v>
      </c>
      <c r="I12" s="119" t="s">
        <v>460</v>
      </c>
      <c r="J12" s="31" t="s">
        <v>1137</v>
      </c>
      <c r="K12" s="51" t="s">
        <v>1114</v>
      </c>
      <c r="L12" s="29" t="s">
        <v>673</v>
      </c>
      <c r="M12" s="29" t="s">
        <v>674</v>
      </c>
      <c r="N12" s="177">
        <v>45928</v>
      </c>
      <c r="O12" s="177">
        <v>46292</v>
      </c>
      <c r="P12" s="29">
        <v>300</v>
      </c>
      <c r="Q12" s="168"/>
    </row>
    <row r="13" ht="22.5" spans="1:17">
      <c r="A13" s="226">
        <v>13</v>
      </c>
      <c r="B13" s="226" t="s">
        <v>15</v>
      </c>
      <c r="C13" s="226" t="s">
        <v>54</v>
      </c>
      <c r="D13" s="117" t="s">
        <v>1101</v>
      </c>
      <c r="E13" s="118" t="s">
        <v>1108</v>
      </c>
      <c r="F13" s="31" t="s">
        <v>42</v>
      </c>
      <c r="G13" s="31" t="s">
        <v>1110</v>
      </c>
      <c r="H13" s="31" t="s">
        <v>1140</v>
      </c>
      <c r="I13" s="119" t="s">
        <v>1069</v>
      </c>
      <c r="J13" s="31" t="s">
        <v>1113</v>
      </c>
      <c r="K13" s="51" t="s">
        <v>1114</v>
      </c>
      <c r="L13" s="29" t="s">
        <v>673</v>
      </c>
      <c r="M13" s="29" t="s">
        <v>674</v>
      </c>
      <c r="N13" s="177">
        <v>45928</v>
      </c>
      <c r="O13" s="177">
        <v>46292</v>
      </c>
      <c r="P13" s="29">
        <v>300</v>
      </c>
      <c r="Q13" s="168"/>
    </row>
    <row r="14" ht="22.5" spans="1:17">
      <c r="A14" s="226">
        <v>14</v>
      </c>
      <c r="B14" s="226" t="s">
        <v>15</v>
      </c>
      <c r="C14" s="226" t="s">
        <v>54</v>
      </c>
      <c r="D14" s="117" t="s">
        <v>280</v>
      </c>
      <c r="E14" s="118" t="s">
        <v>1108</v>
      </c>
      <c r="F14" s="31" t="s">
        <v>1141</v>
      </c>
      <c r="G14" s="31" t="s">
        <v>1142</v>
      </c>
      <c r="H14" s="31">
        <v>1124013657</v>
      </c>
      <c r="I14" s="31">
        <v>2010.11</v>
      </c>
      <c r="J14" s="31" t="s">
        <v>1143</v>
      </c>
      <c r="K14" s="51" t="s">
        <v>1114</v>
      </c>
      <c r="L14" s="29" t="s">
        <v>673</v>
      </c>
      <c r="M14" s="29" t="s">
        <v>674</v>
      </c>
      <c r="N14" s="177">
        <v>45928</v>
      </c>
      <c r="O14" s="177">
        <v>46292</v>
      </c>
      <c r="P14" s="29">
        <v>300</v>
      </c>
      <c r="Q14" s="168"/>
    </row>
    <row r="15" ht="22.5" spans="1:17">
      <c r="A15" s="226">
        <v>15</v>
      </c>
      <c r="B15" s="226" t="s">
        <v>13</v>
      </c>
      <c r="C15" s="226" t="s">
        <v>54</v>
      </c>
      <c r="D15" s="117" t="s">
        <v>1144</v>
      </c>
      <c r="E15" s="118" t="s">
        <v>1145</v>
      </c>
      <c r="F15" s="31" t="s">
        <v>1146</v>
      </c>
      <c r="G15" s="31" t="s">
        <v>1119</v>
      </c>
      <c r="H15" s="31" t="s">
        <v>1147</v>
      </c>
      <c r="I15" s="119" t="s">
        <v>453</v>
      </c>
      <c r="J15" s="31" t="s">
        <v>1121</v>
      </c>
      <c r="K15" s="51" t="s">
        <v>1122</v>
      </c>
      <c r="L15" s="29" t="s">
        <v>673</v>
      </c>
      <c r="M15" s="29" t="s">
        <v>674</v>
      </c>
      <c r="N15" s="177">
        <v>45928</v>
      </c>
      <c r="O15" s="177">
        <v>46292</v>
      </c>
      <c r="P15" s="29">
        <v>336</v>
      </c>
      <c r="Q15" s="168"/>
    </row>
    <row r="16" ht="22.5" spans="1:17">
      <c r="A16" s="226">
        <v>16</v>
      </c>
      <c r="B16" s="226" t="s">
        <v>13</v>
      </c>
      <c r="C16" s="226" t="s">
        <v>54</v>
      </c>
      <c r="D16" s="117" t="s">
        <v>297</v>
      </c>
      <c r="E16" s="118" t="s">
        <v>1108</v>
      </c>
      <c r="F16" s="31" t="s">
        <v>1148</v>
      </c>
      <c r="G16" s="31" t="s">
        <v>1142</v>
      </c>
      <c r="H16" s="31">
        <v>1124013658</v>
      </c>
      <c r="I16" s="119">
        <v>2010.11</v>
      </c>
      <c r="J16" s="31" t="s">
        <v>1149</v>
      </c>
      <c r="K16" s="51" t="s">
        <v>1114</v>
      </c>
      <c r="L16" s="29" t="s">
        <v>673</v>
      </c>
      <c r="M16" s="29" t="s">
        <v>674</v>
      </c>
      <c r="N16" s="177">
        <v>45928</v>
      </c>
      <c r="O16" s="177">
        <v>46292</v>
      </c>
      <c r="P16" s="29">
        <v>300</v>
      </c>
      <c r="Q16" s="168"/>
    </row>
    <row r="17" ht="22.5" spans="1:17">
      <c r="A17" s="226">
        <v>17</v>
      </c>
      <c r="B17" s="226" t="s">
        <v>15</v>
      </c>
      <c r="C17" s="226" t="s">
        <v>54</v>
      </c>
      <c r="D17" s="28" t="s">
        <v>675</v>
      </c>
      <c r="E17" s="29" t="s">
        <v>1108</v>
      </c>
      <c r="F17" s="31"/>
      <c r="G17" s="31" t="s">
        <v>1150</v>
      </c>
      <c r="H17" s="31" t="s">
        <v>1151</v>
      </c>
      <c r="I17" s="119" t="s">
        <v>1152</v>
      </c>
      <c r="J17" s="31" t="s">
        <v>1153</v>
      </c>
      <c r="K17" s="51" t="s">
        <v>1135</v>
      </c>
      <c r="L17" s="29" t="s">
        <v>673</v>
      </c>
      <c r="M17" s="29" t="s">
        <v>674</v>
      </c>
      <c r="N17" s="177">
        <v>45928</v>
      </c>
      <c r="O17" s="177">
        <v>46292</v>
      </c>
      <c r="P17" s="29">
        <v>400</v>
      </c>
      <c r="Q17" s="168"/>
    </row>
    <row r="18" ht="32" customHeight="1" spans="1:17">
      <c r="A18" s="226">
        <v>18</v>
      </c>
      <c r="B18" s="226" t="s">
        <v>15</v>
      </c>
      <c r="C18" s="226" t="s">
        <v>54</v>
      </c>
      <c r="D18" s="28" t="s">
        <v>675</v>
      </c>
      <c r="E18" s="118" t="s">
        <v>1154</v>
      </c>
      <c r="F18" s="31" t="s">
        <v>1155</v>
      </c>
      <c r="G18" s="31" t="s">
        <v>1156</v>
      </c>
      <c r="H18" s="119" t="s">
        <v>1157</v>
      </c>
      <c r="I18" s="119" t="s">
        <v>439</v>
      </c>
      <c r="J18" s="31" t="s">
        <v>1158</v>
      </c>
      <c r="K18" s="51" t="s">
        <v>1159</v>
      </c>
      <c r="L18" s="218" t="s">
        <v>667</v>
      </c>
      <c r="M18" s="29" t="s">
        <v>674</v>
      </c>
      <c r="N18" s="177">
        <v>45928</v>
      </c>
      <c r="O18" s="177">
        <v>46292</v>
      </c>
      <c r="P18" s="29">
        <v>400</v>
      </c>
      <c r="Q18" s="168"/>
    </row>
    <row r="19" ht="22.5" spans="1:17">
      <c r="A19" s="226">
        <v>19</v>
      </c>
      <c r="B19" s="226" t="s">
        <v>15</v>
      </c>
      <c r="C19" s="226" t="s">
        <v>54</v>
      </c>
      <c r="D19" s="28" t="s">
        <v>675</v>
      </c>
      <c r="E19" s="118" t="s">
        <v>1154</v>
      </c>
      <c r="F19" s="31" t="s">
        <v>1160</v>
      </c>
      <c r="G19" s="31" t="s">
        <v>1156</v>
      </c>
      <c r="H19" s="119">
        <v>1230300552</v>
      </c>
      <c r="I19" s="119" t="s">
        <v>439</v>
      </c>
      <c r="J19" s="31" t="s">
        <v>1158</v>
      </c>
      <c r="K19" s="51" t="s">
        <v>1159</v>
      </c>
      <c r="L19" s="218" t="s">
        <v>667</v>
      </c>
      <c r="M19" s="29" t="s">
        <v>674</v>
      </c>
      <c r="N19" s="177">
        <v>45928</v>
      </c>
      <c r="O19" s="177">
        <v>46292</v>
      </c>
      <c r="P19" s="29">
        <v>400</v>
      </c>
      <c r="Q19" s="168"/>
    </row>
    <row r="20" ht="22.5" spans="1:17">
      <c r="A20" s="226">
        <v>20</v>
      </c>
      <c r="B20" s="226" t="s">
        <v>15</v>
      </c>
      <c r="C20" s="226" t="s">
        <v>54</v>
      </c>
      <c r="D20" s="28" t="s">
        <v>675</v>
      </c>
      <c r="E20" s="29" t="s">
        <v>1108</v>
      </c>
      <c r="F20" s="28" t="s">
        <v>1161</v>
      </c>
      <c r="G20" s="31" t="s">
        <v>1162</v>
      </c>
      <c r="H20" s="31" t="s">
        <v>1163</v>
      </c>
      <c r="I20" s="119">
        <v>2021.07</v>
      </c>
      <c r="J20" s="31" t="s">
        <v>1164</v>
      </c>
      <c r="K20" s="29" t="s">
        <v>1114</v>
      </c>
      <c r="L20" s="29" t="s">
        <v>673</v>
      </c>
      <c r="M20" s="29" t="s">
        <v>674</v>
      </c>
      <c r="N20" s="177">
        <v>45928</v>
      </c>
      <c r="O20" s="177">
        <v>46292</v>
      </c>
      <c r="P20" s="28">
        <v>400</v>
      </c>
      <c r="Q20" s="168"/>
    </row>
    <row r="21" ht="22.5" spans="1:17">
      <c r="A21" s="226">
        <v>33</v>
      </c>
      <c r="B21" s="226" t="s">
        <v>15</v>
      </c>
      <c r="C21" s="226" t="s">
        <v>54</v>
      </c>
      <c r="D21" s="28" t="s">
        <v>675</v>
      </c>
      <c r="E21" s="29" t="s">
        <v>1154</v>
      </c>
      <c r="F21" s="31" t="s">
        <v>1165</v>
      </c>
      <c r="G21" s="31" t="s">
        <v>1156</v>
      </c>
      <c r="H21" s="119" t="s">
        <v>1166</v>
      </c>
      <c r="I21" s="119" t="s">
        <v>453</v>
      </c>
      <c r="J21" s="31" t="s">
        <v>1158</v>
      </c>
      <c r="K21" s="51" t="s">
        <v>1159</v>
      </c>
      <c r="L21" s="31" t="s">
        <v>667</v>
      </c>
      <c r="M21" s="29" t="s">
        <v>674</v>
      </c>
      <c r="N21" s="177">
        <v>45928</v>
      </c>
      <c r="O21" s="177">
        <v>46292</v>
      </c>
      <c r="P21" s="29">
        <v>400</v>
      </c>
      <c r="Q21" s="245"/>
    </row>
    <row r="22" ht="22.5" spans="1:17">
      <c r="A22" s="226">
        <v>34</v>
      </c>
      <c r="B22" s="226" t="s">
        <v>13</v>
      </c>
      <c r="C22" s="226" t="s">
        <v>54</v>
      </c>
      <c r="D22" s="28" t="s">
        <v>330</v>
      </c>
      <c r="E22" s="29" t="s">
        <v>1154</v>
      </c>
      <c r="F22" s="31" t="s">
        <v>1167</v>
      </c>
      <c r="G22" s="31" t="s">
        <v>1156</v>
      </c>
      <c r="H22" s="119" t="s">
        <v>1168</v>
      </c>
      <c r="I22" s="119" t="s">
        <v>453</v>
      </c>
      <c r="J22" s="31" t="s">
        <v>1158</v>
      </c>
      <c r="K22" s="51" t="s">
        <v>1159</v>
      </c>
      <c r="L22" s="31" t="s">
        <v>667</v>
      </c>
      <c r="M22" s="29" t="s">
        <v>674</v>
      </c>
      <c r="N22" s="177">
        <v>45928</v>
      </c>
      <c r="O22" s="177">
        <v>46292</v>
      </c>
      <c r="P22" s="29">
        <v>400</v>
      </c>
      <c r="Q22" s="245"/>
    </row>
    <row r="23" ht="22.5" spans="1:17">
      <c r="A23" s="226">
        <v>35</v>
      </c>
      <c r="B23" s="226" t="s">
        <v>13</v>
      </c>
      <c r="C23" s="226" t="s">
        <v>54</v>
      </c>
      <c r="D23" s="117" t="s">
        <v>330</v>
      </c>
      <c r="E23" s="118" t="s">
        <v>1108</v>
      </c>
      <c r="F23" s="31" t="s">
        <v>1169</v>
      </c>
      <c r="G23" s="31" t="s">
        <v>1170</v>
      </c>
      <c r="H23" s="119" t="s">
        <v>1171</v>
      </c>
      <c r="I23" s="119" t="s">
        <v>453</v>
      </c>
      <c r="J23" s="31" t="s">
        <v>1172</v>
      </c>
      <c r="K23" s="29" t="s">
        <v>1135</v>
      </c>
      <c r="L23" s="29" t="s">
        <v>673</v>
      </c>
      <c r="M23" s="29" t="s">
        <v>674</v>
      </c>
      <c r="N23" s="177">
        <v>45928</v>
      </c>
      <c r="O23" s="177">
        <v>46292</v>
      </c>
      <c r="P23" s="29">
        <v>300</v>
      </c>
      <c r="Q23" s="245"/>
    </row>
    <row r="24" ht="22.5" spans="1:17">
      <c r="A24" s="226">
        <v>36</v>
      </c>
      <c r="B24" s="226" t="s">
        <v>14</v>
      </c>
      <c r="C24" s="226" t="s">
        <v>54</v>
      </c>
      <c r="D24" s="207" t="s">
        <v>316</v>
      </c>
      <c r="E24" s="118" t="s">
        <v>1108</v>
      </c>
      <c r="F24" s="31" t="s">
        <v>1173</v>
      </c>
      <c r="G24" s="31" t="s">
        <v>1110</v>
      </c>
      <c r="H24" s="31" t="s">
        <v>1174</v>
      </c>
      <c r="I24" s="119" t="s">
        <v>460</v>
      </c>
      <c r="J24" s="31" t="s">
        <v>1137</v>
      </c>
      <c r="K24" s="51" t="s">
        <v>1114</v>
      </c>
      <c r="L24" s="31" t="s">
        <v>667</v>
      </c>
      <c r="M24" s="29" t="s">
        <v>674</v>
      </c>
      <c r="N24" s="177">
        <v>45928</v>
      </c>
      <c r="O24" s="177">
        <v>46292</v>
      </c>
      <c r="P24" s="29">
        <v>300</v>
      </c>
      <c r="Q24" s="28"/>
    </row>
    <row r="25" ht="22.5" spans="1:17">
      <c r="A25" s="226">
        <v>37</v>
      </c>
      <c r="B25" s="226" t="s">
        <v>14</v>
      </c>
      <c r="C25" s="226" t="s">
        <v>54</v>
      </c>
      <c r="D25" s="28" t="s">
        <v>1175</v>
      </c>
      <c r="E25" s="118" t="s">
        <v>1145</v>
      </c>
      <c r="F25" s="31" t="s">
        <v>1176</v>
      </c>
      <c r="G25" s="31" t="s">
        <v>1119</v>
      </c>
      <c r="H25" s="31" t="s">
        <v>1177</v>
      </c>
      <c r="I25" s="119" t="s">
        <v>460</v>
      </c>
      <c r="J25" s="31" t="s">
        <v>1121</v>
      </c>
      <c r="K25" s="51" t="s">
        <v>1122</v>
      </c>
      <c r="L25" s="31" t="s">
        <v>667</v>
      </c>
      <c r="M25" s="29" t="s">
        <v>674</v>
      </c>
      <c r="N25" s="177">
        <v>45928</v>
      </c>
      <c r="O25" s="177">
        <v>46292</v>
      </c>
      <c r="P25" s="29">
        <v>336</v>
      </c>
      <c r="Q25" s="28"/>
    </row>
    <row r="26" ht="22.5" spans="1:17">
      <c r="A26" s="226">
        <v>38</v>
      </c>
      <c r="B26" s="226" t="s">
        <v>14</v>
      </c>
      <c r="C26" s="226" t="s">
        <v>54</v>
      </c>
      <c r="D26" s="28" t="s">
        <v>1175</v>
      </c>
      <c r="E26" s="29" t="s">
        <v>1102</v>
      </c>
      <c r="F26" s="31" t="s">
        <v>1178</v>
      </c>
      <c r="G26" s="31" t="s">
        <v>1119</v>
      </c>
      <c r="H26" s="119" t="s">
        <v>1179</v>
      </c>
      <c r="I26" s="119" t="s">
        <v>460</v>
      </c>
      <c r="J26" s="31" t="s">
        <v>1121</v>
      </c>
      <c r="K26" s="51" t="s">
        <v>1122</v>
      </c>
      <c r="L26" s="29" t="s">
        <v>673</v>
      </c>
      <c r="M26" s="29" t="s">
        <v>674</v>
      </c>
      <c r="N26" s="177">
        <v>45928</v>
      </c>
      <c r="O26" s="177">
        <v>46292</v>
      </c>
      <c r="P26" s="29">
        <v>336</v>
      </c>
      <c r="Q26" s="28"/>
    </row>
    <row r="27" ht="22.5" spans="1:17">
      <c r="A27" s="226">
        <v>39</v>
      </c>
      <c r="B27" s="226" t="s">
        <v>15</v>
      </c>
      <c r="C27" s="226" t="s">
        <v>54</v>
      </c>
      <c r="D27" s="28" t="s">
        <v>675</v>
      </c>
      <c r="E27" s="29" t="s">
        <v>1154</v>
      </c>
      <c r="F27" s="31" t="s">
        <v>1180</v>
      </c>
      <c r="G27" s="31" t="s">
        <v>1156</v>
      </c>
      <c r="H27" s="119" t="s">
        <v>1181</v>
      </c>
      <c r="I27" s="119" t="s">
        <v>460</v>
      </c>
      <c r="J27" s="31" t="s">
        <v>1158</v>
      </c>
      <c r="K27" s="51" t="s">
        <v>1159</v>
      </c>
      <c r="L27" s="31" t="s">
        <v>667</v>
      </c>
      <c r="M27" s="29" t="s">
        <v>674</v>
      </c>
      <c r="N27" s="177">
        <v>45928</v>
      </c>
      <c r="O27" s="177">
        <v>46292</v>
      </c>
      <c r="P27" s="29">
        <v>400</v>
      </c>
      <c r="Q27" s="168"/>
    </row>
    <row r="28" ht="22.5" spans="1:17">
      <c r="A28" s="226">
        <v>40</v>
      </c>
      <c r="B28" s="226" t="s">
        <v>14</v>
      </c>
      <c r="C28" s="226" t="s">
        <v>54</v>
      </c>
      <c r="D28" s="117" t="s">
        <v>262</v>
      </c>
      <c r="E28" s="118" t="s">
        <v>1154</v>
      </c>
      <c r="F28" s="31" t="s">
        <v>1182</v>
      </c>
      <c r="G28" s="31" t="s">
        <v>1156</v>
      </c>
      <c r="H28" s="119" t="s">
        <v>1183</v>
      </c>
      <c r="I28" s="119" t="s">
        <v>460</v>
      </c>
      <c r="J28" s="31" t="s">
        <v>1158</v>
      </c>
      <c r="K28" s="51" t="s">
        <v>1159</v>
      </c>
      <c r="L28" s="31" t="s">
        <v>667</v>
      </c>
      <c r="M28" s="29" t="s">
        <v>674</v>
      </c>
      <c r="N28" s="177">
        <v>45928</v>
      </c>
      <c r="O28" s="177">
        <v>46292</v>
      </c>
      <c r="P28" s="29">
        <v>400</v>
      </c>
      <c r="Q28" s="168"/>
    </row>
    <row r="29" ht="22.5" spans="1:17">
      <c r="A29" s="226">
        <v>41</v>
      </c>
      <c r="B29" s="226" t="s">
        <v>14</v>
      </c>
      <c r="C29" s="226" t="s">
        <v>54</v>
      </c>
      <c r="D29" s="28" t="s">
        <v>262</v>
      </c>
      <c r="E29" s="29" t="s">
        <v>1108</v>
      </c>
      <c r="F29" s="31" t="s">
        <v>1184</v>
      </c>
      <c r="G29" s="31" t="s">
        <v>1170</v>
      </c>
      <c r="H29" s="119" t="s">
        <v>1185</v>
      </c>
      <c r="I29" s="119" t="s">
        <v>460</v>
      </c>
      <c r="J29" s="31" t="s">
        <v>1172</v>
      </c>
      <c r="K29" s="51" t="s">
        <v>1135</v>
      </c>
      <c r="L29" s="31" t="s">
        <v>667</v>
      </c>
      <c r="M29" s="29" t="s">
        <v>674</v>
      </c>
      <c r="N29" s="177">
        <v>45928</v>
      </c>
      <c r="O29" s="177">
        <v>46292</v>
      </c>
      <c r="P29" s="29">
        <v>300</v>
      </c>
      <c r="Q29" s="168"/>
    </row>
    <row r="30" ht="22.5" spans="1:17">
      <c r="A30" s="226">
        <v>21</v>
      </c>
      <c r="B30" s="226" t="s">
        <v>15</v>
      </c>
      <c r="C30" s="226" t="s">
        <v>54</v>
      </c>
      <c r="D30" s="227" t="s">
        <v>958</v>
      </c>
      <c r="E30" s="227" t="s">
        <v>8</v>
      </c>
      <c r="F30" s="171" t="s">
        <v>42</v>
      </c>
      <c r="G30" s="171" t="s">
        <v>1186</v>
      </c>
      <c r="H30" s="172" t="s">
        <v>1187</v>
      </c>
      <c r="I30" s="172"/>
      <c r="J30" s="171" t="s">
        <v>42</v>
      </c>
      <c r="K30" s="171" t="s">
        <v>42</v>
      </c>
      <c r="L30" s="171" t="s">
        <v>1188</v>
      </c>
      <c r="M30" s="227" t="s">
        <v>674</v>
      </c>
      <c r="N30" s="239">
        <v>45917</v>
      </c>
      <c r="O30" s="239">
        <v>45916</v>
      </c>
      <c r="P30" s="227">
        <v>30</v>
      </c>
      <c r="Q30" s="168"/>
    </row>
    <row r="31" ht="22.5" spans="1:17">
      <c r="A31" s="226">
        <v>22</v>
      </c>
      <c r="B31" s="226" t="s">
        <v>15</v>
      </c>
      <c r="C31" s="226" t="s">
        <v>54</v>
      </c>
      <c r="D31" s="228" t="s">
        <v>958</v>
      </c>
      <c r="E31" s="228" t="s">
        <v>8</v>
      </c>
      <c r="F31" s="229" t="s">
        <v>42</v>
      </c>
      <c r="G31" s="229" t="s">
        <v>1186</v>
      </c>
      <c r="H31" s="230">
        <v>1</v>
      </c>
      <c r="I31" s="232"/>
      <c r="J31" s="229" t="s">
        <v>42</v>
      </c>
      <c r="K31" s="229" t="s">
        <v>42</v>
      </c>
      <c r="L31" s="229" t="s">
        <v>1188</v>
      </c>
      <c r="M31" s="228" t="s">
        <v>674</v>
      </c>
      <c r="N31" s="239">
        <v>45917</v>
      </c>
      <c r="O31" s="239">
        <v>45916</v>
      </c>
      <c r="P31" s="228">
        <v>30</v>
      </c>
      <c r="Q31" s="168"/>
    </row>
    <row r="32" ht="22.5" spans="1:17">
      <c r="A32" s="226">
        <v>23</v>
      </c>
      <c r="B32" s="226" t="s">
        <v>15</v>
      </c>
      <c r="C32" s="226" t="s">
        <v>54</v>
      </c>
      <c r="D32" s="228" t="s">
        <v>958</v>
      </c>
      <c r="E32" s="228" t="s">
        <v>8</v>
      </c>
      <c r="F32" s="229" t="s">
        <v>42</v>
      </c>
      <c r="G32" s="229" t="s">
        <v>1186</v>
      </c>
      <c r="H32" s="230">
        <v>2</v>
      </c>
      <c r="I32" s="232"/>
      <c r="J32" s="229" t="s">
        <v>42</v>
      </c>
      <c r="K32" s="229" t="s">
        <v>42</v>
      </c>
      <c r="L32" s="229" t="s">
        <v>1188</v>
      </c>
      <c r="M32" s="228" t="s">
        <v>674</v>
      </c>
      <c r="N32" s="239">
        <v>45917</v>
      </c>
      <c r="O32" s="239">
        <v>45916</v>
      </c>
      <c r="P32" s="228">
        <v>30</v>
      </c>
      <c r="Q32" s="168"/>
    </row>
    <row r="33" ht="22.5" spans="1:17">
      <c r="A33" s="226">
        <v>24</v>
      </c>
      <c r="B33" s="226" t="s">
        <v>15</v>
      </c>
      <c r="C33" s="226" t="s">
        <v>54</v>
      </c>
      <c r="D33" s="228" t="s">
        <v>958</v>
      </c>
      <c r="E33" s="228" t="s">
        <v>8</v>
      </c>
      <c r="F33" s="229" t="s">
        <v>42</v>
      </c>
      <c r="G33" s="229" t="s">
        <v>1186</v>
      </c>
      <c r="H33" s="230">
        <v>3</v>
      </c>
      <c r="I33" s="232"/>
      <c r="J33" s="229" t="s">
        <v>42</v>
      </c>
      <c r="K33" s="229" t="s">
        <v>42</v>
      </c>
      <c r="L33" s="229" t="s">
        <v>1188</v>
      </c>
      <c r="M33" s="228" t="s">
        <v>674</v>
      </c>
      <c r="N33" s="239">
        <v>45917</v>
      </c>
      <c r="O33" s="239">
        <v>45916</v>
      </c>
      <c r="P33" s="228">
        <v>30</v>
      </c>
      <c r="Q33" s="168"/>
    </row>
    <row r="34" ht="22.5" spans="1:17">
      <c r="A34" s="226">
        <v>25</v>
      </c>
      <c r="B34" s="226" t="s">
        <v>15</v>
      </c>
      <c r="C34" s="226" t="s">
        <v>54</v>
      </c>
      <c r="D34" s="228" t="s">
        <v>958</v>
      </c>
      <c r="E34" s="231" t="s">
        <v>8</v>
      </c>
      <c r="F34" s="229" t="s">
        <v>42</v>
      </c>
      <c r="G34" s="229" t="s">
        <v>1189</v>
      </c>
      <c r="H34" s="232" t="s">
        <v>1190</v>
      </c>
      <c r="I34" s="232"/>
      <c r="J34" s="229" t="s">
        <v>42</v>
      </c>
      <c r="K34" s="229" t="s">
        <v>42</v>
      </c>
      <c r="L34" s="229" t="s">
        <v>1188</v>
      </c>
      <c r="M34" s="228" t="s">
        <v>674</v>
      </c>
      <c r="N34" s="239">
        <v>45917</v>
      </c>
      <c r="O34" s="239">
        <v>45916</v>
      </c>
      <c r="P34" s="240">
        <v>30</v>
      </c>
      <c r="Q34" s="168"/>
    </row>
    <row r="35" ht="22.5" spans="1:17">
      <c r="A35" s="226">
        <v>26</v>
      </c>
      <c r="B35" s="226" t="s">
        <v>15</v>
      </c>
      <c r="C35" s="226" t="s">
        <v>54</v>
      </c>
      <c r="D35" s="228" t="s">
        <v>958</v>
      </c>
      <c r="E35" s="233" t="s">
        <v>8</v>
      </c>
      <c r="F35" s="234" t="s">
        <v>42</v>
      </c>
      <c r="G35" s="234" t="s">
        <v>1191</v>
      </c>
      <c r="H35" s="235" t="s">
        <v>1192</v>
      </c>
      <c r="I35" s="232"/>
      <c r="J35" s="234" t="s">
        <v>42</v>
      </c>
      <c r="K35" s="234" t="s">
        <v>42</v>
      </c>
      <c r="L35" s="234" t="s">
        <v>1188</v>
      </c>
      <c r="M35" s="241" t="s">
        <v>674</v>
      </c>
      <c r="N35" s="239">
        <v>45917</v>
      </c>
      <c r="O35" s="239">
        <v>45916</v>
      </c>
      <c r="P35" s="240">
        <v>30</v>
      </c>
      <c r="Q35" s="168"/>
    </row>
    <row r="36" ht="22.5" spans="1:17">
      <c r="A36" s="226">
        <v>27</v>
      </c>
      <c r="B36" s="226" t="s">
        <v>15</v>
      </c>
      <c r="C36" s="226" t="s">
        <v>54</v>
      </c>
      <c r="D36" s="228" t="s">
        <v>958</v>
      </c>
      <c r="E36" s="228" t="s">
        <v>8</v>
      </c>
      <c r="F36" s="229" t="s">
        <v>42</v>
      </c>
      <c r="G36" s="229" t="s">
        <v>1193</v>
      </c>
      <c r="H36" s="232" t="s">
        <v>1194</v>
      </c>
      <c r="I36" s="232"/>
      <c r="J36" s="229" t="s">
        <v>42</v>
      </c>
      <c r="K36" s="229" t="s">
        <v>42</v>
      </c>
      <c r="L36" s="229" t="s">
        <v>1188</v>
      </c>
      <c r="M36" s="228" t="s">
        <v>674</v>
      </c>
      <c r="N36" s="239">
        <v>45917</v>
      </c>
      <c r="O36" s="239">
        <v>45916</v>
      </c>
      <c r="P36" s="240">
        <v>30</v>
      </c>
      <c r="Q36" s="168"/>
    </row>
    <row r="37" ht="22.5" spans="1:17">
      <c r="A37" s="226">
        <v>28</v>
      </c>
      <c r="B37" s="226" t="s">
        <v>15</v>
      </c>
      <c r="C37" s="226" t="s">
        <v>54</v>
      </c>
      <c r="D37" s="228" t="s">
        <v>958</v>
      </c>
      <c r="E37" s="228" t="s">
        <v>8</v>
      </c>
      <c r="F37" s="229" t="s">
        <v>42</v>
      </c>
      <c r="G37" s="229" t="s">
        <v>1195</v>
      </c>
      <c r="H37" s="232" t="s">
        <v>1190</v>
      </c>
      <c r="I37" s="232"/>
      <c r="J37" s="229" t="s">
        <v>42</v>
      </c>
      <c r="K37" s="229" t="s">
        <v>42</v>
      </c>
      <c r="L37" s="229" t="s">
        <v>1188</v>
      </c>
      <c r="M37" s="228" t="s">
        <v>674</v>
      </c>
      <c r="N37" s="239">
        <v>45917</v>
      </c>
      <c r="O37" s="239">
        <v>45916</v>
      </c>
      <c r="P37" s="240">
        <v>30</v>
      </c>
      <c r="Q37" s="168"/>
    </row>
    <row r="38" ht="22.5" spans="1:17">
      <c r="A38" s="226">
        <v>29</v>
      </c>
      <c r="B38" s="226" t="s">
        <v>15</v>
      </c>
      <c r="C38" s="226" t="s">
        <v>54</v>
      </c>
      <c r="D38" s="228" t="s">
        <v>958</v>
      </c>
      <c r="E38" s="228" t="s">
        <v>8</v>
      </c>
      <c r="F38" s="229" t="s">
        <v>42</v>
      </c>
      <c r="G38" s="229" t="s">
        <v>1195</v>
      </c>
      <c r="H38" s="232" t="s">
        <v>1196</v>
      </c>
      <c r="I38" s="232"/>
      <c r="J38" s="229" t="s">
        <v>42</v>
      </c>
      <c r="K38" s="229" t="s">
        <v>42</v>
      </c>
      <c r="L38" s="229" t="s">
        <v>1188</v>
      </c>
      <c r="M38" s="228" t="s">
        <v>674</v>
      </c>
      <c r="N38" s="239">
        <v>45917</v>
      </c>
      <c r="O38" s="239">
        <v>45916</v>
      </c>
      <c r="P38" s="240">
        <v>30</v>
      </c>
      <c r="Q38" s="168"/>
    </row>
    <row r="39" ht="22.5" spans="1:17">
      <c r="A39" s="226">
        <v>30</v>
      </c>
      <c r="B39" s="226" t="s">
        <v>15</v>
      </c>
      <c r="C39" s="226" t="s">
        <v>54</v>
      </c>
      <c r="D39" s="228" t="s">
        <v>958</v>
      </c>
      <c r="E39" s="228" t="s">
        <v>8</v>
      </c>
      <c r="F39" s="229" t="s">
        <v>42</v>
      </c>
      <c r="G39" s="236" t="s">
        <v>1197</v>
      </c>
      <c r="H39" s="232" t="s">
        <v>1198</v>
      </c>
      <c r="I39" s="232"/>
      <c r="J39" s="229" t="s">
        <v>42</v>
      </c>
      <c r="K39" s="229" t="s">
        <v>42</v>
      </c>
      <c r="L39" s="229" t="s">
        <v>1188</v>
      </c>
      <c r="M39" s="228" t="s">
        <v>674</v>
      </c>
      <c r="N39" s="239">
        <v>45917</v>
      </c>
      <c r="O39" s="239">
        <v>45916</v>
      </c>
      <c r="P39" s="240">
        <v>30</v>
      </c>
      <c r="Q39" s="168"/>
    </row>
    <row r="40" ht="22.5" spans="1:17">
      <c r="A40" s="226">
        <v>31</v>
      </c>
      <c r="B40" s="226" t="s">
        <v>15</v>
      </c>
      <c r="C40" s="226" t="s">
        <v>54</v>
      </c>
      <c r="D40" s="228" t="s">
        <v>958</v>
      </c>
      <c r="E40" s="228" t="s">
        <v>8</v>
      </c>
      <c r="F40" s="229" t="s">
        <v>42</v>
      </c>
      <c r="G40" s="229" t="s">
        <v>1186</v>
      </c>
      <c r="H40" s="230">
        <v>58364</v>
      </c>
      <c r="I40" s="232"/>
      <c r="J40" s="229" t="s">
        <v>42</v>
      </c>
      <c r="K40" s="229" t="s">
        <v>42</v>
      </c>
      <c r="L40" s="229" t="s">
        <v>1188</v>
      </c>
      <c r="M40" s="228" t="s">
        <v>674</v>
      </c>
      <c r="N40" s="239">
        <v>45917</v>
      </c>
      <c r="O40" s="239">
        <v>45916</v>
      </c>
      <c r="P40" s="240">
        <v>30</v>
      </c>
      <c r="Q40" s="168"/>
    </row>
    <row r="41" ht="22.5" spans="1:17">
      <c r="A41" s="226">
        <v>32</v>
      </c>
      <c r="B41" s="226" t="s">
        <v>6</v>
      </c>
      <c r="C41" s="226" t="s">
        <v>54</v>
      </c>
      <c r="D41" s="228" t="s">
        <v>827</v>
      </c>
      <c r="E41" s="228" t="s">
        <v>8</v>
      </c>
      <c r="F41" s="229" t="s">
        <v>42</v>
      </c>
      <c r="G41" s="229" t="s">
        <v>1199</v>
      </c>
      <c r="H41" s="232" t="s">
        <v>1200</v>
      </c>
      <c r="I41" s="232"/>
      <c r="J41" s="229" t="s">
        <v>42</v>
      </c>
      <c r="K41" s="229" t="s">
        <v>42</v>
      </c>
      <c r="L41" s="229" t="s">
        <v>1188</v>
      </c>
      <c r="M41" s="228" t="s">
        <v>674</v>
      </c>
      <c r="N41" s="239">
        <v>45917</v>
      </c>
      <c r="O41" s="239">
        <v>45916</v>
      </c>
      <c r="P41" s="240">
        <v>30</v>
      </c>
      <c r="Q41" s="168"/>
    </row>
    <row r="42" ht="22.5" spans="1:17">
      <c r="A42" s="226">
        <v>42</v>
      </c>
      <c r="B42" s="226" t="s">
        <v>15</v>
      </c>
      <c r="C42" s="226" t="s">
        <v>54</v>
      </c>
      <c r="D42" s="228" t="s">
        <v>958</v>
      </c>
      <c r="E42" s="228" t="s">
        <v>8</v>
      </c>
      <c r="F42" s="229" t="s">
        <v>42</v>
      </c>
      <c r="G42" s="229" t="s">
        <v>1189</v>
      </c>
      <c r="H42" s="232" t="s">
        <v>1187</v>
      </c>
      <c r="I42" s="232"/>
      <c r="J42" s="229" t="s">
        <v>42</v>
      </c>
      <c r="K42" s="229" t="s">
        <v>42</v>
      </c>
      <c r="L42" s="229" t="s">
        <v>1188</v>
      </c>
      <c r="M42" s="228" t="s">
        <v>674</v>
      </c>
      <c r="N42" s="239">
        <v>45610</v>
      </c>
      <c r="O42" s="242">
        <v>45974</v>
      </c>
      <c r="P42" s="228">
        <v>30</v>
      </c>
      <c r="Q42" s="168"/>
    </row>
    <row r="43" ht="22.5" spans="1:17">
      <c r="A43" s="226">
        <v>43</v>
      </c>
      <c r="B43" s="226" t="s">
        <v>6</v>
      </c>
      <c r="C43" s="226" t="s">
        <v>54</v>
      </c>
      <c r="D43" s="82" t="s">
        <v>827</v>
      </c>
      <c r="E43" s="29" t="s">
        <v>1108</v>
      </c>
      <c r="F43" s="31"/>
      <c r="G43" s="31" t="s">
        <v>1201</v>
      </c>
      <c r="H43" s="119" t="s">
        <v>1202</v>
      </c>
      <c r="I43" s="31">
        <v>2023.7</v>
      </c>
      <c r="J43" s="31" t="s">
        <v>1203</v>
      </c>
      <c r="K43" s="51" t="s">
        <v>1135</v>
      </c>
      <c r="L43" s="31" t="s">
        <v>667</v>
      </c>
      <c r="M43" s="29" t="s">
        <v>674</v>
      </c>
      <c r="N43" s="177">
        <v>45702</v>
      </c>
      <c r="O43" s="177">
        <v>46035</v>
      </c>
      <c r="P43" s="29">
        <v>400</v>
      </c>
      <c r="Q43" s="168"/>
    </row>
    <row r="44" ht="24" spans="1:17">
      <c r="A44" s="226">
        <v>44</v>
      </c>
      <c r="B44" s="226" t="s">
        <v>6</v>
      </c>
      <c r="C44" s="226" t="s">
        <v>54</v>
      </c>
      <c r="D44" s="82" t="s">
        <v>827</v>
      </c>
      <c r="E44" s="29" t="s">
        <v>1108</v>
      </c>
      <c r="F44" s="31"/>
      <c r="G44" s="31" t="s">
        <v>1204</v>
      </c>
      <c r="H44" s="119" t="s">
        <v>1205</v>
      </c>
      <c r="I44" s="31">
        <v>2023.7</v>
      </c>
      <c r="J44" s="31" t="s">
        <v>1206</v>
      </c>
      <c r="K44" s="51" t="s">
        <v>1135</v>
      </c>
      <c r="L44" s="31" t="s">
        <v>667</v>
      </c>
      <c r="M44" s="29" t="s">
        <v>674</v>
      </c>
      <c r="N44" s="177">
        <v>45702</v>
      </c>
      <c r="O44" s="177">
        <v>46035</v>
      </c>
      <c r="P44" s="29">
        <v>300</v>
      </c>
      <c r="Q44" s="168"/>
    </row>
    <row r="45" ht="22.5" spans="1:17">
      <c r="A45" s="226">
        <v>45</v>
      </c>
      <c r="B45" s="226" t="s">
        <v>14</v>
      </c>
      <c r="C45" s="226" t="s">
        <v>54</v>
      </c>
      <c r="D45" s="227" t="s">
        <v>908</v>
      </c>
      <c r="E45" s="227" t="s">
        <v>8</v>
      </c>
      <c r="F45" s="171" t="s">
        <v>42</v>
      </c>
      <c r="G45" s="171" t="s">
        <v>1207</v>
      </c>
      <c r="H45" s="172">
        <v>115613</v>
      </c>
      <c r="I45" s="172"/>
      <c r="J45" s="171" t="s">
        <v>42</v>
      </c>
      <c r="K45" s="171" t="s">
        <v>42</v>
      </c>
      <c r="L45" s="171" t="s">
        <v>1188</v>
      </c>
      <c r="M45" s="227" t="s">
        <v>674</v>
      </c>
      <c r="N45" s="239">
        <v>45741</v>
      </c>
      <c r="O45" s="239">
        <v>46105</v>
      </c>
      <c r="P45" s="243">
        <v>1080</v>
      </c>
      <c r="Q45" s="149" t="s">
        <v>1208</v>
      </c>
    </row>
    <row r="46" ht="22.5" spans="1:17">
      <c r="A46" s="226">
        <v>46</v>
      </c>
      <c r="B46" s="226" t="s">
        <v>15</v>
      </c>
      <c r="C46" s="226" t="s">
        <v>37</v>
      </c>
      <c r="D46" s="227" t="s">
        <v>958</v>
      </c>
      <c r="E46" s="227" t="s">
        <v>8</v>
      </c>
      <c r="F46" s="171" t="s">
        <v>42</v>
      </c>
      <c r="G46" s="171" t="s">
        <v>1209</v>
      </c>
      <c r="H46" s="172" t="s">
        <v>1210</v>
      </c>
      <c r="I46" s="172"/>
      <c r="J46" s="171" t="s">
        <v>42</v>
      </c>
      <c r="K46" s="171" t="s">
        <v>42</v>
      </c>
      <c r="L46" s="171" t="s">
        <v>1188</v>
      </c>
      <c r="M46" s="227" t="s">
        <v>674</v>
      </c>
      <c r="N46" s="239">
        <v>45796</v>
      </c>
      <c r="O46" s="239">
        <v>46160</v>
      </c>
      <c r="P46" s="227">
        <v>30</v>
      </c>
      <c r="Q46" s="149"/>
    </row>
    <row r="47" ht="22.5" spans="1:17">
      <c r="A47" s="226">
        <v>47</v>
      </c>
      <c r="B47" s="226" t="s">
        <v>15</v>
      </c>
      <c r="C47" s="226" t="s">
        <v>37</v>
      </c>
      <c r="D47" s="227" t="s">
        <v>958</v>
      </c>
      <c r="E47" s="227" t="s">
        <v>8</v>
      </c>
      <c r="F47" s="171" t="s">
        <v>42</v>
      </c>
      <c r="G47" s="171" t="s">
        <v>1186</v>
      </c>
      <c r="H47" s="237">
        <v>3</v>
      </c>
      <c r="I47" s="172"/>
      <c r="J47" s="171" t="s">
        <v>42</v>
      </c>
      <c r="K47" s="171" t="s">
        <v>42</v>
      </c>
      <c r="L47" s="171" t="s">
        <v>1188</v>
      </c>
      <c r="M47" s="227" t="s">
        <v>674</v>
      </c>
      <c r="N47" s="239">
        <v>45796</v>
      </c>
      <c r="O47" s="239">
        <v>46160</v>
      </c>
      <c r="P47" s="227">
        <v>30</v>
      </c>
      <c r="Q47" s="246"/>
    </row>
    <row r="48" ht="22.5" spans="1:17">
      <c r="A48" s="226">
        <v>48</v>
      </c>
      <c r="B48" s="226" t="s">
        <v>15</v>
      </c>
      <c r="C48" s="226" t="s">
        <v>54</v>
      </c>
      <c r="D48" s="227" t="s">
        <v>958</v>
      </c>
      <c r="E48" s="227" t="s">
        <v>8</v>
      </c>
      <c r="F48" s="171" t="s">
        <v>42</v>
      </c>
      <c r="G48" s="171" t="s">
        <v>1211</v>
      </c>
      <c r="H48" s="172" t="s">
        <v>1212</v>
      </c>
      <c r="I48" s="172"/>
      <c r="J48" s="171" t="s">
        <v>42</v>
      </c>
      <c r="K48" s="171" t="s">
        <v>42</v>
      </c>
      <c r="L48" s="171" t="s">
        <v>1188</v>
      </c>
      <c r="M48" s="227" t="s">
        <v>674</v>
      </c>
      <c r="N48" s="239">
        <v>45803</v>
      </c>
      <c r="O48" s="239">
        <v>46167</v>
      </c>
      <c r="P48" s="243">
        <v>150</v>
      </c>
      <c r="Q48" s="149"/>
    </row>
    <row r="49" ht="22.5" spans="1:17">
      <c r="A49" s="226">
        <v>49</v>
      </c>
      <c r="B49" s="226" t="s">
        <v>6</v>
      </c>
      <c r="C49" s="226" t="s">
        <v>54</v>
      </c>
      <c r="D49" s="28" t="s">
        <v>1115</v>
      </c>
      <c r="E49" s="29" t="s">
        <v>1102</v>
      </c>
      <c r="F49" s="28"/>
      <c r="G49" s="119" t="s">
        <v>1103</v>
      </c>
      <c r="H49" s="119" t="s">
        <v>1213</v>
      </c>
      <c r="I49" s="119" t="s">
        <v>1105</v>
      </c>
      <c r="J49" s="31" t="s">
        <v>1106</v>
      </c>
      <c r="K49" s="51" t="s">
        <v>1107</v>
      </c>
      <c r="L49" s="31" t="s">
        <v>667</v>
      </c>
      <c r="M49" s="29" t="s">
        <v>674</v>
      </c>
      <c r="N49" s="177">
        <v>45820</v>
      </c>
      <c r="O49" s="177">
        <v>46184</v>
      </c>
      <c r="P49" s="29">
        <v>336</v>
      </c>
      <c r="Q49" s="168"/>
    </row>
    <row r="50" ht="22.5" spans="1:17">
      <c r="A50" s="226">
        <v>50</v>
      </c>
      <c r="B50" s="226" t="s">
        <v>15</v>
      </c>
      <c r="C50" s="226" t="s">
        <v>54</v>
      </c>
      <c r="D50" s="28" t="s">
        <v>1101</v>
      </c>
      <c r="E50" s="29" t="s">
        <v>1102</v>
      </c>
      <c r="F50" s="28"/>
      <c r="G50" s="119" t="s">
        <v>1103</v>
      </c>
      <c r="H50" s="119" t="s">
        <v>1214</v>
      </c>
      <c r="I50" s="119" t="s">
        <v>1105</v>
      </c>
      <c r="J50" s="31" t="s">
        <v>1106</v>
      </c>
      <c r="K50" s="51" t="s">
        <v>1107</v>
      </c>
      <c r="L50" s="31" t="s">
        <v>667</v>
      </c>
      <c r="M50" s="29" t="s">
        <v>674</v>
      </c>
      <c r="N50" s="177">
        <v>45820</v>
      </c>
      <c r="O50" s="177">
        <v>46184</v>
      </c>
      <c r="P50" s="29">
        <v>336</v>
      </c>
      <c r="Q50" s="168"/>
    </row>
    <row r="51" ht="22.5" spans="1:17">
      <c r="A51" s="226">
        <v>51</v>
      </c>
      <c r="B51" s="226" t="s">
        <v>15</v>
      </c>
      <c r="C51" s="226" t="s">
        <v>54</v>
      </c>
      <c r="D51" s="28" t="s">
        <v>1101</v>
      </c>
      <c r="E51" s="29" t="s">
        <v>1102</v>
      </c>
      <c r="F51" s="28"/>
      <c r="G51" s="119" t="s">
        <v>1103</v>
      </c>
      <c r="H51" s="119" t="s">
        <v>1215</v>
      </c>
      <c r="I51" s="119" t="s">
        <v>1105</v>
      </c>
      <c r="J51" s="31" t="s">
        <v>1106</v>
      </c>
      <c r="K51" s="51" t="s">
        <v>1107</v>
      </c>
      <c r="L51" s="29"/>
      <c r="M51" s="29" t="s">
        <v>674</v>
      </c>
      <c r="N51" s="177">
        <v>45820</v>
      </c>
      <c r="O51" s="177">
        <v>46184</v>
      </c>
      <c r="P51" s="29">
        <v>336</v>
      </c>
      <c r="Q51" s="168"/>
    </row>
    <row r="52" ht="22.5" spans="1:17">
      <c r="A52" s="226">
        <v>52</v>
      </c>
      <c r="B52" s="226" t="s">
        <v>15</v>
      </c>
      <c r="C52" s="226" t="s">
        <v>54</v>
      </c>
      <c r="D52" s="28" t="s">
        <v>1101</v>
      </c>
      <c r="E52" s="29" t="s">
        <v>1102</v>
      </c>
      <c r="F52" s="28"/>
      <c r="G52" s="119" t="s">
        <v>1103</v>
      </c>
      <c r="H52" s="119" t="s">
        <v>1216</v>
      </c>
      <c r="I52" s="119" t="s">
        <v>1105</v>
      </c>
      <c r="J52" s="31" t="s">
        <v>1106</v>
      </c>
      <c r="K52" s="51" t="s">
        <v>1107</v>
      </c>
      <c r="L52" s="29"/>
      <c r="M52" s="29" t="s">
        <v>674</v>
      </c>
      <c r="N52" s="177">
        <v>45820</v>
      </c>
      <c r="O52" s="177">
        <v>46184</v>
      </c>
      <c r="P52" s="29">
        <v>336</v>
      </c>
      <c r="Q52" s="244"/>
    </row>
    <row r="53" ht="22.5" spans="1:17">
      <c r="A53" s="226">
        <v>53</v>
      </c>
      <c r="B53" s="238" t="s">
        <v>15</v>
      </c>
      <c r="C53" s="238" t="s">
        <v>54</v>
      </c>
      <c r="D53" s="16" t="s">
        <v>1101</v>
      </c>
      <c r="E53" s="7" t="s">
        <v>1102</v>
      </c>
      <c r="F53" s="16"/>
      <c r="G53" s="17" t="s">
        <v>1103</v>
      </c>
      <c r="H53" s="17" t="s">
        <v>1217</v>
      </c>
      <c r="I53" s="17" t="s">
        <v>1105</v>
      </c>
      <c r="J53" s="5" t="s">
        <v>1106</v>
      </c>
      <c r="K53" s="33" t="s">
        <v>1107</v>
      </c>
      <c r="L53" s="7"/>
      <c r="M53" s="7" t="s">
        <v>674</v>
      </c>
      <c r="N53" s="153">
        <v>45820</v>
      </c>
      <c r="O53" s="153">
        <v>46184</v>
      </c>
      <c r="P53" s="7">
        <v>336</v>
      </c>
      <c r="Q53" s="166" t="s">
        <v>1218</v>
      </c>
    </row>
    <row r="54" spans="1:17">
      <c r="A54" s="27"/>
      <c r="B54" s="27"/>
      <c r="C54" s="27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133"/>
    </row>
  </sheetData>
  <autoFilter xmlns:etc="http://www.wps.cn/officeDocument/2017/etCustomData" ref="A1:Q53" etc:filterBottomFollowUsedRange="0">
    <extLst/>
  </autoFilter>
  <sortState ref="A2:R55">
    <sortCondition ref="O2"/>
  </sortState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78"/>
  <sheetViews>
    <sheetView workbookViewId="0">
      <selection activeCell="I15" sqref="I15"/>
    </sheetView>
  </sheetViews>
  <sheetFormatPr defaultColWidth="9" defaultRowHeight="13.5"/>
  <cols>
    <col min="3" max="3" width="12.75" customWidth="1"/>
    <col min="7" max="7" width="12.875" customWidth="1"/>
    <col min="12" max="12" width="13.25" customWidth="1"/>
    <col min="14" max="14" width="12.125" customWidth="1"/>
  </cols>
  <sheetData>
    <row r="1" spans="1:14">
      <c r="A1" s="206"/>
      <c r="B1" s="1" t="s">
        <v>21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1" t="s">
        <v>26</v>
      </c>
      <c r="I1" s="1" t="s">
        <v>27</v>
      </c>
      <c r="J1" s="1" t="s">
        <v>28</v>
      </c>
      <c r="K1" s="1" t="s">
        <v>31</v>
      </c>
      <c r="L1" s="1" t="s">
        <v>1219</v>
      </c>
      <c r="M1" s="1" t="s">
        <v>34</v>
      </c>
      <c r="N1" s="1" t="s">
        <v>54</v>
      </c>
    </row>
    <row r="2" spans="1:14">
      <c r="A2" s="27">
        <v>1</v>
      </c>
      <c r="B2" s="27" t="s">
        <v>15</v>
      </c>
      <c r="C2" s="117" t="s">
        <v>1101</v>
      </c>
      <c r="D2" s="118" t="s">
        <v>1102</v>
      </c>
      <c r="E2" s="31" t="s">
        <v>1118</v>
      </c>
      <c r="F2" s="31" t="s">
        <v>1119</v>
      </c>
      <c r="G2" s="119" t="s">
        <v>1120</v>
      </c>
      <c r="H2" s="119" t="s">
        <v>460</v>
      </c>
      <c r="I2" s="31" t="s">
        <v>1121</v>
      </c>
      <c r="J2" s="51" t="s">
        <v>1122</v>
      </c>
      <c r="K2" s="29" t="s">
        <v>1220</v>
      </c>
      <c r="L2" s="29" t="s">
        <v>1221</v>
      </c>
      <c r="M2" s="28"/>
      <c r="N2" t="s">
        <v>1222</v>
      </c>
    </row>
    <row r="3" spans="1:14">
      <c r="A3" s="27">
        <v>2</v>
      </c>
      <c r="B3" s="27" t="s">
        <v>15</v>
      </c>
      <c r="C3" s="117" t="s">
        <v>280</v>
      </c>
      <c r="D3" s="118" t="s">
        <v>1102</v>
      </c>
      <c r="E3" s="119" t="s">
        <v>1123</v>
      </c>
      <c r="F3" s="31" t="s">
        <v>1119</v>
      </c>
      <c r="G3" s="119" t="s">
        <v>1124</v>
      </c>
      <c r="H3" s="119" t="s">
        <v>439</v>
      </c>
      <c r="I3" s="31" t="s">
        <v>1121</v>
      </c>
      <c r="J3" s="51" t="s">
        <v>1122</v>
      </c>
      <c r="K3" s="29" t="s">
        <v>1220</v>
      </c>
      <c r="L3" s="29" t="s">
        <v>1221</v>
      </c>
      <c r="M3" s="28"/>
      <c r="N3" t="s">
        <v>1222</v>
      </c>
    </row>
    <row r="4" spans="1:14">
      <c r="A4" s="27">
        <v>3</v>
      </c>
      <c r="B4" s="27" t="s">
        <v>15</v>
      </c>
      <c r="C4" s="117" t="s">
        <v>280</v>
      </c>
      <c r="D4" s="118" t="s">
        <v>1102</v>
      </c>
      <c r="E4" s="119"/>
      <c r="F4" s="31" t="s">
        <v>1119</v>
      </c>
      <c r="G4" s="119" t="s">
        <v>1125</v>
      </c>
      <c r="H4" s="119" t="s">
        <v>439</v>
      </c>
      <c r="I4" s="31" t="s">
        <v>1121</v>
      </c>
      <c r="J4" s="51" t="s">
        <v>1122</v>
      </c>
      <c r="K4" s="29" t="s">
        <v>1220</v>
      </c>
      <c r="L4" s="29" t="s">
        <v>1221</v>
      </c>
      <c r="M4" s="28"/>
      <c r="N4" t="s">
        <v>1222</v>
      </c>
    </row>
    <row r="5" spans="1:14">
      <c r="A5" s="27">
        <v>4</v>
      </c>
      <c r="B5" s="27" t="s">
        <v>15</v>
      </c>
      <c r="C5" s="117" t="s">
        <v>1101</v>
      </c>
      <c r="D5" s="118" t="s">
        <v>1102</v>
      </c>
      <c r="E5" s="28"/>
      <c r="F5" s="119" t="s">
        <v>1103</v>
      </c>
      <c r="G5" s="119" t="s">
        <v>1215</v>
      </c>
      <c r="H5" s="119" t="s">
        <v>1105</v>
      </c>
      <c r="I5" s="31" t="s">
        <v>1106</v>
      </c>
      <c r="J5" s="51" t="s">
        <v>1107</v>
      </c>
      <c r="K5" s="29" t="s">
        <v>1220</v>
      </c>
      <c r="L5" s="29" t="s">
        <v>1221</v>
      </c>
      <c r="M5" s="28"/>
      <c r="N5" t="s">
        <v>1222</v>
      </c>
    </row>
    <row r="6" spans="1:14">
      <c r="A6" s="27">
        <v>5</v>
      </c>
      <c r="B6" s="27" t="s">
        <v>15</v>
      </c>
      <c r="C6" s="117" t="s">
        <v>1101</v>
      </c>
      <c r="D6" s="118" t="s">
        <v>1102</v>
      </c>
      <c r="E6" s="28"/>
      <c r="F6" s="119" t="s">
        <v>1103</v>
      </c>
      <c r="G6" s="119" t="s">
        <v>1104</v>
      </c>
      <c r="H6" s="119" t="s">
        <v>1105</v>
      </c>
      <c r="I6" s="31" t="s">
        <v>1106</v>
      </c>
      <c r="J6" s="51" t="s">
        <v>1107</v>
      </c>
      <c r="K6" s="29" t="s">
        <v>1220</v>
      </c>
      <c r="L6" s="29" t="s">
        <v>1221</v>
      </c>
      <c r="M6" s="16" t="s">
        <v>1223</v>
      </c>
      <c r="N6" t="s">
        <v>1222</v>
      </c>
    </row>
    <row r="7" spans="1:14">
      <c r="A7" s="27">
        <v>6</v>
      </c>
      <c r="B7" s="27" t="s">
        <v>15</v>
      </c>
      <c r="C7" s="117" t="s">
        <v>1101</v>
      </c>
      <c r="D7" s="118" t="s">
        <v>1102</v>
      </c>
      <c r="E7" s="28"/>
      <c r="F7" s="119" t="s">
        <v>1103</v>
      </c>
      <c r="G7" s="119" t="s">
        <v>1216</v>
      </c>
      <c r="H7" s="119" t="s">
        <v>1105</v>
      </c>
      <c r="I7" s="31" t="s">
        <v>1106</v>
      </c>
      <c r="J7" s="51" t="s">
        <v>1107</v>
      </c>
      <c r="K7" s="29" t="s">
        <v>1220</v>
      </c>
      <c r="L7" s="29" t="s">
        <v>1221</v>
      </c>
      <c r="M7" s="28"/>
      <c r="N7" t="s">
        <v>1222</v>
      </c>
    </row>
    <row r="8" spans="1:14">
      <c r="A8" s="27">
        <v>7</v>
      </c>
      <c r="B8" s="27" t="s">
        <v>15</v>
      </c>
      <c r="C8" s="28" t="s">
        <v>1101</v>
      </c>
      <c r="D8" s="118" t="s">
        <v>1102</v>
      </c>
      <c r="E8" s="28"/>
      <c r="F8" s="119" t="s">
        <v>1103</v>
      </c>
      <c r="G8" s="119" t="s">
        <v>1217</v>
      </c>
      <c r="H8" s="119" t="s">
        <v>1105</v>
      </c>
      <c r="I8" s="31" t="s">
        <v>1106</v>
      </c>
      <c r="J8" s="51" t="s">
        <v>1107</v>
      </c>
      <c r="K8" s="29" t="s">
        <v>1220</v>
      </c>
      <c r="L8" s="29" t="s">
        <v>1221</v>
      </c>
      <c r="M8" s="28"/>
      <c r="N8" t="s">
        <v>1222</v>
      </c>
    </row>
    <row r="9" spans="1:14">
      <c r="A9" s="27">
        <v>8</v>
      </c>
      <c r="B9" s="27" t="s">
        <v>15</v>
      </c>
      <c r="C9" s="117" t="s">
        <v>1101</v>
      </c>
      <c r="D9" s="118" t="s">
        <v>1108</v>
      </c>
      <c r="E9" s="31" t="s">
        <v>1126</v>
      </c>
      <c r="F9" s="31" t="s">
        <v>1127</v>
      </c>
      <c r="G9" s="119" t="s">
        <v>1128</v>
      </c>
      <c r="H9" s="119" t="s">
        <v>439</v>
      </c>
      <c r="I9" s="31" t="s">
        <v>1129</v>
      </c>
      <c r="J9" s="51" t="s">
        <v>1114</v>
      </c>
      <c r="K9" s="29" t="s">
        <v>1220</v>
      </c>
      <c r="L9" s="29" t="s">
        <v>1221</v>
      </c>
      <c r="M9" s="28"/>
      <c r="N9" t="s">
        <v>1222</v>
      </c>
    </row>
    <row r="10" spans="1:14">
      <c r="A10" s="27">
        <v>9</v>
      </c>
      <c r="B10" s="27" t="s">
        <v>15</v>
      </c>
      <c r="C10" s="117" t="s">
        <v>1101</v>
      </c>
      <c r="D10" s="118" t="s">
        <v>1108</v>
      </c>
      <c r="E10" s="31" t="s">
        <v>1130</v>
      </c>
      <c r="F10" s="31" t="s">
        <v>1110</v>
      </c>
      <c r="G10" s="31" t="s">
        <v>1131</v>
      </c>
      <c r="H10" s="119" t="s">
        <v>453</v>
      </c>
      <c r="I10" s="31" t="s">
        <v>1113</v>
      </c>
      <c r="J10" s="51" t="s">
        <v>1114</v>
      </c>
      <c r="K10" s="29" t="s">
        <v>1220</v>
      </c>
      <c r="L10" s="29" t="s">
        <v>1221</v>
      </c>
      <c r="M10" s="28"/>
      <c r="N10" t="s">
        <v>1222</v>
      </c>
    </row>
    <row r="11" spans="1:14">
      <c r="A11" s="27">
        <v>10</v>
      </c>
      <c r="B11" s="27" t="s">
        <v>15</v>
      </c>
      <c r="C11" s="117" t="s">
        <v>1101</v>
      </c>
      <c r="D11" s="118" t="s">
        <v>1108</v>
      </c>
      <c r="E11" s="31" t="s">
        <v>1132</v>
      </c>
      <c r="F11" s="31" t="s">
        <v>1133</v>
      </c>
      <c r="G11" s="31">
        <v>1231160647</v>
      </c>
      <c r="H11" s="119" t="s">
        <v>439</v>
      </c>
      <c r="I11" s="31" t="s">
        <v>1134</v>
      </c>
      <c r="J11" s="51" t="s">
        <v>1135</v>
      </c>
      <c r="K11" s="29" t="s">
        <v>1220</v>
      </c>
      <c r="L11" s="29" t="s">
        <v>1221</v>
      </c>
      <c r="M11" s="28"/>
      <c r="N11" t="s">
        <v>1222</v>
      </c>
    </row>
    <row r="12" spans="1:14">
      <c r="A12" s="27">
        <v>11</v>
      </c>
      <c r="B12" s="27" t="s">
        <v>15</v>
      </c>
      <c r="C12" s="117" t="s">
        <v>1101</v>
      </c>
      <c r="D12" s="118" t="s">
        <v>1108</v>
      </c>
      <c r="E12" s="31" t="s">
        <v>1138</v>
      </c>
      <c r="F12" s="31" t="s">
        <v>1110</v>
      </c>
      <c r="G12" s="31" t="s">
        <v>1139</v>
      </c>
      <c r="H12" s="119" t="s">
        <v>460</v>
      </c>
      <c r="I12" s="31" t="s">
        <v>1137</v>
      </c>
      <c r="J12" s="51" t="s">
        <v>1114</v>
      </c>
      <c r="K12" s="29" t="s">
        <v>1220</v>
      </c>
      <c r="L12" s="29" t="s">
        <v>1221</v>
      </c>
      <c r="M12" s="28"/>
      <c r="N12" t="s">
        <v>1222</v>
      </c>
    </row>
    <row r="13" spans="1:14">
      <c r="A13" s="27">
        <v>12</v>
      </c>
      <c r="B13" s="27" t="s">
        <v>15</v>
      </c>
      <c r="C13" s="117" t="s">
        <v>1101</v>
      </c>
      <c r="D13" s="118" t="s">
        <v>1108</v>
      </c>
      <c r="E13" s="31" t="s">
        <v>1109</v>
      </c>
      <c r="F13" s="31" t="s">
        <v>1110</v>
      </c>
      <c r="G13" s="31" t="s">
        <v>1136</v>
      </c>
      <c r="H13" s="119" t="s">
        <v>1112</v>
      </c>
      <c r="I13" s="31" t="s">
        <v>1113</v>
      </c>
      <c r="J13" s="51" t="s">
        <v>1114</v>
      </c>
      <c r="K13" s="29" t="s">
        <v>1220</v>
      </c>
      <c r="L13" s="29" t="s">
        <v>1221</v>
      </c>
      <c r="M13" s="28"/>
      <c r="N13" t="s">
        <v>1222</v>
      </c>
    </row>
    <row r="14" spans="1:14">
      <c r="A14" s="27">
        <v>13</v>
      </c>
      <c r="B14" s="27" t="s">
        <v>15</v>
      </c>
      <c r="C14" s="117" t="s">
        <v>1101</v>
      </c>
      <c r="D14" s="118" t="s">
        <v>1108</v>
      </c>
      <c r="E14" s="31" t="s">
        <v>1109</v>
      </c>
      <c r="F14" s="31" t="s">
        <v>1110</v>
      </c>
      <c r="G14" s="31" t="s">
        <v>1111</v>
      </c>
      <c r="H14" s="119" t="s">
        <v>1112</v>
      </c>
      <c r="I14" s="31" t="s">
        <v>1113</v>
      </c>
      <c r="J14" s="51" t="s">
        <v>1114</v>
      </c>
      <c r="K14" s="29" t="s">
        <v>1220</v>
      </c>
      <c r="L14" s="29" t="s">
        <v>1221</v>
      </c>
      <c r="M14" s="28"/>
      <c r="N14" t="s">
        <v>1222</v>
      </c>
    </row>
    <row r="15" spans="1:14">
      <c r="A15" s="27">
        <v>14</v>
      </c>
      <c r="B15" s="27" t="s">
        <v>15</v>
      </c>
      <c r="C15" s="117" t="s">
        <v>1101</v>
      </c>
      <c r="D15" s="118" t="s">
        <v>1108</v>
      </c>
      <c r="E15" s="31" t="s">
        <v>42</v>
      </c>
      <c r="F15" s="31" t="s">
        <v>1110</v>
      </c>
      <c r="G15" s="31" t="s">
        <v>1140</v>
      </c>
      <c r="H15" s="119" t="s">
        <v>1069</v>
      </c>
      <c r="I15" s="31" t="s">
        <v>1113</v>
      </c>
      <c r="J15" s="51" t="s">
        <v>1114</v>
      </c>
      <c r="K15" s="29" t="s">
        <v>1220</v>
      </c>
      <c r="L15" s="29" t="s">
        <v>1221</v>
      </c>
      <c r="M15" s="28"/>
      <c r="N15" t="s">
        <v>1222</v>
      </c>
    </row>
    <row r="16" spans="1:14">
      <c r="A16" s="27">
        <v>15</v>
      </c>
      <c r="B16" s="27" t="s">
        <v>15</v>
      </c>
      <c r="C16" s="117" t="s">
        <v>280</v>
      </c>
      <c r="D16" s="118" t="s">
        <v>1108</v>
      </c>
      <c r="E16" s="31" t="s">
        <v>1141</v>
      </c>
      <c r="F16" s="31" t="s">
        <v>1142</v>
      </c>
      <c r="G16" s="31">
        <v>1124013657</v>
      </c>
      <c r="H16" s="31">
        <v>2010.11</v>
      </c>
      <c r="I16" s="31" t="s">
        <v>1149</v>
      </c>
      <c r="J16" s="51" t="s">
        <v>1114</v>
      </c>
      <c r="K16" s="29" t="s">
        <v>1220</v>
      </c>
      <c r="L16" s="29" t="s">
        <v>1221</v>
      </c>
      <c r="M16" s="28"/>
      <c r="N16" t="s">
        <v>1222</v>
      </c>
    </row>
    <row r="17" spans="1:14">
      <c r="A17" s="27">
        <v>16</v>
      </c>
      <c r="B17" s="27" t="s">
        <v>13</v>
      </c>
      <c r="C17" s="117" t="s">
        <v>1144</v>
      </c>
      <c r="D17" s="118" t="s">
        <v>1145</v>
      </c>
      <c r="E17" s="31" t="s">
        <v>1146</v>
      </c>
      <c r="F17" s="31" t="s">
        <v>1119</v>
      </c>
      <c r="G17" s="31" t="s">
        <v>1147</v>
      </c>
      <c r="H17" s="119" t="s">
        <v>453</v>
      </c>
      <c r="I17" s="31" t="s">
        <v>1121</v>
      </c>
      <c r="J17" s="51" t="s">
        <v>1122</v>
      </c>
      <c r="K17" s="29" t="s">
        <v>1220</v>
      </c>
      <c r="L17" s="29" t="s">
        <v>1221</v>
      </c>
      <c r="M17" s="52"/>
      <c r="N17" t="s">
        <v>1222</v>
      </c>
    </row>
    <row r="18" spans="1:14">
      <c r="A18" s="27">
        <v>17</v>
      </c>
      <c r="B18" s="27" t="s">
        <v>13</v>
      </c>
      <c r="C18" s="117" t="s">
        <v>297</v>
      </c>
      <c r="D18" s="118" t="s">
        <v>1108</v>
      </c>
      <c r="E18" s="31" t="s">
        <v>1148</v>
      </c>
      <c r="F18" s="31" t="s">
        <v>1142</v>
      </c>
      <c r="G18" s="31">
        <v>1124013658</v>
      </c>
      <c r="H18" s="119">
        <v>2010.11</v>
      </c>
      <c r="I18" s="31" t="s">
        <v>1149</v>
      </c>
      <c r="J18" s="51" t="s">
        <v>1114</v>
      </c>
      <c r="K18" s="29" t="s">
        <v>1220</v>
      </c>
      <c r="L18" s="29" t="s">
        <v>1221</v>
      </c>
      <c r="M18" s="52"/>
      <c r="N18" t="s">
        <v>1222</v>
      </c>
    </row>
    <row r="19" spans="1:14">
      <c r="A19" s="27">
        <v>18</v>
      </c>
      <c r="B19" s="27" t="s">
        <v>15</v>
      </c>
      <c r="C19" s="28" t="s">
        <v>675</v>
      </c>
      <c r="D19" s="118" t="s">
        <v>1108</v>
      </c>
      <c r="E19" s="31"/>
      <c r="F19" s="31" t="s">
        <v>1150</v>
      </c>
      <c r="G19" s="31" t="s">
        <v>1151</v>
      </c>
      <c r="H19" s="119" t="s">
        <v>1152</v>
      </c>
      <c r="I19" s="31" t="s">
        <v>1153</v>
      </c>
      <c r="J19" s="51" t="s">
        <v>1135</v>
      </c>
      <c r="K19" s="29" t="s">
        <v>1220</v>
      </c>
      <c r="L19" s="29" t="s">
        <v>1221</v>
      </c>
      <c r="M19" s="52"/>
      <c r="N19" t="s">
        <v>1222</v>
      </c>
    </row>
    <row r="20" ht="22.5" spans="1:14">
      <c r="A20" s="27">
        <v>19</v>
      </c>
      <c r="B20" s="27" t="s">
        <v>15</v>
      </c>
      <c r="C20" s="28" t="s">
        <v>675</v>
      </c>
      <c r="D20" s="29" t="s">
        <v>1154</v>
      </c>
      <c r="E20" s="31" t="s">
        <v>1155</v>
      </c>
      <c r="F20" s="31" t="s">
        <v>1156</v>
      </c>
      <c r="G20" s="119" t="s">
        <v>1157</v>
      </c>
      <c r="H20" s="119" t="s">
        <v>439</v>
      </c>
      <c r="I20" s="31" t="s">
        <v>1158</v>
      </c>
      <c r="J20" s="51" t="s">
        <v>1159</v>
      </c>
      <c r="K20" s="29" t="s">
        <v>1220</v>
      </c>
      <c r="L20" s="29" t="s">
        <v>1221</v>
      </c>
      <c r="M20" s="52" t="s">
        <v>1224</v>
      </c>
      <c r="N20" t="s">
        <v>1222</v>
      </c>
    </row>
    <row r="21" ht="22.5" spans="1:14">
      <c r="A21" s="27">
        <v>20</v>
      </c>
      <c r="B21" s="27" t="s">
        <v>15</v>
      </c>
      <c r="C21" s="28" t="s">
        <v>675</v>
      </c>
      <c r="D21" s="29" t="s">
        <v>1154</v>
      </c>
      <c r="E21" s="31" t="s">
        <v>1160</v>
      </c>
      <c r="F21" s="31" t="s">
        <v>1156</v>
      </c>
      <c r="G21" s="119">
        <v>1230300552</v>
      </c>
      <c r="H21" s="119" t="s">
        <v>439</v>
      </c>
      <c r="I21" s="31" t="s">
        <v>1158</v>
      </c>
      <c r="J21" s="51" t="s">
        <v>1159</v>
      </c>
      <c r="K21" s="29" t="s">
        <v>1220</v>
      </c>
      <c r="L21" s="29" t="s">
        <v>1221</v>
      </c>
      <c r="M21" s="28"/>
      <c r="N21" t="s">
        <v>1222</v>
      </c>
    </row>
    <row r="22" spans="1:14">
      <c r="A22" s="27">
        <v>21</v>
      </c>
      <c r="B22" s="27" t="s">
        <v>15</v>
      </c>
      <c r="C22" s="28" t="s">
        <v>675</v>
      </c>
      <c r="D22" s="29" t="s">
        <v>1108</v>
      </c>
      <c r="E22" s="28" t="s">
        <v>1161</v>
      </c>
      <c r="F22" s="31" t="s">
        <v>1162</v>
      </c>
      <c r="G22" s="31" t="s">
        <v>1163</v>
      </c>
      <c r="H22" s="119">
        <v>2021.07</v>
      </c>
      <c r="I22" s="31" t="s">
        <v>1164</v>
      </c>
      <c r="J22" s="29" t="s">
        <v>1114</v>
      </c>
      <c r="K22" s="29" t="s">
        <v>1220</v>
      </c>
      <c r="L22" s="29" t="s">
        <v>1221</v>
      </c>
      <c r="M22" s="219"/>
      <c r="N22" t="s">
        <v>1222</v>
      </c>
    </row>
    <row r="23" ht="22.5" spans="1:14">
      <c r="A23" s="27">
        <v>22</v>
      </c>
      <c r="B23" s="27" t="s">
        <v>15</v>
      </c>
      <c r="C23" s="117" t="s">
        <v>675</v>
      </c>
      <c r="D23" s="118" t="s">
        <v>1154</v>
      </c>
      <c r="E23" s="31" t="s">
        <v>1165</v>
      </c>
      <c r="F23" s="31" t="s">
        <v>1156</v>
      </c>
      <c r="G23" s="119" t="s">
        <v>1166</v>
      </c>
      <c r="H23" s="119" t="s">
        <v>453</v>
      </c>
      <c r="I23" s="31" t="s">
        <v>1158</v>
      </c>
      <c r="J23" s="51" t="s">
        <v>1159</v>
      </c>
      <c r="K23" s="29" t="s">
        <v>1220</v>
      </c>
      <c r="L23" s="29" t="s">
        <v>1221</v>
      </c>
      <c r="M23" s="52"/>
      <c r="N23" t="s">
        <v>1222</v>
      </c>
    </row>
    <row r="24" ht="22.5" spans="1:14">
      <c r="A24" s="27">
        <v>23</v>
      </c>
      <c r="B24" s="27" t="s">
        <v>13</v>
      </c>
      <c r="C24" s="207" t="s">
        <v>330</v>
      </c>
      <c r="D24" s="118" t="s">
        <v>1154</v>
      </c>
      <c r="E24" s="31" t="s">
        <v>1167</v>
      </c>
      <c r="F24" s="31" t="s">
        <v>1156</v>
      </c>
      <c r="G24" s="119" t="s">
        <v>1168</v>
      </c>
      <c r="H24" s="119" t="s">
        <v>453</v>
      </c>
      <c r="I24" s="31" t="s">
        <v>1158</v>
      </c>
      <c r="J24" s="51" t="s">
        <v>1159</v>
      </c>
      <c r="K24" s="29" t="s">
        <v>1220</v>
      </c>
      <c r="L24" s="29" t="s">
        <v>1221</v>
      </c>
      <c r="M24" s="52"/>
      <c r="N24" t="s">
        <v>1222</v>
      </c>
    </row>
    <row r="25" spans="1:14">
      <c r="A25" s="27">
        <v>24</v>
      </c>
      <c r="B25" s="27" t="s">
        <v>13</v>
      </c>
      <c r="C25" s="28" t="s">
        <v>330</v>
      </c>
      <c r="D25" s="118" t="s">
        <v>1108</v>
      </c>
      <c r="E25" s="31" t="s">
        <v>1169</v>
      </c>
      <c r="F25" s="31" t="s">
        <v>1170</v>
      </c>
      <c r="G25" s="119" t="s">
        <v>1171</v>
      </c>
      <c r="H25" s="119" t="s">
        <v>453</v>
      </c>
      <c r="I25" s="31" t="s">
        <v>1172</v>
      </c>
      <c r="J25" s="29" t="s">
        <v>1135</v>
      </c>
      <c r="K25" s="29" t="s">
        <v>1220</v>
      </c>
      <c r="L25" s="29" t="s">
        <v>1221</v>
      </c>
      <c r="M25" s="52"/>
      <c r="N25" t="s">
        <v>1222</v>
      </c>
    </row>
    <row r="26" spans="1:14">
      <c r="A26" s="27">
        <v>25</v>
      </c>
      <c r="B26" s="27" t="s">
        <v>14</v>
      </c>
      <c r="C26" s="28" t="s">
        <v>316</v>
      </c>
      <c r="D26" s="29" t="s">
        <v>1108</v>
      </c>
      <c r="E26" s="31" t="s">
        <v>1173</v>
      </c>
      <c r="F26" s="31" t="s">
        <v>1110</v>
      </c>
      <c r="G26" s="31" t="s">
        <v>1174</v>
      </c>
      <c r="H26" s="119" t="s">
        <v>460</v>
      </c>
      <c r="I26" s="31" t="s">
        <v>1137</v>
      </c>
      <c r="J26" s="51" t="s">
        <v>1114</v>
      </c>
      <c r="K26" s="29" t="s">
        <v>1220</v>
      </c>
      <c r="L26" s="29" t="s">
        <v>1221</v>
      </c>
      <c r="M26" s="28"/>
      <c r="N26" t="s">
        <v>1222</v>
      </c>
    </row>
    <row r="27" spans="1:14">
      <c r="A27" s="27">
        <v>26</v>
      </c>
      <c r="B27" s="27" t="s">
        <v>14</v>
      </c>
      <c r="C27" s="28" t="s">
        <v>1175</v>
      </c>
      <c r="D27" s="29" t="s">
        <v>1145</v>
      </c>
      <c r="E27" s="31" t="s">
        <v>1176</v>
      </c>
      <c r="F27" s="31" t="s">
        <v>1119</v>
      </c>
      <c r="G27" s="31" t="s">
        <v>1177</v>
      </c>
      <c r="H27" s="119" t="s">
        <v>460</v>
      </c>
      <c r="I27" s="31" t="s">
        <v>1121</v>
      </c>
      <c r="J27" s="51" t="s">
        <v>1122</v>
      </c>
      <c r="K27" s="29" t="s">
        <v>1220</v>
      </c>
      <c r="L27" s="29" t="s">
        <v>1221</v>
      </c>
      <c r="M27" s="28"/>
      <c r="N27" t="s">
        <v>1222</v>
      </c>
    </row>
    <row r="28" spans="1:14">
      <c r="A28" s="27">
        <v>27</v>
      </c>
      <c r="B28" s="27" t="s">
        <v>14</v>
      </c>
      <c r="C28" s="117" t="s">
        <v>1175</v>
      </c>
      <c r="D28" s="118" t="s">
        <v>1102</v>
      </c>
      <c r="E28" s="31" t="s">
        <v>1178</v>
      </c>
      <c r="F28" s="31" t="s">
        <v>1119</v>
      </c>
      <c r="G28" s="119" t="s">
        <v>1179</v>
      </c>
      <c r="H28" s="119" t="s">
        <v>460</v>
      </c>
      <c r="I28" s="31" t="s">
        <v>1121</v>
      </c>
      <c r="J28" s="51" t="s">
        <v>1122</v>
      </c>
      <c r="K28" s="29" t="s">
        <v>1220</v>
      </c>
      <c r="L28" s="29" t="s">
        <v>1221</v>
      </c>
      <c r="M28" s="28"/>
      <c r="N28" t="s">
        <v>1222</v>
      </c>
    </row>
    <row r="29" ht="22.5" spans="1:14">
      <c r="A29" s="27">
        <v>28</v>
      </c>
      <c r="B29" s="27" t="s">
        <v>15</v>
      </c>
      <c r="C29" s="28" t="s">
        <v>675</v>
      </c>
      <c r="D29" s="29" t="s">
        <v>1154</v>
      </c>
      <c r="E29" s="31" t="s">
        <v>1180</v>
      </c>
      <c r="F29" s="31" t="s">
        <v>1156</v>
      </c>
      <c r="G29" s="119" t="s">
        <v>1181</v>
      </c>
      <c r="H29" s="119" t="s">
        <v>460</v>
      </c>
      <c r="I29" s="31" t="s">
        <v>1158</v>
      </c>
      <c r="J29" s="51" t="s">
        <v>1159</v>
      </c>
      <c r="K29" s="29" t="s">
        <v>1220</v>
      </c>
      <c r="L29" s="29" t="s">
        <v>1221</v>
      </c>
      <c r="M29" s="30"/>
      <c r="N29" t="s">
        <v>1222</v>
      </c>
    </row>
    <row r="30" ht="22.5" spans="1:14">
      <c r="A30" s="27">
        <v>29</v>
      </c>
      <c r="B30" s="27" t="s">
        <v>14</v>
      </c>
      <c r="C30" s="28" t="s">
        <v>262</v>
      </c>
      <c r="D30" s="29" t="s">
        <v>1154</v>
      </c>
      <c r="E30" s="31" t="s">
        <v>1182</v>
      </c>
      <c r="F30" s="31" t="s">
        <v>1156</v>
      </c>
      <c r="G30" s="119" t="s">
        <v>1183</v>
      </c>
      <c r="H30" s="119" t="s">
        <v>460</v>
      </c>
      <c r="I30" s="31" t="s">
        <v>1158</v>
      </c>
      <c r="J30" s="51" t="s">
        <v>1159</v>
      </c>
      <c r="K30" s="29" t="s">
        <v>1220</v>
      </c>
      <c r="L30" s="29" t="s">
        <v>1221</v>
      </c>
      <c r="M30" s="30"/>
      <c r="N30" t="s">
        <v>1222</v>
      </c>
    </row>
    <row r="31" spans="1:14">
      <c r="A31" s="27">
        <v>30</v>
      </c>
      <c r="B31" s="27" t="s">
        <v>14</v>
      </c>
      <c r="C31" s="28" t="s">
        <v>262</v>
      </c>
      <c r="D31" s="29" t="s">
        <v>1108</v>
      </c>
      <c r="E31" s="31" t="s">
        <v>1184</v>
      </c>
      <c r="F31" s="31" t="s">
        <v>1170</v>
      </c>
      <c r="G31" s="119" t="s">
        <v>1185</v>
      </c>
      <c r="H31" s="119" t="s">
        <v>460</v>
      </c>
      <c r="I31" s="31" t="s">
        <v>1172</v>
      </c>
      <c r="J31" s="51" t="s">
        <v>1135</v>
      </c>
      <c r="K31" s="29" t="s">
        <v>1220</v>
      </c>
      <c r="L31" s="29" t="s">
        <v>1221</v>
      </c>
      <c r="M31" s="30"/>
      <c r="N31" t="s">
        <v>1222</v>
      </c>
    </row>
    <row r="32" spans="1:13">
      <c r="A32" s="27">
        <v>31</v>
      </c>
      <c r="B32" s="27" t="s">
        <v>14</v>
      </c>
      <c r="C32" s="28" t="s">
        <v>262</v>
      </c>
      <c r="D32" s="29" t="s">
        <v>1108</v>
      </c>
      <c r="E32" s="31" t="s">
        <v>1225</v>
      </c>
      <c r="F32" s="31" t="s">
        <v>1225</v>
      </c>
      <c r="G32" s="119" t="s">
        <v>1226</v>
      </c>
      <c r="H32" s="119" t="s">
        <v>1227</v>
      </c>
      <c r="I32" s="31" t="s">
        <v>1228</v>
      </c>
      <c r="J32" s="51" t="s">
        <v>1114</v>
      </c>
      <c r="K32" s="29" t="s">
        <v>1220</v>
      </c>
      <c r="L32" s="29" t="s">
        <v>1221</v>
      </c>
      <c r="M32" s="30"/>
    </row>
    <row r="33" spans="1:14">
      <c r="A33" s="27">
        <v>32</v>
      </c>
      <c r="B33" s="27" t="s">
        <v>6</v>
      </c>
      <c r="C33" s="82" t="s">
        <v>827</v>
      </c>
      <c r="D33" s="29" t="s">
        <v>1108</v>
      </c>
      <c r="E33" s="31"/>
      <c r="F33" s="31" t="s">
        <v>1201</v>
      </c>
      <c r="G33" s="119" t="s">
        <v>1202</v>
      </c>
      <c r="H33" s="31">
        <v>2023.7</v>
      </c>
      <c r="I33" s="31" t="s">
        <v>1203</v>
      </c>
      <c r="J33" s="51" t="s">
        <v>1135</v>
      </c>
      <c r="K33" s="29" t="s">
        <v>1220</v>
      </c>
      <c r="L33" s="29" t="s">
        <v>1221</v>
      </c>
      <c r="M33" s="30"/>
      <c r="N33" t="s">
        <v>1222</v>
      </c>
    </row>
    <row r="34" spans="1:14">
      <c r="A34" s="27">
        <v>33</v>
      </c>
      <c r="B34" s="27" t="s">
        <v>6</v>
      </c>
      <c r="C34" s="82" t="s">
        <v>827</v>
      </c>
      <c r="D34" s="29" t="s">
        <v>1108</v>
      </c>
      <c r="E34" s="31"/>
      <c r="F34" s="31" t="s">
        <v>1204</v>
      </c>
      <c r="G34" s="119" t="s">
        <v>1205</v>
      </c>
      <c r="H34" s="31">
        <v>2023.7</v>
      </c>
      <c r="I34" s="31" t="s">
        <v>1206</v>
      </c>
      <c r="J34" s="51" t="s">
        <v>1135</v>
      </c>
      <c r="K34" s="29" t="s">
        <v>1220</v>
      </c>
      <c r="L34" s="29" t="s">
        <v>1221</v>
      </c>
      <c r="M34" s="30"/>
      <c r="N34" t="s">
        <v>1222</v>
      </c>
    </row>
    <row r="35" spans="1:14">
      <c r="A35" s="27">
        <v>34</v>
      </c>
      <c r="B35" s="27" t="s">
        <v>6</v>
      </c>
      <c r="C35" s="13" t="s">
        <v>1115</v>
      </c>
      <c r="D35" s="118" t="s">
        <v>1229</v>
      </c>
      <c r="E35" s="28"/>
      <c r="F35" s="119" t="s">
        <v>1103</v>
      </c>
      <c r="G35" s="119" t="s">
        <v>1213</v>
      </c>
      <c r="H35" s="119" t="s">
        <v>1105</v>
      </c>
      <c r="I35" s="31" t="s">
        <v>1106</v>
      </c>
      <c r="J35" s="51" t="s">
        <v>1107</v>
      </c>
      <c r="K35" s="29" t="s">
        <v>1220</v>
      </c>
      <c r="L35" s="29" t="s">
        <v>1221</v>
      </c>
      <c r="M35" s="30"/>
      <c r="N35" t="s">
        <v>1222</v>
      </c>
    </row>
    <row r="36" spans="1:14">
      <c r="A36" s="27">
        <v>35</v>
      </c>
      <c r="B36" s="27" t="s">
        <v>15</v>
      </c>
      <c r="C36" s="13" t="s">
        <v>1101</v>
      </c>
      <c r="D36" s="118" t="s">
        <v>1102</v>
      </c>
      <c r="E36" s="208"/>
      <c r="F36" s="209" t="s">
        <v>1103</v>
      </c>
      <c r="G36" s="209" t="s">
        <v>1214</v>
      </c>
      <c r="H36" s="119" t="s">
        <v>1105</v>
      </c>
      <c r="I36" s="220" t="s">
        <v>1106</v>
      </c>
      <c r="J36" s="221" t="s">
        <v>1107</v>
      </c>
      <c r="K36" s="29" t="s">
        <v>1220</v>
      </c>
      <c r="L36" s="29" t="s">
        <v>1221</v>
      </c>
      <c r="M36" s="30"/>
      <c r="N36" t="s">
        <v>1222</v>
      </c>
    </row>
    <row r="37" spans="1:14">
      <c r="A37" s="27">
        <v>36</v>
      </c>
      <c r="B37" s="27" t="s">
        <v>6</v>
      </c>
      <c r="C37" s="13" t="s">
        <v>1115</v>
      </c>
      <c r="D37" s="118" t="s">
        <v>1102</v>
      </c>
      <c r="E37" s="13"/>
      <c r="F37" s="168"/>
      <c r="G37" s="14" t="s">
        <v>1116</v>
      </c>
      <c r="H37" s="119" t="s">
        <v>1105</v>
      </c>
      <c r="I37" s="10" t="s">
        <v>1106</v>
      </c>
      <c r="J37" s="36" t="s">
        <v>1117</v>
      </c>
      <c r="K37" s="29" t="s">
        <v>1220</v>
      </c>
      <c r="L37" s="29" t="s">
        <v>1221</v>
      </c>
      <c r="M37" s="30"/>
      <c r="N37" t="s">
        <v>1222</v>
      </c>
    </row>
    <row r="38" spans="1:14">
      <c r="A38" s="27">
        <v>37</v>
      </c>
      <c r="B38" s="27" t="s">
        <v>15</v>
      </c>
      <c r="C38" s="117" t="s">
        <v>1230</v>
      </c>
      <c r="D38" s="118" t="s">
        <v>1108</v>
      </c>
      <c r="E38" s="31" t="s">
        <v>1231</v>
      </c>
      <c r="F38" s="31" t="s">
        <v>1110</v>
      </c>
      <c r="G38" s="31" t="s">
        <v>1232</v>
      </c>
      <c r="H38" s="119" t="s">
        <v>453</v>
      </c>
      <c r="I38" s="31" t="s">
        <v>1113</v>
      </c>
      <c r="J38" s="51" t="s">
        <v>1114</v>
      </c>
      <c r="K38" s="29" t="s">
        <v>1220</v>
      </c>
      <c r="L38" s="29" t="s">
        <v>1221</v>
      </c>
      <c r="M38" s="52"/>
      <c r="N38" t="s">
        <v>429</v>
      </c>
    </row>
    <row r="39" spans="1:14">
      <c r="A39" s="27">
        <v>38</v>
      </c>
      <c r="B39" s="27" t="s">
        <v>15</v>
      </c>
      <c r="C39" s="117" t="s">
        <v>1230</v>
      </c>
      <c r="D39" s="29" t="s">
        <v>1108</v>
      </c>
      <c r="E39" s="31"/>
      <c r="F39" s="31" t="s">
        <v>1133</v>
      </c>
      <c r="G39" s="31">
        <v>1231351886</v>
      </c>
      <c r="H39" s="119" t="s">
        <v>460</v>
      </c>
      <c r="I39" s="31" t="s">
        <v>1172</v>
      </c>
      <c r="J39" s="51" t="s">
        <v>1135</v>
      </c>
      <c r="K39" s="29" t="s">
        <v>1220</v>
      </c>
      <c r="L39" s="29" t="s">
        <v>1221</v>
      </c>
      <c r="M39" s="52"/>
      <c r="N39" t="s">
        <v>429</v>
      </c>
    </row>
    <row r="40" spans="1:14">
      <c r="A40" s="27">
        <v>39</v>
      </c>
      <c r="B40" s="27" t="s">
        <v>15</v>
      </c>
      <c r="C40" s="117" t="s">
        <v>1230</v>
      </c>
      <c r="D40" s="29" t="s">
        <v>1108</v>
      </c>
      <c r="E40" s="31" t="s">
        <v>1233</v>
      </c>
      <c r="F40" s="31" t="s">
        <v>1170</v>
      </c>
      <c r="G40" s="31">
        <v>1232290157</v>
      </c>
      <c r="H40" s="119" t="s">
        <v>460</v>
      </c>
      <c r="I40" s="31" t="s">
        <v>1172</v>
      </c>
      <c r="J40" s="51" t="s">
        <v>1135</v>
      </c>
      <c r="K40" s="29" t="s">
        <v>1220</v>
      </c>
      <c r="L40" s="29" t="s">
        <v>1221</v>
      </c>
      <c r="M40" s="52"/>
      <c r="N40" t="s">
        <v>429</v>
      </c>
    </row>
    <row r="41" spans="1:14">
      <c r="A41" s="27">
        <v>40</v>
      </c>
      <c r="B41" s="27" t="s">
        <v>15</v>
      </c>
      <c r="C41" s="117" t="s">
        <v>1230</v>
      </c>
      <c r="D41" s="29" t="s">
        <v>1108</v>
      </c>
      <c r="E41" s="31" t="s">
        <v>1234</v>
      </c>
      <c r="F41" s="31" t="s">
        <v>1170</v>
      </c>
      <c r="G41" s="119" t="s">
        <v>1235</v>
      </c>
      <c r="H41" s="119" t="s">
        <v>439</v>
      </c>
      <c r="I41" s="31" t="s">
        <v>1172</v>
      </c>
      <c r="J41" s="51" t="s">
        <v>1135</v>
      </c>
      <c r="K41" s="29" t="s">
        <v>1220</v>
      </c>
      <c r="L41" s="29" t="s">
        <v>1221</v>
      </c>
      <c r="M41" s="52"/>
      <c r="N41" t="s">
        <v>429</v>
      </c>
    </row>
    <row r="42" spans="1:14">
      <c r="A42" s="27">
        <v>42</v>
      </c>
      <c r="B42" s="27" t="s">
        <v>15</v>
      </c>
      <c r="C42" s="117" t="s">
        <v>1230</v>
      </c>
      <c r="D42" s="29" t="s">
        <v>1108</v>
      </c>
      <c r="E42" s="31" t="s">
        <v>1236</v>
      </c>
      <c r="F42" s="31" t="s">
        <v>1237</v>
      </c>
      <c r="G42" s="31" t="s">
        <v>1238</v>
      </c>
      <c r="H42" s="31">
        <v>2010.11</v>
      </c>
      <c r="I42" s="31" t="s">
        <v>1239</v>
      </c>
      <c r="J42" s="51" t="s">
        <v>1114</v>
      </c>
      <c r="K42" s="29" t="s">
        <v>1220</v>
      </c>
      <c r="L42" s="29" t="s">
        <v>1221</v>
      </c>
      <c r="M42" s="52"/>
      <c r="N42" t="s">
        <v>429</v>
      </c>
    </row>
    <row r="43" spans="1:14">
      <c r="A43" s="27">
        <v>43</v>
      </c>
      <c r="B43" s="27" t="s">
        <v>15</v>
      </c>
      <c r="C43" s="117" t="s">
        <v>1230</v>
      </c>
      <c r="D43" s="29" t="s">
        <v>1108</v>
      </c>
      <c r="E43" s="31"/>
      <c r="F43" s="119" t="s">
        <v>1237</v>
      </c>
      <c r="G43" s="119" t="s">
        <v>1240</v>
      </c>
      <c r="H43" s="31">
        <v>2010.11</v>
      </c>
      <c r="I43" s="31" t="s">
        <v>1239</v>
      </c>
      <c r="J43" s="51" t="s">
        <v>1114</v>
      </c>
      <c r="K43" s="29" t="s">
        <v>1220</v>
      </c>
      <c r="L43" s="29" t="s">
        <v>1221</v>
      </c>
      <c r="M43" s="52"/>
      <c r="N43" t="s">
        <v>429</v>
      </c>
    </row>
    <row r="44" spans="1:13">
      <c r="A44" s="27">
        <v>44</v>
      </c>
      <c r="B44" s="27" t="s">
        <v>15</v>
      </c>
      <c r="C44" s="117" t="s">
        <v>1230</v>
      </c>
      <c r="D44" s="29" t="s">
        <v>1108</v>
      </c>
      <c r="E44" s="31" t="s">
        <v>1241</v>
      </c>
      <c r="F44" s="31" t="s">
        <v>1170</v>
      </c>
      <c r="G44" s="119" t="s">
        <v>1242</v>
      </c>
      <c r="H44" s="119" t="s">
        <v>460</v>
      </c>
      <c r="I44" s="31" t="s">
        <v>1172</v>
      </c>
      <c r="J44" s="51" t="s">
        <v>1135</v>
      </c>
      <c r="K44" s="29" t="s">
        <v>1220</v>
      </c>
      <c r="L44" s="29" t="s">
        <v>1221</v>
      </c>
      <c r="M44" s="52"/>
    </row>
    <row r="45" spans="1:14">
      <c r="A45" s="27">
        <v>45</v>
      </c>
      <c r="B45" s="27" t="s">
        <v>15</v>
      </c>
      <c r="C45" s="122" t="s">
        <v>1230</v>
      </c>
      <c r="D45" s="12" t="s">
        <v>1108</v>
      </c>
      <c r="E45" s="10" t="s">
        <v>1243</v>
      </c>
      <c r="F45" s="14" t="s">
        <v>1127</v>
      </c>
      <c r="G45" s="14" t="s">
        <v>1244</v>
      </c>
      <c r="H45" s="14" t="s">
        <v>439</v>
      </c>
      <c r="I45" s="14" t="s">
        <v>1129</v>
      </c>
      <c r="J45" s="14" t="s">
        <v>1114</v>
      </c>
      <c r="K45" s="29" t="s">
        <v>1220</v>
      </c>
      <c r="L45" s="29" t="s">
        <v>1221</v>
      </c>
      <c r="M45" s="52"/>
      <c r="N45" t="s">
        <v>1222</v>
      </c>
    </row>
    <row r="46" spans="1:14">
      <c r="A46" s="27">
        <v>46</v>
      </c>
      <c r="B46" s="27" t="s">
        <v>15</v>
      </c>
      <c r="C46" s="117" t="s">
        <v>1230</v>
      </c>
      <c r="D46" s="29" t="s">
        <v>1108</v>
      </c>
      <c r="E46" s="31" t="s">
        <v>1234</v>
      </c>
      <c r="F46" s="31" t="s">
        <v>1133</v>
      </c>
      <c r="G46" s="119" t="s">
        <v>1245</v>
      </c>
      <c r="H46" s="119" t="s">
        <v>439</v>
      </c>
      <c r="I46" s="31" t="s">
        <v>1172</v>
      </c>
      <c r="J46" s="51" t="s">
        <v>1135</v>
      </c>
      <c r="K46" s="29" t="s">
        <v>1220</v>
      </c>
      <c r="L46" s="29" t="s">
        <v>1221</v>
      </c>
      <c r="M46" s="52"/>
      <c r="N46" t="s">
        <v>429</v>
      </c>
    </row>
    <row r="47" ht="33.75" spans="1:14">
      <c r="A47" s="27">
        <v>47</v>
      </c>
      <c r="B47" s="27" t="s">
        <v>15</v>
      </c>
      <c r="C47" s="28" t="s">
        <v>675</v>
      </c>
      <c r="D47" s="29" t="s">
        <v>1102</v>
      </c>
      <c r="E47" s="28" t="s">
        <v>1161</v>
      </c>
      <c r="F47" s="210" t="s">
        <v>1246</v>
      </c>
      <c r="G47" s="119" t="s">
        <v>1247</v>
      </c>
      <c r="H47" s="29"/>
      <c r="I47" s="31" t="s">
        <v>1248</v>
      </c>
      <c r="J47" s="51" t="s">
        <v>1122</v>
      </c>
      <c r="K47" s="29" t="s">
        <v>1220</v>
      </c>
      <c r="L47" s="29" t="s">
        <v>1221</v>
      </c>
      <c r="M47" s="29"/>
      <c r="N47" t="s">
        <v>1222</v>
      </c>
    </row>
    <row r="48" spans="1:14">
      <c r="A48" s="27">
        <v>48</v>
      </c>
      <c r="B48" s="27" t="s">
        <v>15</v>
      </c>
      <c r="C48" s="28" t="s">
        <v>1249</v>
      </c>
      <c r="D48" s="29" t="s">
        <v>1145</v>
      </c>
      <c r="E48" s="31" t="s">
        <v>1250</v>
      </c>
      <c r="F48" s="31" t="s">
        <v>1251</v>
      </c>
      <c r="G48" s="31">
        <v>1706642</v>
      </c>
      <c r="H48" s="119" t="s">
        <v>439</v>
      </c>
      <c r="I48" s="31" t="s">
        <v>1252</v>
      </c>
      <c r="J48" s="51" t="s">
        <v>1186</v>
      </c>
      <c r="K48" s="29" t="s">
        <v>1220</v>
      </c>
      <c r="L48" s="29" t="s">
        <v>1221</v>
      </c>
      <c r="M48" s="52"/>
      <c r="N48" t="s">
        <v>429</v>
      </c>
    </row>
    <row r="49" spans="1:14">
      <c r="A49" s="27">
        <v>49</v>
      </c>
      <c r="B49" s="27" t="s">
        <v>13</v>
      </c>
      <c r="C49" s="117" t="s">
        <v>1253</v>
      </c>
      <c r="D49" s="118" t="s">
        <v>1145</v>
      </c>
      <c r="E49" s="31" t="s">
        <v>1254</v>
      </c>
      <c r="F49" s="31" t="s">
        <v>1251</v>
      </c>
      <c r="G49" s="31">
        <v>1705875</v>
      </c>
      <c r="H49" s="119" t="s">
        <v>1255</v>
      </c>
      <c r="I49" s="31" t="s">
        <v>1252</v>
      </c>
      <c r="J49" s="51" t="s">
        <v>1186</v>
      </c>
      <c r="K49" s="29" t="s">
        <v>1220</v>
      </c>
      <c r="L49" s="29" t="s">
        <v>1221</v>
      </c>
      <c r="M49" s="52"/>
      <c r="N49" t="s">
        <v>429</v>
      </c>
    </row>
    <row r="50" spans="1:14">
      <c r="A50" s="27">
        <v>50</v>
      </c>
      <c r="B50" s="27" t="s">
        <v>14</v>
      </c>
      <c r="C50" s="28" t="s">
        <v>1256</v>
      </c>
      <c r="D50" s="29" t="s">
        <v>1102</v>
      </c>
      <c r="E50" s="31" t="s">
        <v>1257</v>
      </c>
      <c r="F50" s="31" t="s">
        <v>1251</v>
      </c>
      <c r="G50" s="31" t="s">
        <v>1258</v>
      </c>
      <c r="H50" s="119" t="s">
        <v>1259</v>
      </c>
      <c r="I50" s="31" t="s">
        <v>1252</v>
      </c>
      <c r="J50" s="51" t="s">
        <v>1186</v>
      </c>
      <c r="K50" s="29" t="s">
        <v>1220</v>
      </c>
      <c r="L50" s="29" t="s">
        <v>1221</v>
      </c>
      <c r="M50" s="52"/>
      <c r="N50" t="s">
        <v>429</v>
      </c>
    </row>
    <row r="51" ht="22.5" spans="1:14">
      <c r="A51" s="27">
        <v>51</v>
      </c>
      <c r="B51" s="27" t="s">
        <v>15</v>
      </c>
      <c r="C51" s="117" t="s">
        <v>1260</v>
      </c>
      <c r="D51" s="118" t="s">
        <v>1102</v>
      </c>
      <c r="E51" s="31" t="s">
        <v>42</v>
      </c>
      <c r="F51" s="210" t="s">
        <v>1261</v>
      </c>
      <c r="G51" s="31" t="s">
        <v>1262</v>
      </c>
      <c r="H51" s="119" t="s">
        <v>1263</v>
      </c>
      <c r="I51" s="31" t="s">
        <v>1121</v>
      </c>
      <c r="J51" s="51" t="s">
        <v>1264</v>
      </c>
      <c r="K51" s="29" t="s">
        <v>1220</v>
      </c>
      <c r="L51" s="29" t="s">
        <v>1221</v>
      </c>
      <c r="M51" s="52"/>
      <c r="N51" t="s">
        <v>429</v>
      </c>
    </row>
    <row r="52" ht="22.5" spans="1:14">
      <c r="A52" s="27">
        <v>52</v>
      </c>
      <c r="B52" s="27" t="s">
        <v>13</v>
      </c>
      <c r="C52" s="211" t="s">
        <v>1265</v>
      </c>
      <c r="D52" s="29" t="s">
        <v>1102</v>
      </c>
      <c r="E52" s="31" t="s">
        <v>42</v>
      </c>
      <c r="F52" s="210" t="s">
        <v>1261</v>
      </c>
      <c r="G52" s="31" t="s">
        <v>1266</v>
      </c>
      <c r="H52" s="119" t="s">
        <v>1263</v>
      </c>
      <c r="I52" s="31" t="s">
        <v>1121</v>
      </c>
      <c r="J52" s="51" t="s">
        <v>1264</v>
      </c>
      <c r="K52" s="29" t="s">
        <v>1220</v>
      </c>
      <c r="L52" s="29" t="s">
        <v>1221</v>
      </c>
      <c r="M52" s="52"/>
      <c r="N52" t="s">
        <v>429</v>
      </c>
    </row>
    <row r="53" ht="22.5" spans="1:14">
      <c r="A53" s="27">
        <v>53</v>
      </c>
      <c r="B53" s="27" t="s">
        <v>14</v>
      </c>
      <c r="C53" s="211" t="s">
        <v>1267</v>
      </c>
      <c r="D53" s="212" t="s">
        <v>1102</v>
      </c>
      <c r="E53" s="213" t="s">
        <v>42</v>
      </c>
      <c r="F53" s="210" t="s">
        <v>1261</v>
      </c>
      <c r="G53" s="31" t="s">
        <v>1268</v>
      </c>
      <c r="H53" s="214" t="s">
        <v>1269</v>
      </c>
      <c r="I53" s="213" t="s">
        <v>1121</v>
      </c>
      <c r="J53" s="51" t="s">
        <v>1264</v>
      </c>
      <c r="K53" s="29" t="s">
        <v>1220</v>
      </c>
      <c r="L53" s="29" t="s">
        <v>1221</v>
      </c>
      <c r="M53" s="52"/>
      <c r="N53" t="s">
        <v>429</v>
      </c>
    </row>
    <row r="54" spans="1:14">
      <c r="A54" s="27">
        <v>54</v>
      </c>
      <c r="B54" s="27" t="s">
        <v>15</v>
      </c>
      <c r="C54" s="117" t="s">
        <v>1270</v>
      </c>
      <c r="D54" s="118" t="s">
        <v>1102</v>
      </c>
      <c r="E54" s="119" t="s">
        <v>300</v>
      </c>
      <c r="F54" s="31" t="s">
        <v>1271</v>
      </c>
      <c r="G54" s="119" t="s">
        <v>1272</v>
      </c>
      <c r="H54" s="119" t="s">
        <v>1273</v>
      </c>
      <c r="I54" s="31" t="s">
        <v>1274</v>
      </c>
      <c r="J54" s="222" t="s">
        <v>1275</v>
      </c>
      <c r="K54" s="29" t="s">
        <v>1220</v>
      </c>
      <c r="L54" s="29" t="s">
        <v>1221</v>
      </c>
      <c r="M54" s="52"/>
      <c r="N54" t="s">
        <v>429</v>
      </c>
    </row>
    <row r="55" spans="1:14">
      <c r="A55" s="27">
        <v>55</v>
      </c>
      <c r="B55" s="27" t="s">
        <v>15</v>
      </c>
      <c r="C55" s="117" t="s">
        <v>1276</v>
      </c>
      <c r="D55" s="118" t="s">
        <v>1102</v>
      </c>
      <c r="E55" s="119" t="s">
        <v>312</v>
      </c>
      <c r="F55" s="31" t="s">
        <v>1271</v>
      </c>
      <c r="G55" s="119" t="s">
        <v>1277</v>
      </c>
      <c r="H55" s="119" t="s">
        <v>1273</v>
      </c>
      <c r="I55" s="31" t="s">
        <v>1274</v>
      </c>
      <c r="J55" s="222" t="s">
        <v>1275</v>
      </c>
      <c r="K55" s="29" t="s">
        <v>1220</v>
      </c>
      <c r="L55" s="29" t="s">
        <v>1221</v>
      </c>
      <c r="M55" s="52"/>
      <c r="N55" t="s">
        <v>429</v>
      </c>
    </row>
    <row r="56" spans="1:14">
      <c r="A56" s="27">
        <v>56</v>
      </c>
      <c r="B56" s="27" t="s">
        <v>13</v>
      </c>
      <c r="C56" s="211" t="s">
        <v>1278</v>
      </c>
      <c r="D56" s="29" t="s">
        <v>1102</v>
      </c>
      <c r="E56" s="31" t="s">
        <v>1279</v>
      </c>
      <c r="F56" s="31" t="s">
        <v>1271</v>
      </c>
      <c r="G56" s="119" t="s">
        <v>1280</v>
      </c>
      <c r="H56" s="119" t="s">
        <v>1281</v>
      </c>
      <c r="I56" s="119" t="s">
        <v>1274</v>
      </c>
      <c r="J56" s="222" t="s">
        <v>1275</v>
      </c>
      <c r="K56" s="29" t="s">
        <v>1220</v>
      </c>
      <c r="L56" s="29" t="s">
        <v>1221</v>
      </c>
      <c r="M56" s="52"/>
      <c r="N56" t="s">
        <v>429</v>
      </c>
    </row>
    <row r="57" spans="1:14">
      <c r="A57" s="27">
        <v>57</v>
      </c>
      <c r="B57" s="27" t="s">
        <v>13</v>
      </c>
      <c r="C57" s="211" t="s">
        <v>1282</v>
      </c>
      <c r="D57" s="29" t="s">
        <v>1102</v>
      </c>
      <c r="E57" s="31" t="s">
        <v>1283</v>
      </c>
      <c r="F57" s="31" t="s">
        <v>1271</v>
      </c>
      <c r="G57" s="119" t="s">
        <v>1284</v>
      </c>
      <c r="H57" s="119" t="s">
        <v>453</v>
      </c>
      <c r="I57" s="119" t="s">
        <v>1274</v>
      </c>
      <c r="J57" s="222" t="s">
        <v>1275</v>
      </c>
      <c r="K57" s="29" t="s">
        <v>1220</v>
      </c>
      <c r="L57" s="29" t="s">
        <v>1221</v>
      </c>
      <c r="M57" s="52"/>
      <c r="N57" t="s">
        <v>429</v>
      </c>
    </row>
    <row r="58" spans="1:14">
      <c r="A58" s="27">
        <v>58</v>
      </c>
      <c r="B58" s="27" t="s">
        <v>14</v>
      </c>
      <c r="C58" s="211" t="s">
        <v>1285</v>
      </c>
      <c r="D58" s="29" t="s">
        <v>1102</v>
      </c>
      <c r="E58" s="31" t="s">
        <v>1286</v>
      </c>
      <c r="F58" s="31" t="s">
        <v>1271</v>
      </c>
      <c r="G58" s="119" t="s">
        <v>1287</v>
      </c>
      <c r="H58" s="119" t="s">
        <v>1288</v>
      </c>
      <c r="I58" s="31" t="s">
        <v>1274</v>
      </c>
      <c r="J58" s="222" t="s">
        <v>1275</v>
      </c>
      <c r="K58" s="29" t="s">
        <v>1220</v>
      </c>
      <c r="L58" s="29" t="s">
        <v>1221</v>
      </c>
      <c r="M58" s="52"/>
      <c r="N58" t="s">
        <v>429</v>
      </c>
    </row>
    <row r="59" spans="1:14">
      <c r="A59" s="27">
        <v>59</v>
      </c>
      <c r="B59" s="27" t="s">
        <v>14</v>
      </c>
      <c r="C59" s="215" t="s">
        <v>1289</v>
      </c>
      <c r="D59" s="29" t="s">
        <v>1102</v>
      </c>
      <c r="E59" s="28"/>
      <c r="F59" s="31" t="s">
        <v>1271</v>
      </c>
      <c r="G59" s="119" t="s">
        <v>1290</v>
      </c>
      <c r="H59" s="119" t="s">
        <v>1288</v>
      </c>
      <c r="I59" s="31" t="s">
        <v>1274</v>
      </c>
      <c r="J59" s="222" t="s">
        <v>1275</v>
      </c>
      <c r="K59" s="29" t="s">
        <v>1220</v>
      </c>
      <c r="L59" s="29" t="s">
        <v>1221</v>
      </c>
      <c r="M59" s="52"/>
      <c r="N59" t="s">
        <v>429</v>
      </c>
    </row>
    <row r="60" spans="1:14">
      <c r="A60" s="27">
        <v>60</v>
      </c>
      <c r="B60" s="27" t="s">
        <v>15</v>
      </c>
      <c r="C60" s="117" t="s">
        <v>55</v>
      </c>
      <c r="D60" s="118" t="s">
        <v>1108</v>
      </c>
      <c r="E60" s="28" t="s">
        <v>1161</v>
      </c>
      <c r="F60" s="31" t="s">
        <v>1291</v>
      </c>
      <c r="G60" s="31">
        <v>4312</v>
      </c>
      <c r="H60" s="29">
        <v>2021.07</v>
      </c>
      <c r="I60" s="31" t="s">
        <v>1292</v>
      </c>
      <c r="J60" s="29" t="s">
        <v>1135</v>
      </c>
      <c r="K60" s="29" t="s">
        <v>1220</v>
      </c>
      <c r="L60" s="29" t="s">
        <v>1221</v>
      </c>
      <c r="M60" s="52"/>
      <c r="N60" t="s">
        <v>429</v>
      </c>
    </row>
    <row r="61" spans="1:14">
      <c r="A61" s="27">
        <v>61</v>
      </c>
      <c r="B61" s="27" t="s">
        <v>15</v>
      </c>
      <c r="C61" s="117" t="s">
        <v>60</v>
      </c>
      <c r="D61" s="118" t="s">
        <v>1108</v>
      </c>
      <c r="E61" s="28" t="s">
        <v>1161</v>
      </c>
      <c r="F61" s="119" t="s">
        <v>1291</v>
      </c>
      <c r="G61" s="31">
        <v>4307</v>
      </c>
      <c r="H61" s="29">
        <v>2021.07</v>
      </c>
      <c r="I61" s="31" t="s">
        <v>1292</v>
      </c>
      <c r="J61" s="29" t="s">
        <v>1135</v>
      </c>
      <c r="K61" s="29" t="s">
        <v>1220</v>
      </c>
      <c r="L61" s="29" t="s">
        <v>1221</v>
      </c>
      <c r="M61" s="52"/>
      <c r="N61" t="s">
        <v>429</v>
      </c>
    </row>
    <row r="62" spans="1:14">
      <c r="A62" s="27">
        <v>62</v>
      </c>
      <c r="B62" s="27" t="s">
        <v>13</v>
      </c>
      <c r="C62" s="117" t="s">
        <v>101</v>
      </c>
      <c r="D62" s="118" t="s">
        <v>1108</v>
      </c>
      <c r="E62" s="28" t="s">
        <v>1161</v>
      </c>
      <c r="F62" s="31" t="s">
        <v>1293</v>
      </c>
      <c r="G62" s="32">
        <v>13546</v>
      </c>
      <c r="H62" s="29">
        <v>2021.12</v>
      </c>
      <c r="I62" s="31" t="s">
        <v>1292</v>
      </c>
      <c r="J62" s="29" t="s">
        <v>1135</v>
      </c>
      <c r="K62" s="29" t="s">
        <v>1220</v>
      </c>
      <c r="L62" s="29" t="s">
        <v>1221</v>
      </c>
      <c r="M62" s="52"/>
      <c r="N62" t="s">
        <v>429</v>
      </c>
    </row>
    <row r="63" spans="1:14">
      <c r="A63" s="27">
        <v>63</v>
      </c>
      <c r="B63" s="27" t="s">
        <v>13</v>
      </c>
      <c r="C63" s="117" t="s">
        <v>107</v>
      </c>
      <c r="D63" s="118" t="s">
        <v>1108</v>
      </c>
      <c r="E63" s="28" t="s">
        <v>1161</v>
      </c>
      <c r="F63" s="31" t="s">
        <v>1293</v>
      </c>
      <c r="G63" s="32">
        <v>13557</v>
      </c>
      <c r="H63" s="29">
        <v>2021.12</v>
      </c>
      <c r="I63" s="31" t="s">
        <v>1292</v>
      </c>
      <c r="J63" s="29" t="s">
        <v>1135</v>
      </c>
      <c r="K63" s="29" t="s">
        <v>1220</v>
      </c>
      <c r="L63" s="29" t="s">
        <v>1221</v>
      </c>
      <c r="M63" s="52"/>
      <c r="N63" t="s">
        <v>429</v>
      </c>
    </row>
    <row r="64" spans="1:14">
      <c r="A64" s="27">
        <v>64</v>
      </c>
      <c r="B64" s="27" t="s">
        <v>14</v>
      </c>
      <c r="C64" s="28" t="s">
        <v>67</v>
      </c>
      <c r="D64" s="29" t="s">
        <v>1108</v>
      </c>
      <c r="E64" s="28" t="s">
        <v>1161</v>
      </c>
      <c r="F64" s="216" t="s">
        <v>1293</v>
      </c>
      <c r="G64" s="217">
        <v>54173</v>
      </c>
      <c r="H64" s="218">
        <v>2020.1</v>
      </c>
      <c r="I64" s="218" t="s">
        <v>1294</v>
      </c>
      <c r="J64" s="223" t="s">
        <v>1114</v>
      </c>
      <c r="K64" s="29" t="s">
        <v>1220</v>
      </c>
      <c r="L64" s="29" t="s">
        <v>1221</v>
      </c>
      <c r="M64" s="52"/>
      <c r="N64" t="s">
        <v>429</v>
      </c>
    </row>
    <row r="65" spans="1:14">
      <c r="A65" s="27">
        <v>65</v>
      </c>
      <c r="B65" s="27" t="s">
        <v>15</v>
      </c>
      <c r="C65" s="28" t="s">
        <v>1295</v>
      </c>
      <c r="D65" s="29" t="s">
        <v>1108</v>
      </c>
      <c r="E65" s="31" t="s">
        <v>1241</v>
      </c>
      <c r="F65" s="31" t="s">
        <v>1170</v>
      </c>
      <c r="G65" s="119" t="s">
        <v>1242</v>
      </c>
      <c r="H65" s="119" t="s">
        <v>460</v>
      </c>
      <c r="I65" s="31" t="s">
        <v>1172</v>
      </c>
      <c r="J65" s="51" t="s">
        <v>1135</v>
      </c>
      <c r="K65" s="29" t="s">
        <v>1220</v>
      </c>
      <c r="L65" s="29" t="s">
        <v>1221</v>
      </c>
      <c r="M65" s="52"/>
      <c r="N65" t="s">
        <v>429</v>
      </c>
    </row>
    <row r="66" spans="1:14">
      <c r="A66" s="27">
        <v>66</v>
      </c>
      <c r="B66" s="27" t="s">
        <v>15</v>
      </c>
      <c r="C66" s="28" t="s">
        <v>1296</v>
      </c>
      <c r="D66" s="29" t="s">
        <v>1108</v>
      </c>
      <c r="E66" s="31" t="s">
        <v>1297</v>
      </c>
      <c r="F66" s="31" t="s">
        <v>1127</v>
      </c>
      <c r="G66" s="31">
        <v>1231200900</v>
      </c>
      <c r="H66" s="32">
        <v>2010.1</v>
      </c>
      <c r="I66" s="31" t="s">
        <v>1129</v>
      </c>
      <c r="J66" s="51" t="s">
        <v>1135</v>
      </c>
      <c r="K66" s="29" t="s">
        <v>1220</v>
      </c>
      <c r="L66" s="29" t="s">
        <v>1221</v>
      </c>
      <c r="M66" s="52"/>
      <c r="N66" t="s">
        <v>429</v>
      </c>
    </row>
    <row r="67" spans="1:14">
      <c r="A67" s="27">
        <v>67</v>
      </c>
      <c r="B67" s="27" t="s">
        <v>13</v>
      </c>
      <c r="C67" s="28" t="s">
        <v>1298</v>
      </c>
      <c r="D67" s="29" t="s">
        <v>1108</v>
      </c>
      <c r="E67" s="31" t="s">
        <v>1299</v>
      </c>
      <c r="F67" s="31" t="s">
        <v>1170</v>
      </c>
      <c r="G67" s="119">
        <v>1230430870</v>
      </c>
      <c r="H67" s="32">
        <v>2010.1</v>
      </c>
      <c r="I67" s="31" t="s">
        <v>1172</v>
      </c>
      <c r="J67" s="51" t="s">
        <v>1135</v>
      </c>
      <c r="K67" s="29" t="s">
        <v>1220</v>
      </c>
      <c r="L67" s="29" t="s">
        <v>1221</v>
      </c>
      <c r="M67" s="52"/>
      <c r="N67" t="s">
        <v>429</v>
      </c>
    </row>
    <row r="68" spans="1:14">
      <c r="A68" s="27">
        <v>68</v>
      </c>
      <c r="B68" s="27" t="s">
        <v>13</v>
      </c>
      <c r="C68" s="28" t="s">
        <v>1300</v>
      </c>
      <c r="D68" s="29" t="s">
        <v>1108</v>
      </c>
      <c r="E68" s="31" t="s">
        <v>1301</v>
      </c>
      <c r="F68" s="31" t="s">
        <v>1133</v>
      </c>
      <c r="G68" s="31">
        <v>1232270126</v>
      </c>
      <c r="H68" s="32">
        <v>2012.08</v>
      </c>
      <c r="I68" s="31" t="s">
        <v>1134</v>
      </c>
      <c r="J68" s="51" t="s">
        <v>1135</v>
      </c>
      <c r="K68" s="29" t="s">
        <v>1220</v>
      </c>
      <c r="L68" s="29" t="s">
        <v>1221</v>
      </c>
      <c r="M68" s="52"/>
      <c r="N68" t="s">
        <v>429</v>
      </c>
    </row>
    <row r="69" spans="1:14">
      <c r="A69" s="27">
        <v>69</v>
      </c>
      <c r="B69" s="27" t="s">
        <v>14</v>
      </c>
      <c r="C69" s="28" t="s">
        <v>1302</v>
      </c>
      <c r="D69" s="29" t="s">
        <v>1108</v>
      </c>
      <c r="E69" s="31" t="s">
        <v>1303</v>
      </c>
      <c r="F69" s="31" t="s">
        <v>1127</v>
      </c>
      <c r="G69" s="31">
        <v>1231200901</v>
      </c>
      <c r="H69" s="32">
        <v>2010.1</v>
      </c>
      <c r="I69" s="31" t="s">
        <v>1129</v>
      </c>
      <c r="J69" s="51" t="s">
        <v>1135</v>
      </c>
      <c r="K69" s="29" t="s">
        <v>1220</v>
      </c>
      <c r="L69" s="29" t="s">
        <v>1221</v>
      </c>
      <c r="M69" s="52"/>
      <c r="N69" t="s">
        <v>429</v>
      </c>
    </row>
    <row r="70" spans="1:14">
      <c r="A70" s="27">
        <v>70</v>
      </c>
      <c r="B70" s="27" t="s">
        <v>14</v>
      </c>
      <c r="C70" s="28" t="s">
        <v>1304</v>
      </c>
      <c r="D70" s="118" t="s">
        <v>1108</v>
      </c>
      <c r="E70" s="31" t="s">
        <v>1305</v>
      </c>
      <c r="F70" s="119" t="s">
        <v>1170</v>
      </c>
      <c r="G70" s="32">
        <v>1232260328</v>
      </c>
      <c r="H70" s="32">
        <v>2012.08</v>
      </c>
      <c r="I70" s="31" t="s">
        <v>1172</v>
      </c>
      <c r="J70" s="51" t="s">
        <v>1135</v>
      </c>
      <c r="K70" s="29" t="s">
        <v>1220</v>
      </c>
      <c r="L70" s="29" t="s">
        <v>1221</v>
      </c>
      <c r="M70" s="52"/>
      <c r="N70" t="s">
        <v>429</v>
      </c>
    </row>
    <row r="71" spans="1:14">
      <c r="A71" s="27">
        <v>71</v>
      </c>
      <c r="B71" s="27" t="s">
        <v>1306</v>
      </c>
      <c r="C71" s="117" t="s">
        <v>38</v>
      </c>
      <c r="D71" s="118" t="s">
        <v>1108</v>
      </c>
      <c r="E71" s="31" t="s">
        <v>1307</v>
      </c>
      <c r="F71" s="119" t="s">
        <v>1308</v>
      </c>
      <c r="G71" s="31">
        <v>3143319412</v>
      </c>
      <c r="H71" s="119"/>
      <c r="I71" s="119" t="s">
        <v>1309</v>
      </c>
      <c r="J71" s="119" t="s">
        <v>1159</v>
      </c>
      <c r="K71" s="29" t="s">
        <v>1220</v>
      </c>
      <c r="L71" s="29" t="s">
        <v>1221</v>
      </c>
      <c r="M71" s="52"/>
      <c r="N71" t="s">
        <v>429</v>
      </c>
    </row>
    <row r="72" spans="1:14">
      <c r="A72" s="27">
        <v>72</v>
      </c>
      <c r="B72" s="27" t="s">
        <v>1306</v>
      </c>
      <c r="C72" s="117" t="s">
        <v>69</v>
      </c>
      <c r="D72" s="29" t="s">
        <v>1102</v>
      </c>
      <c r="E72" s="28" t="s">
        <v>1161</v>
      </c>
      <c r="F72" s="31" t="s">
        <v>1310</v>
      </c>
      <c r="G72" s="31">
        <v>1710853</v>
      </c>
      <c r="H72" s="119"/>
      <c r="I72" s="31" t="s">
        <v>1311</v>
      </c>
      <c r="J72" s="51" t="s">
        <v>1114</v>
      </c>
      <c r="K72" s="29" t="s">
        <v>1220</v>
      </c>
      <c r="L72" s="29" t="s">
        <v>1221</v>
      </c>
      <c r="M72" s="52"/>
      <c r="N72" t="s">
        <v>429</v>
      </c>
    </row>
    <row r="73" spans="1:14">
      <c r="A73" s="27">
        <v>73</v>
      </c>
      <c r="B73" s="27" t="s">
        <v>18</v>
      </c>
      <c r="C73" s="28" t="s">
        <v>1312</v>
      </c>
      <c r="D73" s="29" t="s">
        <v>1102</v>
      </c>
      <c r="E73" s="28"/>
      <c r="F73" s="31" t="s">
        <v>1313</v>
      </c>
      <c r="G73" s="195">
        <v>120213</v>
      </c>
      <c r="H73" s="30"/>
      <c r="I73" s="31" t="s">
        <v>1314</v>
      </c>
      <c r="J73" s="51" t="s">
        <v>1122</v>
      </c>
      <c r="K73" s="29" t="s">
        <v>1220</v>
      </c>
      <c r="L73" s="29" t="s">
        <v>1221</v>
      </c>
      <c r="M73" s="52"/>
      <c r="N73" t="s">
        <v>429</v>
      </c>
    </row>
    <row r="74" spans="1:14">
      <c r="A74" s="27">
        <v>74</v>
      </c>
      <c r="B74" s="27" t="s">
        <v>15</v>
      </c>
      <c r="C74" s="28" t="s">
        <v>958</v>
      </c>
      <c r="D74" s="29" t="s">
        <v>1108</v>
      </c>
      <c r="E74" s="31" t="s">
        <v>1161</v>
      </c>
      <c r="F74" s="31" t="s">
        <v>1150</v>
      </c>
      <c r="G74" s="119" t="s">
        <v>1315</v>
      </c>
      <c r="H74" s="119">
        <v>2021.07</v>
      </c>
      <c r="I74" s="31" t="s">
        <v>1153</v>
      </c>
      <c r="J74" s="51" t="s">
        <v>1135</v>
      </c>
      <c r="K74" s="29" t="s">
        <v>1220</v>
      </c>
      <c r="L74" s="29" t="s">
        <v>1221</v>
      </c>
      <c r="M74" s="52"/>
      <c r="N74" t="s">
        <v>429</v>
      </c>
    </row>
    <row r="78" spans="5:5">
      <c r="E78">
        <v>68</v>
      </c>
    </row>
  </sheetData>
  <autoFilter xmlns:etc="http://www.wps.cn/officeDocument/2017/etCustomData" ref="A1:N74" etc:filterBottomFollowUsedRange="0">
    <extLst/>
  </autoFilter>
  <pageMargins left="0.75" right="0.75" top="0.236111111111111" bottom="0.118055555555556" header="0.5" footer="0.5"/>
  <pageSetup paperSize="9" scale="8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V46"/>
  <sheetViews>
    <sheetView workbookViewId="0">
      <selection activeCell="N15" sqref="N15"/>
    </sheetView>
  </sheetViews>
  <sheetFormatPr defaultColWidth="8.88333333333333" defaultRowHeight="13.5"/>
  <cols>
    <col min="1" max="1" width="4.775" style="30" customWidth="1"/>
    <col min="2" max="3" width="12" style="30" customWidth="1"/>
    <col min="4" max="4" width="13" style="30" customWidth="1"/>
    <col min="5" max="6" width="8.88333333333333" style="30"/>
    <col min="7" max="7" width="12.625" style="30" customWidth="1"/>
    <col min="8" max="8" width="8.88333333333333" style="30"/>
    <col min="9" max="10" width="8.88333333333333" style="30" customWidth="1"/>
    <col min="11" max="11" width="10.5" style="30" customWidth="1"/>
    <col min="12" max="12" width="8.88333333333333" style="30" customWidth="1"/>
    <col min="13" max="13" width="11.5583333333333" style="30" customWidth="1"/>
    <col min="14" max="14" width="10" style="30" customWidth="1"/>
    <col min="15" max="15" width="13.125" style="30" customWidth="1"/>
    <col min="16" max="16" width="9.66666666666667" style="30" customWidth="1"/>
    <col min="17" max="17" width="12.425" style="30" customWidth="1"/>
    <col min="18" max="16384" width="8.88333333333333" style="30"/>
  </cols>
  <sheetData>
    <row r="1" s="30" customFormat="1" ht="21" customHeight="1" spans="2:18">
      <c r="B1" s="191" t="s">
        <v>21</v>
      </c>
      <c r="C1" s="191" t="s">
        <v>20</v>
      </c>
      <c r="D1" s="192" t="s">
        <v>21</v>
      </c>
      <c r="E1" s="193" t="s">
        <v>22</v>
      </c>
      <c r="F1" s="193" t="s">
        <v>23</v>
      </c>
      <c r="G1" s="193" t="s">
        <v>24</v>
      </c>
      <c r="H1" s="194" t="s">
        <v>25</v>
      </c>
      <c r="I1" s="193" t="s">
        <v>26</v>
      </c>
      <c r="J1" s="193" t="s">
        <v>27</v>
      </c>
      <c r="K1" s="193" t="s">
        <v>28</v>
      </c>
      <c r="L1" s="193" t="s">
        <v>29</v>
      </c>
      <c r="M1" s="193" t="s">
        <v>30</v>
      </c>
      <c r="N1" s="193" t="s">
        <v>31</v>
      </c>
      <c r="O1" s="1" t="s">
        <v>1100</v>
      </c>
      <c r="P1" s="193" t="s">
        <v>33</v>
      </c>
      <c r="Q1" s="193" t="s">
        <v>34</v>
      </c>
      <c r="R1" s="133"/>
    </row>
    <row r="2" s="30" customFormat="1" spans="1:18">
      <c r="A2" s="168">
        <v>1</v>
      </c>
      <c r="B2" s="168" t="s">
        <v>13</v>
      </c>
      <c r="C2" s="168" t="s">
        <v>54</v>
      </c>
      <c r="D2" s="82" t="s">
        <v>330</v>
      </c>
      <c r="E2" s="29" t="s">
        <v>10</v>
      </c>
      <c r="F2" s="31" t="s">
        <v>42</v>
      </c>
      <c r="G2" s="29" t="s">
        <v>1316</v>
      </c>
      <c r="H2" s="32">
        <v>2</v>
      </c>
      <c r="I2" s="119" t="s">
        <v>193</v>
      </c>
      <c r="J2" s="31" t="s">
        <v>42</v>
      </c>
      <c r="K2" s="31" t="s">
        <v>42</v>
      </c>
      <c r="L2" s="31" t="s">
        <v>667</v>
      </c>
      <c r="M2" s="29" t="s">
        <v>674</v>
      </c>
      <c r="N2" s="177">
        <v>45622</v>
      </c>
      <c r="O2" s="177">
        <v>45986</v>
      </c>
      <c r="P2" s="29">
        <v>120</v>
      </c>
      <c r="Q2" s="198" t="s">
        <v>1317</v>
      </c>
      <c r="R2" s="133"/>
    </row>
    <row r="3" s="30" customFormat="1" spans="1:18">
      <c r="A3" s="168">
        <v>5</v>
      </c>
      <c r="B3" s="168" t="s">
        <v>13</v>
      </c>
      <c r="C3" s="168" t="s">
        <v>54</v>
      </c>
      <c r="D3" s="82" t="s">
        <v>297</v>
      </c>
      <c r="E3" s="29" t="s">
        <v>10</v>
      </c>
      <c r="F3" s="31" t="s">
        <v>42</v>
      </c>
      <c r="G3" s="119" t="s">
        <v>1318</v>
      </c>
      <c r="H3" s="32">
        <v>22</v>
      </c>
      <c r="I3" s="119" t="s">
        <v>193</v>
      </c>
      <c r="J3" s="31" t="s">
        <v>42</v>
      </c>
      <c r="K3" s="31" t="s">
        <v>42</v>
      </c>
      <c r="L3" s="31" t="s">
        <v>667</v>
      </c>
      <c r="M3" s="29" t="s">
        <v>674</v>
      </c>
      <c r="N3" s="177">
        <v>45622</v>
      </c>
      <c r="O3" s="177">
        <v>45986</v>
      </c>
      <c r="P3" s="29">
        <v>120</v>
      </c>
      <c r="Q3" s="82"/>
      <c r="R3" s="133"/>
    </row>
    <row r="4" s="30" customFormat="1" spans="1:18">
      <c r="A4" s="168">
        <v>6</v>
      </c>
      <c r="B4" s="168" t="s">
        <v>14</v>
      </c>
      <c r="C4" s="168" t="s">
        <v>54</v>
      </c>
      <c r="D4" s="82" t="s">
        <v>316</v>
      </c>
      <c r="E4" s="29" t="s">
        <v>10</v>
      </c>
      <c r="F4" s="31" t="s">
        <v>42</v>
      </c>
      <c r="G4" s="119" t="s">
        <v>1318</v>
      </c>
      <c r="H4" s="195">
        <v>21</v>
      </c>
      <c r="I4" s="119" t="s">
        <v>193</v>
      </c>
      <c r="J4" s="31" t="s">
        <v>42</v>
      </c>
      <c r="K4" s="31" t="s">
        <v>42</v>
      </c>
      <c r="L4" s="31" t="s">
        <v>667</v>
      </c>
      <c r="M4" s="29" t="s">
        <v>674</v>
      </c>
      <c r="N4" s="177">
        <v>45622</v>
      </c>
      <c r="O4" s="177">
        <v>45986</v>
      </c>
      <c r="P4" s="29">
        <v>120</v>
      </c>
      <c r="Q4" s="27"/>
      <c r="R4" s="133"/>
    </row>
    <row r="5" s="30" customFormat="1" spans="1:18">
      <c r="A5" s="168">
        <v>2</v>
      </c>
      <c r="B5" s="168" t="s">
        <v>15</v>
      </c>
      <c r="C5" s="168" t="s">
        <v>54</v>
      </c>
      <c r="D5" s="82" t="s">
        <v>1101</v>
      </c>
      <c r="E5" s="29" t="s">
        <v>10</v>
      </c>
      <c r="F5" s="31" t="s">
        <v>42</v>
      </c>
      <c r="G5" s="119" t="s">
        <v>1319</v>
      </c>
      <c r="H5" s="196">
        <v>32</v>
      </c>
      <c r="I5" s="94">
        <v>43770</v>
      </c>
      <c r="J5" s="31" t="s">
        <v>42</v>
      </c>
      <c r="K5" s="31" t="s">
        <v>42</v>
      </c>
      <c r="L5" s="31" t="s">
        <v>667</v>
      </c>
      <c r="M5" s="29" t="s">
        <v>674</v>
      </c>
      <c r="N5" s="177">
        <v>45622</v>
      </c>
      <c r="O5" s="177">
        <v>45986</v>
      </c>
      <c r="P5" s="29">
        <v>120</v>
      </c>
      <c r="Q5" s="82" t="s">
        <v>1320</v>
      </c>
      <c r="R5" s="133"/>
    </row>
    <row r="6" s="30" customFormat="1" spans="1:18">
      <c r="A6" s="168">
        <v>3</v>
      </c>
      <c r="B6" s="168" t="s">
        <v>15</v>
      </c>
      <c r="C6" s="168" t="s">
        <v>54</v>
      </c>
      <c r="D6" s="82" t="s">
        <v>280</v>
      </c>
      <c r="E6" s="118" t="s">
        <v>10</v>
      </c>
      <c r="F6" s="31" t="s">
        <v>42</v>
      </c>
      <c r="G6" s="119" t="s">
        <v>1319</v>
      </c>
      <c r="H6" s="197">
        <v>31</v>
      </c>
      <c r="I6" s="94">
        <v>43770</v>
      </c>
      <c r="J6" s="31" t="s">
        <v>42</v>
      </c>
      <c r="K6" s="31" t="s">
        <v>42</v>
      </c>
      <c r="L6" s="31" t="s">
        <v>667</v>
      </c>
      <c r="M6" s="29" t="s">
        <v>674</v>
      </c>
      <c r="N6" s="177">
        <v>45622</v>
      </c>
      <c r="O6" s="177">
        <v>45986</v>
      </c>
      <c r="P6" s="29">
        <v>120</v>
      </c>
      <c r="Q6" s="133" t="s">
        <v>1321</v>
      </c>
      <c r="R6" s="82"/>
    </row>
    <row r="7" s="30" customFormat="1" spans="1:18">
      <c r="A7" s="168">
        <v>4</v>
      </c>
      <c r="B7" s="168" t="s">
        <v>15</v>
      </c>
      <c r="C7" s="168" t="s">
        <v>54</v>
      </c>
      <c r="D7" s="82" t="s">
        <v>280</v>
      </c>
      <c r="E7" s="29" t="s">
        <v>10</v>
      </c>
      <c r="F7" s="31" t="s">
        <v>42</v>
      </c>
      <c r="G7" s="119" t="s">
        <v>1322</v>
      </c>
      <c r="H7" s="121" t="s">
        <v>1323</v>
      </c>
      <c r="I7" s="94">
        <v>43770</v>
      </c>
      <c r="J7" s="31" t="s">
        <v>42</v>
      </c>
      <c r="K7" s="31" t="s">
        <v>42</v>
      </c>
      <c r="L7" s="31" t="s">
        <v>667</v>
      </c>
      <c r="M7" s="29" t="s">
        <v>674</v>
      </c>
      <c r="N7" s="177">
        <v>45622</v>
      </c>
      <c r="O7" s="177">
        <v>45986</v>
      </c>
      <c r="P7" s="29">
        <v>120</v>
      </c>
      <c r="Q7" s="29" t="s">
        <v>1324</v>
      </c>
      <c r="R7" s="142"/>
    </row>
    <row r="8" s="30" customFormat="1" spans="1:22">
      <c r="A8" s="168">
        <v>10</v>
      </c>
      <c r="B8" s="168" t="s">
        <v>13</v>
      </c>
      <c r="C8" s="168" t="s">
        <v>54</v>
      </c>
      <c r="D8" s="82" t="s">
        <v>330</v>
      </c>
      <c r="E8" s="29" t="s">
        <v>10</v>
      </c>
      <c r="F8" s="31" t="s">
        <v>42</v>
      </c>
      <c r="G8" s="29">
        <v>9010</v>
      </c>
      <c r="H8" s="82">
        <v>4</v>
      </c>
      <c r="I8" s="119" t="s">
        <v>193</v>
      </c>
      <c r="J8" s="31" t="s">
        <v>42</v>
      </c>
      <c r="K8" s="31" t="s">
        <v>42</v>
      </c>
      <c r="L8" s="31" t="s">
        <v>667</v>
      </c>
      <c r="M8" s="29" t="s">
        <v>674</v>
      </c>
      <c r="N8" s="177">
        <v>45650</v>
      </c>
      <c r="O8" s="177">
        <v>46014</v>
      </c>
      <c r="P8" s="29">
        <v>120</v>
      </c>
      <c r="Q8" s="82" t="s">
        <v>1325</v>
      </c>
      <c r="R8" s="133"/>
      <c r="U8" s="29"/>
      <c r="V8" s="119"/>
    </row>
    <row r="9" s="30" customFormat="1" spans="1:22">
      <c r="A9" s="168">
        <v>11</v>
      </c>
      <c r="B9" s="168" t="s">
        <v>14</v>
      </c>
      <c r="C9" s="168" t="s">
        <v>54</v>
      </c>
      <c r="D9" s="82" t="s">
        <v>262</v>
      </c>
      <c r="E9" s="29" t="s">
        <v>10</v>
      </c>
      <c r="F9" s="31" t="s">
        <v>42</v>
      </c>
      <c r="G9" s="31">
        <v>9010</v>
      </c>
      <c r="H9" s="27">
        <v>26</v>
      </c>
      <c r="I9" s="119"/>
      <c r="J9" s="31"/>
      <c r="K9" s="31"/>
      <c r="L9" s="31" t="s">
        <v>667</v>
      </c>
      <c r="M9" s="29" t="s">
        <v>674</v>
      </c>
      <c r="N9" s="177">
        <v>45650</v>
      </c>
      <c r="O9" s="177">
        <v>46014</v>
      </c>
      <c r="P9" s="29">
        <v>120</v>
      </c>
      <c r="Q9" s="82" t="s">
        <v>5</v>
      </c>
      <c r="R9" s="30"/>
      <c r="S9" s="30"/>
      <c r="U9" s="142"/>
      <c r="V9" s="202"/>
    </row>
    <row r="10" s="30" customFormat="1" spans="1:19">
      <c r="A10" s="168">
        <v>12</v>
      </c>
      <c r="B10" s="168" t="s">
        <v>14</v>
      </c>
      <c r="C10" s="168" t="s">
        <v>54</v>
      </c>
      <c r="D10" s="82" t="s">
        <v>262</v>
      </c>
      <c r="E10" s="29" t="s">
        <v>10</v>
      </c>
      <c r="F10" s="31" t="s">
        <v>42</v>
      </c>
      <c r="G10" s="31">
        <v>9010</v>
      </c>
      <c r="H10" s="133" t="s">
        <v>1326</v>
      </c>
      <c r="I10" s="119" t="s">
        <v>1327</v>
      </c>
      <c r="J10" s="31" t="s">
        <v>42</v>
      </c>
      <c r="K10" s="31" t="s">
        <v>42</v>
      </c>
      <c r="L10" s="31" t="s">
        <v>667</v>
      </c>
      <c r="M10" s="29" t="s">
        <v>674</v>
      </c>
      <c r="N10" s="177">
        <v>45650</v>
      </c>
      <c r="O10" s="177">
        <v>46014</v>
      </c>
      <c r="P10" s="29">
        <v>120</v>
      </c>
      <c r="Q10" s="82" t="s">
        <v>1325</v>
      </c>
      <c r="R10" s="133"/>
      <c r="S10" s="29"/>
    </row>
    <row r="11" s="30" customFormat="1" spans="1:18">
      <c r="A11" s="168">
        <v>7</v>
      </c>
      <c r="B11" s="168" t="s">
        <v>15</v>
      </c>
      <c r="C11" s="168" t="s">
        <v>54</v>
      </c>
      <c r="D11" s="82" t="s">
        <v>675</v>
      </c>
      <c r="E11" s="29" t="s">
        <v>10</v>
      </c>
      <c r="F11" s="31" t="s">
        <v>42</v>
      </c>
      <c r="G11" s="29">
        <v>9010</v>
      </c>
      <c r="H11" s="32">
        <v>30</v>
      </c>
      <c r="I11" s="119" t="s">
        <v>49</v>
      </c>
      <c r="J11" s="31" t="s">
        <v>42</v>
      </c>
      <c r="K11" s="31" t="s">
        <v>42</v>
      </c>
      <c r="L11" s="31" t="s">
        <v>667</v>
      </c>
      <c r="M11" s="29" t="s">
        <v>674</v>
      </c>
      <c r="N11" s="177">
        <v>45650</v>
      </c>
      <c r="O11" s="177">
        <v>46014</v>
      </c>
      <c r="P11" s="29">
        <v>120</v>
      </c>
      <c r="Q11" s="203" t="s">
        <v>1328</v>
      </c>
      <c r="R11" s="133"/>
    </row>
    <row r="12" s="30" customFormat="1" spans="1:18">
      <c r="A12" s="168">
        <v>9</v>
      </c>
      <c r="B12" s="168" t="s">
        <v>15</v>
      </c>
      <c r="C12" s="168" t="s">
        <v>54</v>
      </c>
      <c r="D12" s="82" t="s">
        <v>675</v>
      </c>
      <c r="E12" s="29" t="s">
        <v>10</v>
      </c>
      <c r="F12" s="31" t="s">
        <v>42</v>
      </c>
      <c r="G12" s="29">
        <v>9010</v>
      </c>
      <c r="H12" s="32">
        <v>5</v>
      </c>
      <c r="I12" s="119" t="s">
        <v>1329</v>
      </c>
      <c r="J12" s="31" t="s">
        <v>42</v>
      </c>
      <c r="K12" s="31" t="s">
        <v>42</v>
      </c>
      <c r="L12" s="31" t="s">
        <v>667</v>
      </c>
      <c r="M12" s="29" t="s">
        <v>674</v>
      </c>
      <c r="N12" s="177">
        <v>45650</v>
      </c>
      <c r="O12" s="177">
        <v>46014</v>
      </c>
      <c r="P12" s="29">
        <v>120</v>
      </c>
      <c r="Q12" s="203" t="s">
        <v>958</v>
      </c>
      <c r="R12" s="133"/>
    </row>
    <row r="13" s="30" customFormat="1" spans="1:18">
      <c r="A13" s="168">
        <v>13</v>
      </c>
      <c r="B13" s="168" t="s">
        <v>15</v>
      </c>
      <c r="C13" s="168" t="s">
        <v>54</v>
      </c>
      <c r="D13" s="82" t="s">
        <v>55</v>
      </c>
      <c r="E13" s="29" t="s">
        <v>10</v>
      </c>
      <c r="F13" s="31" t="s">
        <v>42</v>
      </c>
      <c r="G13" s="119" t="s">
        <v>1330</v>
      </c>
      <c r="H13" s="119" t="s">
        <v>1331</v>
      </c>
      <c r="I13" s="200" t="s">
        <v>42</v>
      </c>
      <c r="J13" s="31" t="s">
        <v>42</v>
      </c>
      <c r="K13" s="31" t="s">
        <v>42</v>
      </c>
      <c r="L13" s="31" t="s">
        <v>667</v>
      </c>
      <c r="M13" s="29" t="s">
        <v>674</v>
      </c>
      <c r="N13" s="177">
        <v>45650</v>
      </c>
      <c r="O13" s="177">
        <v>46014</v>
      </c>
      <c r="P13" s="29">
        <v>120</v>
      </c>
      <c r="Q13" s="198"/>
      <c r="R13" s="142"/>
    </row>
    <row r="14" s="30" customFormat="1" spans="1:18">
      <c r="A14" s="168">
        <v>17</v>
      </c>
      <c r="B14" s="168" t="s">
        <v>13</v>
      </c>
      <c r="C14" s="168" t="s">
        <v>54</v>
      </c>
      <c r="D14" s="82" t="s">
        <v>297</v>
      </c>
      <c r="E14" s="29" t="s">
        <v>10</v>
      </c>
      <c r="F14" s="31" t="s">
        <v>42</v>
      </c>
      <c r="G14" s="119" t="s">
        <v>1330</v>
      </c>
      <c r="H14" s="198">
        <v>20</v>
      </c>
      <c r="I14" s="31" t="s">
        <v>42</v>
      </c>
      <c r="J14" s="31" t="s">
        <v>42</v>
      </c>
      <c r="K14" s="31" t="s">
        <v>42</v>
      </c>
      <c r="L14" s="31" t="s">
        <v>667</v>
      </c>
      <c r="M14" s="29" t="s">
        <v>674</v>
      </c>
      <c r="N14" s="177">
        <v>45693</v>
      </c>
      <c r="O14" s="177">
        <v>46057</v>
      </c>
      <c r="P14" s="29">
        <v>120</v>
      </c>
      <c r="Q14" s="198"/>
      <c r="R14" s="142"/>
    </row>
    <row r="15" s="30" customFormat="1" spans="1:18">
      <c r="A15" s="168">
        <v>18</v>
      </c>
      <c r="B15" s="168" t="s">
        <v>13</v>
      </c>
      <c r="C15" s="168" t="s">
        <v>54</v>
      </c>
      <c r="D15" s="82" t="s">
        <v>101</v>
      </c>
      <c r="E15" s="29" t="s">
        <v>10</v>
      </c>
      <c r="F15" s="31" t="s">
        <v>42</v>
      </c>
      <c r="G15" s="119" t="s">
        <v>1332</v>
      </c>
      <c r="H15" s="32" t="s">
        <v>1333</v>
      </c>
      <c r="I15" s="119" t="s">
        <v>193</v>
      </c>
      <c r="J15" s="31" t="s">
        <v>42</v>
      </c>
      <c r="K15" s="31" t="s">
        <v>42</v>
      </c>
      <c r="L15" s="31" t="s">
        <v>667</v>
      </c>
      <c r="M15" s="29" t="s">
        <v>674</v>
      </c>
      <c r="N15" s="177">
        <v>45693</v>
      </c>
      <c r="O15" s="177">
        <v>46057</v>
      </c>
      <c r="P15" s="29">
        <v>120</v>
      </c>
      <c r="Q15" s="29"/>
      <c r="R15" s="82"/>
    </row>
    <row r="16" s="30" customFormat="1" spans="1:18">
      <c r="A16" s="168">
        <v>19</v>
      </c>
      <c r="B16" s="168" t="s">
        <v>13</v>
      </c>
      <c r="C16" s="168" t="s">
        <v>54</v>
      </c>
      <c r="D16" s="82" t="s">
        <v>107</v>
      </c>
      <c r="E16" s="29" t="s">
        <v>10</v>
      </c>
      <c r="F16" s="31" t="s">
        <v>42</v>
      </c>
      <c r="G16" s="119" t="s">
        <v>1332</v>
      </c>
      <c r="H16" s="32">
        <v>14</v>
      </c>
      <c r="I16" s="119" t="s">
        <v>193</v>
      </c>
      <c r="J16" s="31" t="s">
        <v>42</v>
      </c>
      <c r="K16" s="31" t="s">
        <v>42</v>
      </c>
      <c r="L16" s="29" t="s">
        <v>673</v>
      </c>
      <c r="M16" s="29" t="s">
        <v>674</v>
      </c>
      <c r="N16" s="177">
        <v>45693</v>
      </c>
      <c r="O16" s="177">
        <v>46057</v>
      </c>
      <c r="P16" s="29">
        <v>120</v>
      </c>
      <c r="Q16" s="82"/>
      <c r="R16" s="82"/>
    </row>
    <row r="17" s="30" customFormat="1" spans="1:18">
      <c r="A17" s="168">
        <v>14</v>
      </c>
      <c r="B17" s="168" t="s">
        <v>14</v>
      </c>
      <c r="C17" s="168" t="s">
        <v>54</v>
      </c>
      <c r="D17" s="82" t="s">
        <v>262</v>
      </c>
      <c r="E17" s="29" t="s">
        <v>10</v>
      </c>
      <c r="F17" s="31" t="s">
        <v>42</v>
      </c>
      <c r="G17" s="31">
        <v>9010</v>
      </c>
      <c r="H17" s="32" t="s">
        <v>1334</v>
      </c>
      <c r="I17" s="119" t="s">
        <v>193</v>
      </c>
      <c r="J17" s="31" t="s">
        <v>42</v>
      </c>
      <c r="K17" s="31" t="s">
        <v>42</v>
      </c>
      <c r="L17" s="31" t="s">
        <v>667</v>
      </c>
      <c r="M17" s="29" t="s">
        <v>674</v>
      </c>
      <c r="N17" s="177">
        <v>45693</v>
      </c>
      <c r="O17" s="177">
        <v>46057</v>
      </c>
      <c r="P17" s="29">
        <v>120</v>
      </c>
      <c r="Q17" s="82" t="s">
        <v>1335</v>
      </c>
      <c r="R17" s="29"/>
    </row>
    <row r="18" s="30" customFormat="1" spans="1:18">
      <c r="A18" s="168">
        <v>15</v>
      </c>
      <c r="B18" s="168" t="s">
        <v>15</v>
      </c>
      <c r="C18" s="168" t="s">
        <v>54</v>
      </c>
      <c r="D18" s="82" t="s">
        <v>1101</v>
      </c>
      <c r="E18" s="29" t="s">
        <v>10</v>
      </c>
      <c r="F18" s="31" t="s">
        <v>42</v>
      </c>
      <c r="G18" s="31">
        <v>9010</v>
      </c>
      <c r="H18" s="32">
        <v>17</v>
      </c>
      <c r="I18" s="200" t="s">
        <v>1336</v>
      </c>
      <c r="J18" s="31" t="s">
        <v>42</v>
      </c>
      <c r="K18" s="31" t="s">
        <v>42</v>
      </c>
      <c r="L18" s="31" t="s">
        <v>667</v>
      </c>
      <c r="M18" s="29" t="s">
        <v>674</v>
      </c>
      <c r="N18" s="177">
        <v>45693</v>
      </c>
      <c r="O18" s="177">
        <v>46057</v>
      </c>
      <c r="P18" s="29">
        <v>120</v>
      </c>
      <c r="Q18" s="82" t="s">
        <v>1337</v>
      </c>
      <c r="R18" s="142"/>
    </row>
    <row r="19" s="30" customFormat="1" spans="1:22">
      <c r="A19" s="168">
        <v>16</v>
      </c>
      <c r="B19" s="168" t="s">
        <v>15</v>
      </c>
      <c r="C19" s="168" t="s">
        <v>54</v>
      </c>
      <c r="D19" s="82" t="s">
        <v>1101</v>
      </c>
      <c r="E19" s="29" t="s">
        <v>10</v>
      </c>
      <c r="F19" s="31" t="s">
        <v>42</v>
      </c>
      <c r="G19" s="31">
        <v>9010</v>
      </c>
      <c r="H19" s="121" t="s">
        <v>1338</v>
      </c>
      <c r="I19" s="94">
        <v>43770</v>
      </c>
      <c r="J19" s="31" t="s">
        <v>42</v>
      </c>
      <c r="K19" s="31" t="s">
        <v>42</v>
      </c>
      <c r="L19" s="31" t="s">
        <v>667</v>
      </c>
      <c r="M19" s="29" t="s">
        <v>674</v>
      </c>
      <c r="N19" s="177">
        <v>45693</v>
      </c>
      <c r="O19" s="177">
        <v>46057</v>
      </c>
      <c r="P19" s="29">
        <v>120</v>
      </c>
      <c r="Q19" s="29" t="s">
        <v>1339</v>
      </c>
      <c r="R19" s="82"/>
      <c r="V19" s="30" t="s">
        <v>1340</v>
      </c>
    </row>
    <row r="20" s="30" customFormat="1" spans="1:18">
      <c r="A20" s="168">
        <v>20</v>
      </c>
      <c r="B20" s="168" t="s">
        <v>13</v>
      </c>
      <c r="C20" s="168" t="s">
        <v>54</v>
      </c>
      <c r="D20" s="28" t="s">
        <v>330</v>
      </c>
      <c r="E20" s="118" t="s">
        <v>10</v>
      </c>
      <c r="F20" s="29" t="s">
        <v>42</v>
      </c>
      <c r="G20" s="29" t="s">
        <v>1319</v>
      </c>
      <c r="H20" s="197">
        <v>14</v>
      </c>
      <c r="I20" s="201">
        <v>43770</v>
      </c>
      <c r="J20" s="31" t="s">
        <v>42</v>
      </c>
      <c r="K20" s="31" t="s">
        <v>42</v>
      </c>
      <c r="L20" s="31" t="s">
        <v>667</v>
      </c>
      <c r="M20" s="29" t="s">
        <v>674</v>
      </c>
      <c r="N20" s="177">
        <v>45709</v>
      </c>
      <c r="O20" s="177">
        <v>46073</v>
      </c>
      <c r="P20" s="29">
        <v>120</v>
      </c>
      <c r="Q20" s="133" t="s">
        <v>5</v>
      </c>
      <c r="R20" s="142"/>
    </row>
    <row r="21" s="30" customFormat="1" spans="1:18">
      <c r="A21" s="168">
        <v>22</v>
      </c>
      <c r="B21" s="168" t="s">
        <v>13</v>
      </c>
      <c r="C21" s="168" t="s">
        <v>54</v>
      </c>
      <c r="D21" s="82" t="s">
        <v>60</v>
      </c>
      <c r="E21" s="29" t="s">
        <v>10</v>
      </c>
      <c r="F21" s="31" t="s">
        <v>42</v>
      </c>
      <c r="G21" s="119" t="s">
        <v>1341</v>
      </c>
      <c r="H21" s="32" t="s">
        <v>1326</v>
      </c>
      <c r="I21" s="119" t="s">
        <v>1342</v>
      </c>
      <c r="J21" s="31" t="s">
        <v>42</v>
      </c>
      <c r="K21" s="31" t="s">
        <v>42</v>
      </c>
      <c r="L21" s="29" t="s">
        <v>673</v>
      </c>
      <c r="M21" s="29" t="s">
        <v>674</v>
      </c>
      <c r="N21" s="177">
        <v>45709</v>
      </c>
      <c r="O21" s="177">
        <v>46073</v>
      </c>
      <c r="P21" s="29">
        <v>120</v>
      </c>
      <c r="Q21" s="142"/>
      <c r="R21" s="133"/>
    </row>
    <row r="22" s="30" customFormat="1" spans="1:18">
      <c r="A22" s="168">
        <v>23</v>
      </c>
      <c r="B22" s="168" t="s">
        <v>14</v>
      </c>
      <c r="C22" s="168" t="s">
        <v>54</v>
      </c>
      <c r="D22" s="82" t="s">
        <v>63</v>
      </c>
      <c r="E22" s="29" t="s">
        <v>10</v>
      </c>
      <c r="F22" s="31" t="s">
        <v>42</v>
      </c>
      <c r="G22" s="119" t="s">
        <v>1332</v>
      </c>
      <c r="H22" s="32">
        <v>18</v>
      </c>
      <c r="I22" s="119" t="s">
        <v>66</v>
      </c>
      <c r="J22" s="31" t="s">
        <v>42</v>
      </c>
      <c r="K22" s="31" t="s">
        <v>42</v>
      </c>
      <c r="L22" s="31" t="s">
        <v>667</v>
      </c>
      <c r="M22" s="29" t="s">
        <v>674</v>
      </c>
      <c r="N22" s="177">
        <v>45709</v>
      </c>
      <c r="O22" s="177">
        <v>46073</v>
      </c>
      <c r="P22" s="29">
        <v>120</v>
      </c>
      <c r="Q22" s="133"/>
      <c r="R22" s="82"/>
    </row>
    <row r="23" s="30" customFormat="1" spans="1:18">
      <c r="A23" s="168">
        <v>24</v>
      </c>
      <c r="B23" s="168" t="s">
        <v>14</v>
      </c>
      <c r="C23" s="168" t="s">
        <v>54</v>
      </c>
      <c r="D23" s="82" t="s">
        <v>67</v>
      </c>
      <c r="E23" s="118" t="s">
        <v>10</v>
      </c>
      <c r="F23" s="31" t="s">
        <v>42</v>
      </c>
      <c r="G23" s="119" t="s">
        <v>1332</v>
      </c>
      <c r="H23" s="32">
        <v>19</v>
      </c>
      <c r="I23" s="119" t="s">
        <v>66</v>
      </c>
      <c r="J23" s="31" t="s">
        <v>42</v>
      </c>
      <c r="K23" s="31" t="s">
        <v>42</v>
      </c>
      <c r="L23" s="31" t="s">
        <v>667</v>
      </c>
      <c r="M23" s="29" t="s">
        <v>674</v>
      </c>
      <c r="N23" s="177">
        <v>45709</v>
      </c>
      <c r="O23" s="177">
        <v>46073</v>
      </c>
      <c r="P23" s="29">
        <v>120</v>
      </c>
      <c r="Q23" s="133"/>
      <c r="R23" s="133"/>
    </row>
    <row r="24" s="30" customFormat="1" spans="1:18">
      <c r="A24" s="168">
        <v>25</v>
      </c>
      <c r="B24" s="168" t="s">
        <v>6</v>
      </c>
      <c r="C24" s="168" t="s">
        <v>54</v>
      </c>
      <c r="D24" s="82" t="s">
        <v>827</v>
      </c>
      <c r="E24" s="29" t="s">
        <v>10</v>
      </c>
      <c r="F24" s="31" t="s">
        <v>42</v>
      </c>
      <c r="G24" s="29">
        <v>9010</v>
      </c>
      <c r="H24" s="197">
        <v>17</v>
      </c>
      <c r="I24" s="119" t="s">
        <v>1329</v>
      </c>
      <c r="J24" s="31" t="s">
        <v>42</v>
      </c>
      <c r="K24" s="31" t="s">
        <v>42</v>
      </c>
      <c r="L24" s="31" t="s">
        <v>667</v>
      </c>
      <c r="M24" s="29" t="s">
        <v>674</v>
      </c>
      <c r="N24" s="177">
        <v>45709</v>
      </c>
      <c r="O24" s="177">
        <v>46073</v>
      </c>
      <c r="P24" s="29">
        <v>120</v>
      </c>
      <c r="Q24" s="168"/>
      <c r="R24" s="133"/>
    </row>
    <row r="25" s="30" customFormat="1" spans="1:18">
      <c r="A25" s="168">
        <v>26</v>
      </c>
      <c r="B25" s="168" t="s">
        <v>6</v>
      </c>
      <c r="C25" s="168" t="s">
        <v>54</v>
      </c>
      <c r="D25" s="82" t="s">
        <v>827</v>
      </c>
      <c r="E25" s="29" t="s">
        <v>10</v>
      </c>
      <c r="F25" s="31" t="s">
        <v>42</v>
      </c>
      <c r="G25" s="31" t="s">
        <v>1343</v>
      </c>
      <c r="H25" s="32">
        <v>41501</v>
      </c>
      <c r="I25" s="119" t="s">
        <v>193</v>
      </c>
      <c r="J25" s="31" t="s">
        <v>42</v>
      </c>
      <c r="K25" s="31" t="s">
        <v>42</v>
      </c>
      <c r="L25" s="31" t="s">
        <v>667</v>
      </c>
      <c r="M25" s="29" t="s">
        <v>674</v>
      </c>
      <c r="N25" s="177">
        <v>45709</v>
      </c>
      <c r="O25" s="177">
        <v>46073</v>
      </c>
      <c r="P25" s="29">
        <v>120</v>
      </c>
      <c r="Q25" s="168"/>
      <c r="R25" s="133"/>
    </row>
    <row r="26" s="30" customFormat="1" spans="1:18">
      <c r="A26" s="168">
        <v>21</v>
      </c>
      <c r="B26" s="168" t="s">
        <v>15</v>
      </c>
      <c r="C26" s="168" t="s">
        <v>54</v>
      </c>
      <c r="D26" s="82" t="s">
        <v>1344</v>
      </c>
      <c r="E26" s="29" t="s">
        <v>10</v>
      </c>
      <c r="F26" s="31" t="s">
        <v>42</v>
      </c>
      <c r="G26" s="31">
        <v>9011</v>
      </c>
      <c r="H26" s="32" t="s">
        <v>1334</v>
      </c>
      <c r="I26" s="119" t="s">
        <v>1345</v>
      </c>
      <c r="J26" s="31" t="s">
        <v>42</v>
      </c>
      <c r="K26" s="31" t="s">
        <v>42</v>
      </c>
      <c r="L26" s="31" t="s">
        <v>667</v>
      </c>
      <c r="M26" s="29" t="s">
        <v>674</v>
      </c>
      <c r="N26" s="177">
        <v>45709</v>
      </c>
      <c r="O26" s="177">
        <v>46073</v>
      </c>
      <c r="P26" s="29">
        <v>120</v>
      </c>
      <c r="Q26" s="204"/>
      <c r="R26" s="133"/>
    </row>
    <row r="27" s="30" customFormat="1" spans="1:17">
      <c r="A27" s="168">
        <v>29</v>
      </c>
      <c r="B27" s="168" t="s">
        <v>14</v>
      </c>
      <c r="C27" s="168" t="s">
        <v>54</v>
      </c>
      <c r="D27" s="82" t="s">
        <v>316</v>
      </c>
      <c r="E27" s="29" t="s">
        <v>10</v>
      </c>
      <c r="F27" s="31" t="s">
        <v>42</v>
      </c>
      <c r="G27" s="119">
        <v>9010</v>
      </c>
      <c r="H27" s="197">
        <v>13</v>
      </c>
      <c r="I27" s="201">
        <v>41122</v>
      </c>
      <c r="J27" s="31" t="s">
        <v>42</v>
      </c>
      <c r="K27" s="31" t="s">
        <v>42</v>
      </c>
      <c r="L27" s="31" t="s">
        <v>667</v>
      </c>
      <c r="M27" s="29" t="s">
        <v>674</v>
      </c>
      <c r="N27" s="177">
        <v>45740</v>
      </c>
      <c r="O27" s="177">
        <v>46104</v>
      </c>
      <c r="P27" s="29">
        <v>120</v>
      </c>
      <c r="Q27" s="198"/>
    </row>
    <row r="28" s="30" customFormat="1" spans="1:17">
      <c r="A28" s="168">
        <v>27</v>
      </c>
      <c r="B28" s="168" t="s">
        <v>15</v>
      </c>
      <c r="C28" s="168" t="s">
        <v>54</v>
      </c>
      <c r="D28" s="82" t="s">
        <v>675</v>
      </c>
      <c r="E28" s="29" t="s">
        <v>10</v>
      </c>
      <c r="F28" s="31" t="s">
        <v>42</v>
      </c>
      <c r="G28" s="29">
        <v>9010</v>
      </c>
      <c r="H28" s="32">
        <v>10</v>
      </c>
      <c r="I28" s="119"/>
      <c r="J28" s="31" t="s">
        <v>42</v>
      </c>
      <c r="K28" s="31" t="s">
        <v>42</v>
      </c>
      <c r="L28" s="31" t="s">
        <v>667</v>
      </c>
      <c r="M28" s="29" t="s">
        <v>674</v>
      </c>
      <c r="N28" s="177">
        <v>45740</v>
      </c>
      <c r="O28" s="177">
        <v>46104</v>
      </c>
      <c r="P28" s="29">
        <v>120</v>
      </c>
      <c r="Q28" s="198" t="s">
        <v>1317</v>
      </c>
    </row>
    <row r="29" s="30" customFormat="1" spans="1:17">
      <c r="A29" s="168">
        <v>28</v>
      </c>
      <c r="B29" s="168" t="s">
        <v>15</v>
      </c>
      <c r="C29" s="168" t="s">
        <v>54</v>
      </c>
      <c r="D29" s="82" t="s">
        <v>280</v>
      </c>
      <c r="E29" s="29" t="s">
        <v>10</v>
      </c>
      <c r="F29" s="31" t="s">
        <v>42</v>
      </c>
      <c r="G29" s="119" t="s">
        <v>1332</v>
      </c>
      <c r="H29" s="197">
        <v>12</v>
      </c>
      <c r="I29" s="94">
        <v>43770</v>
      </c>
      <c r="J29" s="31" t="s">
        <v>42</v>
      </c>
      <c r="K29" s="31" t="s">
        <v>42</v>
      </c>
      <c r="L29" s="31" t="s">
        <v>667</v>
      </c>
      <c r="M29" s="29" t="s">
        <v>674</v>
      </c>
      <c r="N29" s="177">
        <v>45740</v>
      </c>
      <c r="O29" s="177">
        <v>46104</v>
      </c>
      <c r="P29" s="29">
        <v>120</v>
      </c>
      <c r="Q29" s="133" t="s">
        <v>1346</v>
      </c>
    </row>
    <row r="30" s="30" customFormat="1" spans="1:16">
      <c r="A30" s="168">
        <v>30</v>
      </c>
      <c r="B30" s="168" t="s">
        <v>15</v>
      </c>
      <c r="C30" s="168" t="s">
        <v>54</v>
      </c>
      <c r="D30" s="198" t="s">
        <v>1347</v>
      </c>
      <c r="E30" s="29" t="s">
        <v>10</v>
      </c>
      <c r="F30" s="31" t="s">
        <v>42</v>
      </c>
      <c r="G30" s="29">
        <v>9010</v>
      </c>
      <c r="H30" s="32">
        <v>11</v>
      </c>
      <c r="I30" s="119" t="s">
        <v>49</v>
      </c>
      <c r="J30" s="31" t="s">
        <v>42</v>
      </c>
      <c r="K30" s="31" t="s">
        <v>42</v>
      </c>
      <c r="L30" s="31" t="s">
        <v>667</v>
      </c>
      <c r="M30" s="29" t="s">
        <v>674</v>
      </c>
      <c r="N30" s="177">
        <v>45740</v>
      </c>
      <c r="O30" s="177">
        <v>46104</v>
      </c>
      <c r="P30" s="29">
        <v>120</v>
      </c>
    </row>
    <row r="31" s="30" customFormat="1" spans="1:16">
      <c r="A31" s="168">
        <v>31</v>
      </c>
      <c r="B31" s="168" t="s">
        <v>15</v>
      </c>
      <c r="C31" s="168" t="s">
        <v>54</v>
      </c>
      <c r="D31" s="82"/>
      <c r="E31" s="29" t="s">
        <v>10</v>
      </c>
      <c r="F31" s="31" t="s">
        <v>42</v>
      </c>
      <c r="G31" s="29" t="s">
        <v>1348</v>
      </c>
      <c r="H31" s="32">
        <v>3</v>
      </c>
      <c r="I31" s="119" t="s">
        <v>193</v>
      </c>
      <c r="J31" s="31" t="s">
        <v>42</v>
      </c>
      <c r="K31" s="31" t="s">
        <v>42</v>
      </c>
      <c r="L31" s="31" t="s">
        <v>667</v>
      </c>
      <c r="M31" s="29" t="s">
        <v>674</v>
      </c>
      <c r="N31" s="177">
        <v>45740</v>
      </c>
      <c r="O31" s="177">
        <v>46104</v>
      </c>
      <c r="P31" s="29">
        <v>120</v>
      </c>
    </row>
    <row r="32" s="30" customFormat="1" spans="1:18">
      <c r="A32" s="168">
        <v>8</v>
      </c>
      <c r="B32" s="168" t="s">
        <v>15</v>
      </c>
      <c r="C32" s="168" t="s">
        <v>54</v>
      </c>
      <c r="D32" s="82" t="s">
        <v>675</v>
      </c>
      <c r="E32" s="29" t="s">
        <v>10</v>
      </c>
      <c r="F32" s="31" t="s">
        <v>42</v>
      </c>
      <c r="G32" s="29"/>
      <c r="H32" s="32">
        <v>3</v>
      </c>
      <c r="I32" s="119"/>
      <c r="J32" s="31" t="s">
        <v>42</v>
      </c>
      <c r="K32" s="31" t="s">
        <v>42</v>
      </c>
      <c r="L32" s="31" t="s">
        <v>667</v>
      </c>
      <c r="M32" s="29" t="s">
        <v>674</v>
      </c>
      <c r="N32" s="177">
        <v>45740</v>
      </c>
      <c r="O32" s="177">
        <v>46105</v>
      </c>
      <c r="P32" s="29">
        <v>120</v>
      </c>
      <c r="Q32" s="205" t="s">
        <v>1349</v>
      </c>
      <c r="R32" s="133"/>
    </row>
    <row r="33" s="30" customFormat="1" spans="1:18">
      <c r="A33" s="168">
        <v>32</v>
      </c>
      <c r="B33" s="168" t="s">
        <v>15</v>
      </c>
      <c r="C33" s="168" t="s">
        <v>54</v>
      </c>
      <c r="D33" s="82" t="s">
        <v>1347</v>
      </c>
      <c r="E33" s="29" t="s">
        <v>10</v>
      </c>
      <c r="F33" s="31" t="s">
        <v>42</v>
      </c>
      <c r="G33" s="29" t="s">
        <v>1350</v>
      </c>
      <c r="H33" s="82" t="s">
        <v>1351</v>
      </c>
      <c r="I33" s="31"/>
      <c r="J33" s="31" t="s">
        <v>993</v>
      </c>
      <c r="K33" s="31"/>
      <c r="L33" s="31" t="s">
        <v>667</v>
      </c>
      <c r="M33" s="29" t="s">
        <v>674</v>
      </c>
      <c r="N33" s="177">
        <v>45783</v>
      </c>
      <c r="O33" s="177">
        <v>46147</v>
      </c>
      <c r="P33" s="29">
        <v>120</v>
      </c>
      <c r="R33" s="133" t="s">
        <v>1352</v>
      </c>
    </row>
    <row r="42" s="30" customFormat="1" spans="7:13">
      <c r="G42" s="27"/>
      <c r="I42" s="199"/>
      <c r="J42" s="199"/>
      <c r="K42" s="199"/>
      <c r="L42" s="199"/>
      <c r="M42" s="52"/>
    </row>
    <row r="43" s="30" customFormat="1" spans="7:13">
      <c r="G43" s="27"/>
      <c r="I43" s="199"/>
      <c r="J43" s="199"/>
      <c r="K43" s="199"/>
      <c r="L43" s="199"/>
      <c r="M43" s="52"/>
    </row>
    <row r="44" s="30" customFormat="1" spans="7:13">
      <c r="G44" s="27"/>
      <c r="I44" s="199"/>
      <c r="J44" s="199"/>
      <c r="K44" s="199"/>
      <c r="L44" s="199"/>
      <c r="M44" s="52"/>
    </row>
    <row r="45" s="30" customFormat="1" spans="7:13">
      <c r="G45" s="27"/>
      <c r="I45" s="199"/>
      <c r="J45" s="199"/>
      <c r="K45" s="199"/>
      <c r="L45" s="199"/>
      <c r="M45" s="52"/>
    </row>
    <row r="46" s="30" customFormat="1" spans="6:13">
      <c r="F46" s="52"/>
      <c r="G46" s="199"/>
      <c r="I46" s="199"/>
      <c r="J46" s="199"/>
      <c r="K46" s="199"/>
      <c r="L46" s="199"/>
      <c r="M46" s="52"/>
    </row>
  </sheetData>
  <autoFilter xmlns:etc="http://www.wps.cn/officeDocument/2017/etCustomData" ref="A1:R33" etc:filterBottomFollowUsedRange="0">
    <extLst/>
  </autoFilter>
  <sortState ref="A2:R46">
    <sortCondition ref="O2"/>
  </sortState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31"/>
  <sheetViews>
    <sheetView workbookViewId="0">
      <selection activeCell="J46" sqref="J46"/>
    </sheetView>
  </sheetViews>
  <sheetFormatPr defaultColWidth="9" defaultRowHeight="13.5" outlineLevelCol="7"/>
  <cols>
    <col min="3" max="3" width="17.625" customWidth="1"/>
    <col min="6" max="6" width="18.875" customWidth="1"/>
    <col min="8" max="8" width="16.625" customWidth="1"/>
  </cols>
  <sheetData>
    <row r="1" spans="2:8">
      <c r="B1" s="1" t="s">
        <v>21</v>
      </c>
      <c r="C1" s="1" t="s">
        <v>21</v>
      </c>
      <c r="D1" s="1" t="s">
        <v>22</v>
      </c>
      <c r="E1" s="1" t="s">
        <v>36</v>
      </c>
      <c r="F1" s="1" t="s">
        <v>24</v>
      </c>
      <c r="G1" s="1" t="s">
        <v>1353</v>
      </c>
      <c r="H1" s="1" t="s">
        <v>1354</v>
      </c>
    </row>
    <row r="2" spans="1:8">
      <c r="A2" s="186">
        <v>1</v>
      </c>
      <c r="B2" s="186" t="s">
        <v>15</v>
      </c>
      <c r="C2" s="187" t="s">
        <v>1355</v>
      </c>
      <c r="D2" s="187" t="s">
        <v>10</v>
      </c>
      <c r="E2" s="187" t="s">
        <v>1356</v>
      </c>
      <c r="F2" s="186" t="s">
        <v>1357</v>
      </c>
      <c r="G2" s="188" t="s">
        <v>1358</v>
      </c>
      <c r="H2" s="187" t="s">
        <v>1359</v>
      </c>
    </row>
    <row r="3" spans="1:8">
      <c r="A3" s="186">
        <v>2</v>
      </c>
      <c r="B3" s="186" t="s">
        <v>15</v>
      </c>
      <c r="C3" s="187" t="s">
        <v>1360</v>
      </c>
      <c r="D3" s="187" t="s">
        <v>10</v>
      </c>
      <c r="E3" s="187" t="s">
        <v>1356</v>
      </c>
      <c r="F3" s="186" t="s">
        <v>1361</v>
      </c>
      <c r="G3" s="188" t="s">
        <v>1362</v>
      </c>
      <c r="H3" s="187" t="s">
        <v>1359</v>
      </c>
    </row>
    <row r="4" spans="1:8">
      <c r="A4" s="186">
        <v>3</v>
      </c>
      <c r="B4" s="186" t="s">
        <v>15</v>
      </c>
      <c r="C4" s="187" t="s">
        <v>1363</v>
      </c>
      <c r="D4" s="187" t="s">
        <v>10</v>
      </c>
      <c r="E4" s="187" t="s">
        <v>1364</v>
      </c>
      <c r="F4" s="187">
        <v>9010</v>
      </c>
      <c r="G4" s="188" t="s">
        <v>1365</v>
      </c>
      <c r="H4" s="187" t="s">
        <v>1359</v>
      </c>
    </row>
    <row r="5" spans="1:8">
      <c r="A5" s="186">
        <v>4</v>
      </c>
      <c r="B5" s="186" t="s">
        <v>15</v>
      </c>
      <c r="C5" s="187" t="s">
        <v>1366</v>
      </c>
      <c r="D5" s="187" t="s">
        <v>10</v>
      </c>
      <c r="E5" s="187" t="s">
        <v>1348</v>
      </c>
      <c r="F5" s="186" t="s">
        <v>1367</v>
      </c>
      <c r="G5" s="188" t="s">
        <v>1368</v>
      </c>
      <c r="H5" s="187" t="s">
        <v>1359</v>
      </c>
    </row>
    <row r="6" spans="1:8">
      <c r="A6" s="186">
        <v>5</v>
      </c>
      <c r="B6" s="186" t="s">
        <v>15</v>
      </c>
      <c r="C6" s="187" t="s">
        <v>1369</v>
      </c>
      <c r="D6" s="187" t="s">
        <v>10</v>
      </c>
      <c r="E6" s="187" t="s">
        <v>1348</v>
      </c>
      <c r="F6" s="186" t="s">
        <v>1367</v>
      </c>
      <c r="G6" s="188" t="s">
        <v>1370</v>
      </c>
      <c r="H6" s="187" t="s">
        <v>1359</v>
      </c>
    </row>
    <row r="7" spans="1:8">
      <c r="A7" s="186">
        <v>6</v>
      </c>
      <c r="B7" s="186" t="s">
        <v>15</v>
      </c>
      <c r="C7" s="187" t="s">
        <v>1371</v>
      </c>
      <c r="D7" s="187" t="s">
        <v>10</v>
      </c>
      <c r="E7" s="187" t="s">
        <v>1364</v>
      </c>
      <c r="F7" s="187">
        <v>9010</v>
      </c>
      <c r="G7" s="188" t="s">
        <v>1372</v>
      </c>
      <c r="H7" s="187" t="s">
        <v>1359</v>
      </c>
    </row>
    <row r="8" spans="1:8">
      <c r="A8" s="186">
        <v>7</v>
      </c>
      <c r="B8" s="186" t="s">
        <v>15</v>
      </c>
      <c r="C8" s="187" t="s">
        <v>1373</v>
      </c>
      <c r="D8" s="187" t="s">
        <v>10</v>
      </c>
      <c r="E8" s="187" t="s">
        <v>1348</v>
      </c>
      <c r="F8" s="186" t="s">
        <v>1367</v>
      </c>
      <c r="G8" s="188" t="s">
        <v>1374</v>
      </c>
      <c r="H8" s="187" t="s">
        <v>1359</v>
      </c>
    </row>
    <row r="9" spans="1:8">
      <c r="A9" s="186">
        <v>8</v>
      </c>
      <c r="B9" s="186" t="s">
        <v>15</v>
      </c>
      <c r="C9" s="187" t="s">
        <v>1375</v>
      </c>
      <c r="D9" s="187" t="s">
        <v>10</v>
      </c>
      <c r="E9" s="187" t="s">
        <v>1364</v>
      </c>
      <c r="F9" s="187">
        <v>9010</v>
      </c>
      <c r="G9" s="188" t="s">
        <v>1376</v>
      </c>
      <c r="H9" s="187" t="s">
        <v>1359</v>
      </c>
    </row>
    <row r="10" spans="1:8">
      <c r="A10" s="186">
        <v>9</v>
      </c>
      <c r="B10" s="186" t="s">
        <v>15</v>
      </c>
      <c r="C10" s="187" t="s">
        <v>1377</v>
      </c>
      <c r="D10" s="187" t="s">
        <v>10</v>
      </c>
      <c r="E10" s="187" t="s">
        <v>1364</v>
      </c>
      <c r="F10" s="187">
        <v>9010</v>
      </c>
      <c r="G10" s="188" t="s">
        <v>1378</v>
      </c>
      <c r="H10" s="187" t="s">
        <v>1359</v>
      </c>
    </row>
    <row r="11" spans="1:8">
      <c r="A11" s="186">
        <v>10</v>
      </c>
      <c r="B11" s="186" t="s">
        <v>15</v>
      </c>
      <c r="C11" s="187" t="s">
        <v>1379</v>
      </c>
      <c r="D11" s="187" t="s">
        <v>10</v>
      </c>
      <c r="E11" s="187" t="s">
        <v>1364</v>
      </c>
      <c r="F11" s="187">
        <v>9010</v>
      </c>
      <c r="G11" s="188" t="s">
        <v>1380</v>
      </c>
      <c r="H11" s="187" t="s">
        <v>1359</v>
      </c>
    </row>
    <row r="12" spans="1:8">
      <c r="A12" s="186">
        <v>11</v>
      </c>
      <c r="B12" s="186" t="s">
        <v>13</v>
      </c>
      <c r="C12" s="187" t="s">
        <v>1381</v>
      </c>
      <c r="D12" s="187" t="s">
        <v>10</v>
      </c>
      <c r="E12" s="187" t="s">
        <v>1364</v>
      </c>
      <c r="F12" s="187">
        <v>9010</v>
      </c>
      <c r="G12" s="188" t="s">
        <v>1382</v>
      </c>
      <c r="H12" s="187" t="s">
        <v>1359</v>
      </c>
    </row>
    <row r="13" spans="1:8">
      <c r="A13" s="186">
        <v>12</v>
      </c>
      <c r="B13" s="186" t="s">
        <v>13</v>
      </c>
      <c r="C13" s="187" t="s">
        <v>1383</v>
      </c>
      <c r="D13" s="187" t="s">
        <v>10</v>
      </c>
      <c r="E13" s="187" t="s">
        <v>1356</v>
      </c>
      <c r="F13" s="186" t="s">
        <v>1357</v>
      </c>
      <c r="G13" s="188" t="s">
        <v>1384</v>
      </c>
      <c r="H13" s="187" t="s">
        <v>1359</v>
      </c>
    </row>
    <row r="14" spans="1:8">
      <c r="A14" s="186">
        <v>13</v>
      </c>
      <c r="B14" s="186" t="s">
        <v>13</v>
      </c>
      <c r="C14" s="187" t="s">
        <v>1385</v>
      </c>
      <c r="D14" s="187" t="s">
        <v>10</v>
      </c>
      <c r="E14" s="187" t="s">
        <v>1356</v>
      </c>
      <c r="F14" s="186" t="s">
        <v>1361</v>
      </c>
      <c r="G14" s="188" t="s">
        <v>1386</v>
      </c>
      <c r="H14" s="187" t="s">
        <v>1359</v>
      </c>
    </row>
    <row r="15" spans="1:8">
      <c r="A15" s="186">
        <v>14</v>
      </c>
      <c r="B15" s="186" t="s">
        <v>13</v>
      </c>
      <c r="C15" s="187" t="s">
        <v>1387</v>
      </c>
      <c r="D15" s="187" t="s">
        <v>10</v>
      </c>
      <c r="E15" s="187" t="s">
        <v>1348</v>
      </c>
      <c r="F15" s="186" t="s">
        <v>1367</v>
      </c>
      <c r="G15" s="188" t="s">
        <v>1388</v>
      </c>
      <c r="H15" s="187" t="s">
        <v>1359</v>
      </c>
    </row>
    <row r="16" spans="1:8">
      <c r="A16" s="186">
        <v>15</v>
      </c>
      <c r="B16" s="186" t="s">
        <v>13</v>
      </c>
      <c r="C16" s="187" t="s">
        <v>1389</v>
      </c>
      <c r="D16" s="187" t="s">
        <v>10</v>
      </c>
      <c r="E16" s="187" t="s">
        <v>1364</v>
      </c>
      <c r="F16" s="187">
        <v>9010</v>
      </c>
      <c r="G16" s="189" t="s">
        <v>1390</v>
      </c>
      <c r="H16" s="187" t="s">
        <v>1359</v>
      </c>
    </row>
    <row r="17" spans="1:8">
      <c r="A17" s="186">
        <v>16</v>
      </c>
      <c r="B17" s="186" t="s">
        <v>13</v>
      </c>
      <c r="C17" s="187" t="s">
        <v>1391</v>
      </c>
      <c r="D17" s="187" t="s">
        <v>10</v>
      </c>
      <c r="E17" s="190" t="s">
        <v>1364</v>
      </c>
      <c r="F17" s="190">
        <v>9010</v>
      </c>
      <c r="G17" s="189" t="s">
        <v>1392</v>
      </c>
      <c r="H17" s="187" t="s">
        <v>1359</v>
      </c>
    </row>
    <row r="18" spans="1:8">
      <c r="A18" s="186">
        <v>17</v>
      </c>
      <c r="B18" s="186" t="s">
        <v>13</v>
      </c>
      <c r="C18" s="187" t="s">
        <v>1393</v>
      </c>
      <c r="D18" s="187" t="s">
        <v>10</v>
      </c>
      <c r="E18" s="186" t="s">
        <v>1364</v>
      </c>
      <c r="F18" s="186">
        <v>9010</v>
      </c>
      <c r="G18" s="188" t="s">
        <v>1394</v>
      </c>
      <c r="H18" s="187" t="s">
        <v>1359</v>
      </c>
    </row>
    <row r="19" spans="1:8">
      <c r="A19" s="186">
        <v>18</v>
      </c>
      <c r="B19" s="186" t="s">
        <v>13</v>
      </c>
      <c r="C19" s="186" t="s">
        <v>1395</v>
      </c>
      <c r="D19" s="187" t="s">
        <v>10</v>
      </c>
      <c r="E19" s="186" t="s">
        <v>1348</v>
      </c>
      <c r="F19" s="190" t="s">
        <v>1367</v>
      </c>
      <c r="G19" s="188" t="s">
        <v>1396</v>
      </c>
      <c r="H19" s="187" t="s">
        <v>1359</v>
      </c>
    </row>
    <row r="20" spans="1:8">
      <c r="A20" s="186">
        <v>19</v>
      </c>
      <c r="B20" s="186" t="s">
        <v>14</v>
      </c>
      <c r="C20" s="187" t="s">
        <v>1397</v>
      </c>
      <c r="D20" s="187" t="s">
        <v>10</v>
      </c>
      <c r="E20" s="187" t="s">
        <v>1356</v>
      </c>
      <c r="F20" s="186" t="s">
        <v>1357</v>
      </c>
      <c r="G20" s="189" t="s">
        <v>1398</v>
      </c>
      <c r="H20" s="187" t="s">
        <v>1359</v>
      </c>
    </row>
    <row r="21" spans="1:8">
      <c r="A21" s="186">
        <v>20</v>
      </c>
      <c r="B21" s="186" t="s">
        <v>14</v>
      </c>
      <c r="C21" s="187" t="s">
        <v>1399</v>
      </c>
      <c r="D21" s="187" t="s">
        <v>10</v>
      </c>
      <c r="E21" s="187" t="s">
        <v>1356</v>
      </c>
      <c r="F21" s="186" t="s">
        <v>1361</v>
      </c>
      <c r="G21" s="188" t="s">
        <v>1400</v>
      </c>
      <c r="H21" s="187" t="s">
        <v>1359</v>
      </c>
    </row>
    <row r="22" spans="1:8">
      <c r="A22" s="186">
        <v>21</v>
      </c>
      <c r="B22" s="186" t="s">
        <v>14</v>
      </c>
      <c r="C22" s="187" t="s">
        <v>1401</v>
      </c>
      <c r="D22" s="187" t="s">
        <v>10</v>
      </c>
      <c r="E22" s="186" t="s">
        <v>1364</v>
      </c>
      <c r="F22" s="186">
        <v>9010</v>
      </c>
      <c r="G22" s="188" t="s">
        <v>1402</v>
      </c>
      <c r="H22" s="187" t="s">
        <v>1359</v>
      </c>
    </row>
    <row r="23" spans="1:8">
      <c r="A23" s="186">
        <v>22</v>
      </c>
      <c r="B23" s="186" t="s">
        <v>14</v>
      </c>
      <c r="C23" s="187" t="s">
        <v>1403</v>
      </c>
      <c r="D23" s="187" t="s">
        <v>10</v>
      </c>
      <c r="E23" s="186" t="s">
        <v>1364</v>
      </c>
      <c r="F23" s="186">
        <v>9010</v>
      </c>
      <c r="G23" s="188" t="s">
        <v>1404</v>
      </c>
      <c r="H23" s="187" t="s">
        <v>1359</v>
      </c>
    </row>
    <row r="24" spans="1:8">
      <c r="A24" s="186">
        <v>23</v>
      </c>
      <c r="B24" s="186" t="s">
        <v>14</v>
      </c>
      <c r="C24" s="187" t="s">
        <v>1405</v>
      </c>
      <c r="D24" s="187" t="s">
        <v>10</v>
      </c>
      <c r="E24" s="186" t="s">
        <v>1364</v>
      </c>
      <c r="F24" s="186">
        <v>9010</v>
      </c>
      <c r="G24" s="188" t="s">
        <v>1406</v>
      </c>
      <c r="H24" s="187" t="s">
        <v>1359</v>
      </c>
    </row>
    <row r="25" spans="1:8">
      <c r="A25" s="186">
        <v>24</v>
      </c>
      <c r="B25" s="186" t="s">
        <v>14</v>
      </c>
      <c r="C25" s="187" t="s">
        <v>1407</v>
      </c>
      <c r="D25" s="187" t="s">
        <v>10</v>
      </c>
      <c r="E25" s="186" t="s">
        <v>1364</v>
      </c>
      <c r="F25" s="186">
        <v>9010</v>
      </c>
      <c r="G25" s="188" t="s">
        <v>1408</v>
      </c>
      <c r="H25" s="187" t="s">
        <v>1359</v>
      </c>
    </row>
    <row r="26" spans="1:8">
      <c r="A26" s="186">
        <v>25</v>
      </c>
      <c r="B26" s="186" t="s">
        <v>14</v>
      </c>
      <c r="C26" s="187" t="s">
        <v>1409</v>
      </c>
      <c r="D26" s="187" t="s">
        <v>10</v>
      </c>
      <c r="E26" s="186" t="s">
        <v>1364</v>
      </c>
      <c r="F26" s="186">
        <v>9010</v>
      </c>
      <c r="G26" s="188" t="s">
        <v>1410</v>
      </c>
      <c r="H26" s="187" t="s">
        <v>1359</v>
      </c>
    </row>
    <row r="27" spans="1:8">
      <c r="A27" s="186">
        <v>26</v>
      </c>
      <c r="B27" s="186" t="s">
        <v>14</v>
      </c>
      <c r="C27" s="187" t="s">
        <v>1411</v>
      </c>
      <c r="D27" s="187" t="s">
        <v>10</v>
      </c>
      <c r="E27" s="190" t="s">
        <v>1364</v>
      </c>
      <c r="F27" s="190">
        <v>9010</v>
      </c>
      <c r="G27" s="189" t="s">
        <v>1412</v>
      </c>
      <c r="H27" s="187" t="s">
        <v>1359</v>
      </c>
    </row>
    <row r="28" spans="1:8">
      <c r="A28" s="186">
        <v>27</v>
      </c>
      <c r="B28" s="186" t="s">
        <v>16</v>
      </c>
      <c r="C28" s="186" t="s">
        <v>1413</v>
      </c>
      <c r="D28" s="187" t="s">
        <v>10</v>
      </c>
      <c r="E28" s="190" t="s">
        <v>1364</v>
      </c>
      <c r="F28" s="29" t="s">
        <v>1414</v>
      </c>
      <c r="G28" s="189" t="s">
        <v>1415</v>
      </c>
      <c r="H28" s="187" t="s">
        <v>1359</v>
      </c>
    </row>
    <row r="29" spans="1:8">
      <c r="A29" s="186">
        <v>28</v>
      </c>
      <c r="B29" s="186" t="s">
        <v>16</v>
      </c>
      <c r="C29" s="186" t="s">
        <v>86</v>
      </c>
      <c r="D29" s="29" t="s">
        <v>10</v>
      </c>
      <c r="E29" s="29" t="s">
        <v>1416</v>
      </c>
      <c r="F29" s="119" t="s">
        <v>1322</v>
      </c>
      <c r="G29" s="189" t="s">
        <v>1417</v>
      </c>
      <c r="H29" s="187" t="s">
        <v>1359</v>
      </c>
    </row>
    <row r="30" spans="1:8">
      <c r="A30" s="186">
        <v>29</v>
      </c>
      <c r="B30" s="186" t="s">
        <v>16</v>
      </c>
      <c r="C30" s="186" t="s">
        <v>1418</v>
      </c>
      <c r="D30" s="187" t="s">
        <v>10</v>
      </c>
      <c r="E30" s="186" t="s">
        <v>1348</v>
      </c>
      <c r="F30" s="186" t="s">
        <v>1367</v>
      </c>
      <c r="G30" s="189" t="s">
        <v>1419</v>
      </c>
      <c r="H30" s="187" t="s">
        <v>1359</v>
      </c>
    </row>
    <row r="31" spans="1:8">
      <c r="A31" s="186">
        <v>30</v>
      </c>
      <c r="B31" s="186" t="s">
        <v>6</v>
      </c>
      <c r="C31" s="82" t="s">
        <v>1420</v>
      </c>
      <c r="D31" s="29" t="s">
        <v>10</v>
      </c>
      <c r="E31" s="186" t="s">
        <v>1364</v>
      </c>
      <c r="F31" s="186">
        <v>9010</v>
      </c>
      <c r="G31" s="189" t="s">
        <v>1421</v>
      </c>
      <c r="H31" s="187" t="s">
        <v>1359</v>
      </c>
    </row>
  </sheetData>
  <autoFilter xmlns:etc="http://www.wps.cn/officeDocument/2017/etCustomData" ref="A1:H31" etc:filterBottomFollowUsedRange="0">
    <extLst/>
  </autoFilter>
  <pageMargins left="0.984027777777778" right="0.118055555555556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R166"/>
  <sheetViews>
    <sheetView topLeftCell="A32" workbookViewId="0">
      <selection activeCell="G59" sqref="G59"/>
    </sheetView>
  </sheetViews>
  <sheetFormatPr defaultColWidth="9" defaultRowHeight="13.5"/>
  <cols>
    <col min="2" max="2" width="13.625" customWidth="1"/>
  </cols>
  <sheetData>
    <row r="1" spans="2:15">
      <c r="B1" s="1" t="s">
        <v>21</v>
      </c>
      <c r="C1" s="1" t="s">
        <v>22</v>
      </c>
      <c r="D1" s="1" t="s">
        <v>23</v>
      </c>
      <c r="E1" s="1" t="s">
        <v>24</v>
      </c>
      <c r="F1" s="2" t="s">
        <v>25</v>
      </c>
      <c r="G1" s="1" t="s">
        <v>26</v>
      </c>
      <c r="H1" s="1" t="s">
        <v>27</v>
      </c>
      <c r="I1" s="1" t="s">
        <v>28</v>
      </c>
      <c r="J1" s="1" t="s">
        <v>31</v>
      </c>
      <c r="K1" s="1" t="s">
        <v>1422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3">
      <c r="A2">
        <v>1</v>
      </c>
      <c r="B2" s="95" t="s">
        <v>262</v>
      </c>
      <c r="C2" s="96" t="s">
        <v>139</v>
      </c>
      <c r="D2" s="5" t="s">
        <v>42</v>
      </c>
      <c r="E2" s="5" t="s">
        <v>163</v>
      </c>
      <c r="F2" s="17" t="s">
        <v>1423</v>
      </c>
      <c r="G2" s="17" t="s">
        <v>42</v>
      </c>
      <c r="H2" s="5" t="s">
        <v>576</v>
      </c>
      <c r="I2" s="5" t="s">
        <v>610</v>
      </c>
      <c r="J2" s="7" t="s">
        <v>1424</v>
      </c>
      <c r="K2" s="7"/>
      <c r="L2" s="7">
        <v>100</v>
      </c>
      <c r="M2" s="16" t="s">
        <v>1218</v>
      </c>
    </row>
    <row r="3" spans="1:13">
      <c r="A3">
        <v>2</v>
      </c>
      <c r="B3" s="97" t="s">
        <v>1425</v>
      </c>
      <c r="C3" s="4" t="s">
        <v>139</v>
      </c>
      <c r="D3" s="5" t="s">
        <v>1426</v>
      </c>
      <c r="E3" s="17" t="s">
        <v>141</v>
      </c>
      <c r="F3" s="5" t="s">
        <v>1426</v>
      </c>
      <c r="G3" s="17" t="s">
        <v>439</v>
      </c>
      <c r="H3" s="17" t="s">
        <v>448</v>
      </c>
      <c r="I3" s="124" t="s">
        <v>441</v>
      </c>
      <c r="J3" s="7" t="s">
        <v>1427</v>
      </c>
      <c r="K3" s="7"/>
      <c r="L3" s="7" t="s">
        <v>1428</v>
      </c>
      <c r="M3" s="125" t="s">
        <v>1429</v>
      </c>
    </row>
    <row r="4" spans="1:13">
      <c r="A4">
        <v>3</v>
      </c>
      <c r="B4" s="97" t="s">
        <v>1425</v>
      </c>
      <c r="C4" s="4" t="s">
        <v>139</v>
      </c>
      <c r="D4" s="5" t="s">
        <v>1430</v>
      </c>
      <c r="E4" s="17" t="s">
        <v>141</v>
      </c>
      <c r="F4" s="5" t="s">
        <v>1430</v>
      </c>
      <c r="G4" s="17" t="s">
        <v>439</v>
      </c>
      <c r="H4" s="17" t="s">
        <v>470</v>
      </c>
      <c r="I4" s="124" t="s">
        <v>466</v>
      </c>
      <c r="J4" s="7" t="s">
        <v>1427</v>
      </c>
      <c r="K4" s="7"/>
      <c r="L4" s="7" t="s">
        <v>1428</v>
      </c>
      <c r="M4" s="126"/>
    </row>
    <row r="5" spans="1:13">
      <c r="A5">
        <v>4</v>
      </c>
      <c r="B5" s="97" t="s">
        <v>1425</v>
      </c>
      <c r="C5" s="4" t="s">
        <v>139</v>
      </c>
      <c r="D5" s="5" t="s">
        <v>1431</v>
      </c>
      <c r="E5" s="17" t="s">
        <v>141</v>
      </c>
      <c r="F5" s="5" t="s">
        <v>1431</v>
      </c>
      <c r="G5" s="17" t="s">
        <v>439</v>
      </c>
      <c r="H5" s="17" t="s">
        <v>470</v>
      </c>
      <c r="I5" s="124" t="s">
        <v>466</v>
      </c>
      <c r="J5" s="7" t="s">
        <v>1427</v>
      </c>
      <c r="K5" s="7"/>
      <c r="L5" s="7" t="s">
        <v>1428</v>
      </c>
      <c r="M5" s="126"/>
    </row>
    <row r="6" spans="1:13">
      <c r="A6">
        <v>5</v>
      </c>
      <c r="B6" s="97" t="s">
        <v>1425</v>
      </c>
      <c r="C6" s="4" t="s">
        <v>139</v>
      </c>
      <c r="D6" s="5" t="s">
        <v>1432</v>
      </c>
      <c r="E6" s="17" t="s">
        <v>141</v>
      </c>
      <c r="F6" s="5" t="s">
        <v>1432</v>
      </c>
      <c r="G6" s="17" t="s">
        <v>439</v>
      </c>
      <c r="H6" s="17" t="s">
        <v>470</v>
      </c>
      <c r="I6" s="124" t="s">
        <v>466</v>
      </c>
      <c r="J6" s="7" t="s">
        <v>1427</v>
      </c>
      <c r="K6" s="7"/>
      <c r="L6" s="7" t="s">
        <v>1428</v>
      </c>
      <c r="M6" s="126"/>
    </row>
    <row r="7" spans="1:13">
      <c r="A7">
        <v>6</v>
      </c>
      <c r="B7" s="97" t="s">
        <v>1425</v>
      </c>
      <c r="C7" s="4" t="s">
        <v>139</v>
      </c>
      <c r="D7" s="5" t="s">
        <v>1433</v>
      </c>
      <c r="E7" s="17" t="s">
        <v>141</v>
      </c>
      <c r="F7" s="5" t="s">
        <v>1433</v>
      </c>
      <c r="G7" s="17" t="s">
        <v>439</v>
      </c>
      <c r="H7" s="17" t="s">
        <v>470</v>
      </c>
      <c r="I7" s="124" t="s">
        <v>466</v>
      </c>
      <c r="J7" s="7" t="s">
        <v>1427</v>
      </c>
      <c r="K7" s="7"/>
      <c r="L7" s="7" t="s">
        <v>1428</v>
      </c>
      <c r="M7" s="126"/>
    </row>
    <row r="8" spans="1:13">
      <c r="A8">
        <v>7</v>
      </c>
      <c r="B8" s="97" t="s">
        <v>1425</v>
      </c>
      <c r="C8" s="4" t="s">
        <v>139</v>
      </c>
      <c r="D8" s="5" t="s">
        <v>1434</v>
      </c>
      <c r="E8" s="17" t="s">
        <v>163</v>
      </c>
      <c r="F8" s="5" t="s">
        <v>1434</v>
      </c>
      <c r="G8" s="17" t="s">
        <v>439</v>
      </c>
      <c r="H8" s="17" t="s">
        <v>1435</v>
      </c>
      <c r="I8" s="124" t="s">
        <v>1436</v>
      </c>
      <c r="J8" s="7" t="s">
        <v>1427</v>
      </c>
      <c r="K8" s="7"/>
      <c r="L8" s="7" t="s">
        <v>1428</v>
      </c>
      <c r="M8" s="126"/>
    </row>
    <row r="9" spans="1:13">
      <c r="A9">
        <v>8</v>
      </c>
      <c r="B9" s="97" t="s">
        <v>1425</v>
      </c>
      <c r="C9" s="4" t="s">
        <v>139</v>
      </c>
      <c r="D9" s="5" t="s">
        <v>1437</v>
      </c>
      <c r="E9" s="17" t="s">
        <v>163</v>
      </c>
      <c r="F9" s="5" t="s">
        <v>1437</v>
      </c>
      <c r="G9" s="17" t="s">
        <v>439</v>
      </c>
      <c r="H9" s="17" t="s">
        <v>1435</v>
      </c>
      <c r="I9" s="124" t="s">
        <v>1436</v>
      </c>
      <c r="J9" s="7" t="s">
        <v>1427</v>
      </c>
      <c r="K9" s="7"/>
      <c r="L9" s="7" t="s">
        <v>1428</v>
      </c>
      <c r="M9" s="127"/>
    </row>
    <row r="10" spans="1:13">
      <c r="A10">
        <v>9</v>
      </c>
      <c r="B10" s="97" t="s">
        <v>468</v>
      </c>
      <c r="C10" s="4" t="s">
        <v>139</v>
      </c>
      <c r="D10" s="5" t="s">
        <v>1438</v>
      </c>
      <c r="E10" s="17" t="s">
        <v>163</v>
      </c>
      <c r="F10" s="5" t="s">
        <v>1438</v>
      </c>
      <c r="G10" s="17" t="s">
        <v>439</v>
      </c>
      <c r="H10" s="17" t="s">
        <v>149</v>
      </c>
      <c r="I10" s="17" t="s">
        <v>471</v>
      </c>
      <c r="J10" s="7" t="s">
        <v>1439</v>
      </c>
      <c r="K10" s="7"/>
      <c r="L10" s="7">
        <v>100</v>
      </c>
      <c r="M10" s="82"/>
    </row>
    <row r="11" spans="1:13">
      <c r="A11">
        <v>10</v>
      </c>
      <c r="B11" s="3" t="s">
        <v>38</v>
      </c>
      <c r="C11" s="4" t="s">
        <v>139</v>
      </c>
      <c r="D11" s="5" t="s">
        <v>1440</v>
      </c>
      <c r="E11" s="17" t="s">
        <v>163</v>
      </c>
      <c r="F11" s="5" t="s">
        <v>1440</v>
      </c>
      <c r="G11" s="17" t="s">
        <v>439</v>
      </c>
      <c r="H11" s="17" t="s">
        <v>586</v>
      </c>
      <c r="I11" s="17" t="s">
        <v>587</v>
      </c>
      <c r="J11" s="7" t="s">
        <v>1439</v>
      </c>
      <c r="K11" s="7"/>
      <c r="L11" s="128">
        <v>100</v>
      </c>
      <c r="M11" s="82" t="s">
        <v>1218</v>
      </c>
    </row>
    <row r="12" spans="1:13">
      <c r="A12">
        <v>11</v>
      </c>
      <c r="B12" s="97" t="s">
        <v>38</v>
      </c>
      <c r="C12" s="4" t="s">
        <v>139</v>
      </c>
      <c r="D12" s="5" t="s">
        <v>1441</v>
      </c>
      <c r="E12" s="17" t="s">
        <v>173</v>
      </c>
      <c r="F12" s="5" t="s">
        <v>1441</v>
      </c>
      <c r="G12" s="17" t="s">
        <v>439</v>
      </c>
      <c r="H12" s="17" t="s">
        <v>1442</v>
      </c>
      <c r="I12" s="17" t="s">
        <v>1443</v>
      </c>
      <c r="J12" s="7" t="s">
        <v>1439</v>
      </c>
      <c r="K12" s="7"/>
      <c r="L12" s="128">
        <v>100</v>
      </c>
      <c r="M12" s="82"/>
    </row>
    <row r="13" spans="1:13">
      <c r="A13">
        <v>12</v>
      </c>
      <c r="B13" s="97" t="s">
        <v>38</v>
      </c>
      <c r="C13" s="4" t="s">
        <v>139</v>
      </c>
      <c r="D13" s="5" t="s">
        <v>1444</v>
      </c>
      <c r="E13" s="5" t="s">
        <v>141</v>
      </c>
      <c r="F13" s="5" t="s">
        <v>1444</v>
      </c>
      <c r="G13" s="17" t="s">
        <v>439</v>
      </c>
      <c r="H13" s="17" t="s">
        <v>576</v>
      </c>
      <c r="I13" s="17" t="s">
        <v>596</v>
      </c>
      <c r="J13" s="7" t="s">
        <v>1439</v>
      </c>
      <c r="K13" s="7"/>
      <c r="L13" s="128">
        <v>100</v>
      </c>
      <c r="M13" s="82"/>
    </row>
    <row r="14" spans="1:13">
      <c r="A14">
        <v>13</v>
      </c>
      <c r="B14" s="97" t="s">
        <v>38</v>
      </c>
      <c r="C14" s="4" t="s">
        <v>139</v>
      </c>
      <c r="D14" s="5" t="s">
        <v>1445</v>
      </c>
      <c r="E14" s="5" t="s">
        <v>163</v>
      </c>
      <c r="F14" s="5" t="s">
        <v>1445</v>
      </c>
      <c r="G14" s="17" t="s">
        <v>439</v>
      </c>
      <c r="H14" s="17" t="s">
        <v>582</v>
      </c>
      <c r="I14" s="17" t="s">
        <v>603</v>
      </c>
      <c r="J14" s="7" t="s">
        <v>1439</v>
      </c>
      <c r="K14" s="7"/>
      <c r="L14" s="128">
        <v>100</v>
      </c>
      <c r="M14" s="129"/>
    </row>
    <row r="15" spans="1:13">
      <c r="A15">
        <v>14</v>
      </c>
      <c r="B15" s="98" t="s">
        <v>38</v>
      </c>
      <c r="C15" s="99" t="s">
        <v>139</v>
      </c>
      <c r="D15" s="100" t="s">
        <v>581</v>
      </c>
      <c r="E15" s="101" t="s">
        <v>141</v>
      </c>
      <c r="F15" s="100" t="s">
        <v>581</v>
      </c>
      <c r="G15" s="101" t="s">
        <v>439</v>
      </c>
      <c r="H15" s="101" t="s">
        <v>582</v>
      </c>
      <c r="I15" s="101" t="s">
        <v>583</v>
      </c>
      <c r="J15" s="130" t="s">
        <v>1439</v>
      </c>
      <c r="K15" s="130"/>
      <c r="L15" s="131">
        <v>100</v>
      </c>
      <c r="M15" s="132"/>
    </row>
    <row r="16" ht="24" spans="1:14">
      <c r="A16">
        <v>15</v>
      </c>
      <c r="B16" s="3" t="s">
        <v>38</v>
      </c>
      <c r="C16" s="4" t="s">
        <v>1446</v>
      </c>
      <c r="D16" s="5" t="s">
        <v>1447</v>
      </c>
      <c r="E16" s="5" t="s">
        <v>1448</v>
      </c>
      <c r="F16" s="17" t="s">
        <v>1449</v>
      </c>
      <c r="G16" s="17" t="s">
        <v>439</v>
      </c>
      <c r="H16" s="5" t="s">
        <v>42</v>
      </c>
      <c r="I16" s="5" t="s">
        <v>42</v>
      </c>
      <c r="J16" s="7" t="s">
        <v>1450</v>
      </c>
      <c r="K16" s="7"/>
      <c r="L16" s="128">
        <v>1500</v>
      </c>
      <c r="M16" s="65"/>
      <c r="N16" s="133" t="s">
        <v>1451</v>
      </c>
    </row>
    <row r="17" spans="1:13">
      <c r="A17">
        <v>16</v>
      </c>
      <c r="B17" s="3" t="s">
        <v>171</v>
      </c>
      <c r="C17" s="4" t="s">
        <v>1452</v>
      </c>
      <c r="D17" s="5" t="s">
        <v>1453</v>
      </c>
      <c r="E17" s="17" t="s">
        <v>1454</v>
      </c>
      <c r="F17" s="17" t="s">
        <v>1455</v>
      </c>
      <c r="G17" s="17" t="s">
        <v>439</v>
      </c>
      <c r="H17" s="17" t="s">
        <v>1456</v>
      </c>
      <c r="I17" s="5" t="s">
        <v>42</v>
      </c>
      <c r="J17" s="7" t="s">
        <v>1457</v>
      </c>
      <c r="K17" s="7"/>
      <c r="L17" s="7">
        <v>1200</v>
      </c>
      <c r="M17" s="65" t="s">
        <v>1458</v>
      </c>
    </row>
    <row r="18" spans="1:13">
      <c r="A18">
        <v>17</v>
      </c>
      <c r="B18" s="3" t="s">
        <v>171</v>
      </c>
      <c r="C18" s="4" t="s">
        <v>1452</v>
      </c>
      <c r="D18" s="5" t="s">
        <v>1459</v>
      </c>
      <c r="E18" s="17" t="s">
        <v>1454</v>
      </c>
      <c r="F18" s="17" t="s">
        <v>1460</v>
      </c>
      <c r="G18" s="17" t="s">
        <v>439</v>
      </c>
      <c r="H18" s="17" t="s">
        <v>1456</v>
      </c>
      <c r="I18" s="5" t="s">
        <v>42</v>
      </c>
      <c r="J18" s="7" t="s">
        <v>1461</v>
      </c>
      <c r="K18" s="7"/>
      <c r="L18" s="7">
        <v>1200</v>
      </c>
      <c r="M18" s="7" t="s">
        <v>1462</v>
      </c>
    </row>
    <row r="19" spans="1:13">
      <c r="A19">
        <v>18</v>
      </c>
      <c r="B19" s="97" t="s">
        <v>171</v>
      </c>
      <c r="C19" s="4" t="s">
        <v>1452</v>
      </c>
      <c r="D19" s="5" t="s">
        <v>1463</v>
      </c>
      <c r="E19" s="17" t="s">
        <v>1454</v>
      </c>
      <c r="F19" s="5" t="s">
        <v>1464</v>
      </c>
      <c r="G19" s="17" t="s">
        <v>439</v>
      </c>
      <c r="H19" s="5" t="s">
        <v>42</v>
      </c>
      <c r="I19" s="5" t="s">
        <v>42</v>
      </c>
      <c r="J19" s="7" t="s">
        <v>1457</v>
      </c>
      <c r="K19" s="7"/>
      <c r="L19" s="7">
        <v>1200</v>
      </c>
      <c r="M19" s="65" t="s">
        <v>1458</v>
      </c>
    </row>
    <row r="20" spans="1:13">
      <c r="A20">
        <v>19</v>
      </c>
      <c r="B20" s="97" t="s">
        <v>280</v>
      </c>
      <c r="C20" s="4" t="s">
        <v>270</v>
      </c>
      <c r="D20" s="5" t="s">
        <v>42</v>
      </c>
      <c r="E20" s="5" t="s">
        <v>1465</v>
      </c>
      <c r="F20" s="5" t="s">
        <v>1466</v>
      </c>
      <c r="G20" s="17" t="s">
        <v>1467</v>
      </c>
      <c r="H20" s="25" t="s">
        <v>273</v>
      </c>
      <c r="I20" s="25" t="s">
        <v>283</v>
      </c>
      <c r="J20" s="7" t="s">
        <v>1439</v>
      </c>
      <c r="K20" s="7"/>
      <c r="L20" s="7">
        <v>200</v>
      </c>
      <c r="M20" s="133" t="s">
        <v>1468</v>
      </c>
    </row>
    <row r="21" spans="1:13">
      <c r="A21">
        <v>20</v>
      </c>
      <c r="B21" s="97" t="s">
        <v>63</v>
      </c>
      <c r="C21" s="4" t="s">
        <v>270</v>
      </c>
      <c r="D21" s="5" t="s">
        <v>1469</v>
      </c>
      <c r="E21" s="17" t="s">
        <v>271</v>
      </c>
      <c r="F21" s="5" t="s">
        <v>1470</v>
      </c>
      <c r="G21" s="17" t="s">
        <v>460</v>
      </c>
      <c r="H21" s="17" t="s">
        <v>273</v>
      </c>
      <c r="I21" s="17" t="s">
        <v>283</v>
      </c>
      <c r="J21" s="7" t="s">
        <v>1471</v>
      </c>
      <c r="K21" s="7"/>
      <c r="L21" s="7">
        <v>200</v>
      </c>
      <c r="M21" s="133" t="s">
        <v>1472</v>
      </c>
    </row>
    <row r="22" spans="1:13">
      <c r="A22">
        <v>21</v>
      </c>
      <c r="B22" s="97" t="s">
        <v>67</v>
      </c>
      <c r="C22" s="4" t="s">
        <v>270</v>
      </c>
      <c r="D22" s="5" t="s">
        <v>1473</v>
      </c>
      <c r="E22" s="17" t="s">
        <v>271</v>
      </c>
      <c r="F22" s="5" t="s">
        <v>1474</v>
      </c>
      <c r="G22" s="17" t="s">
        <v>1475</v>
      </c>
      <c r="H22" s="17" t="s">
        <v>273</v>
      </c>
      <c r="I22" s="17" t="s">
        <v>283</v>
      </c>
      <c r="J22" s="7" t="s">
        <v>1471</v>
      </c>
      <c r="K22" s="7"/>
      <c r="L22" s="7">
        <v>200</v>
      </c>
      <c r="M22" s="133" t="s">
        <v>1472</v>
      </c>
    </row>
    <row r="23" spans="1:13">
      <c r="A23">
        <v>22</v>
      </c>
      <c r="B23" s="97" t="s">
        <v>675</v>
      </c>
      <c r="C23" s="4" t="s">
        <v>270</v>
      </c>
      <c r="D23" s="26" t="s">
        <v>1476</v>
      </c>
      <c r="E23" s="25" t="s">
        <v>271</v>
      </c>
      <c r="F23" s="26" t="s">
        <v>1477</v>
      </c>
      <c r="G23" s="25" t="s">
        <v>1478</v>
      </c>
      <c r="H23" s="25" t="s">
        <v>273</v>
      </c>
      <c r="I23" s="25" t="s">
        <v>283</v>
      </c>
      <c r="J23" s="7" t="s">
        <v>1479</v>
      </c>
      <c r="K23" s="7"/>
      <c r="L23" s="7">
        <v>200</v>
      </c>
      <c r="M23" s="133" t="s">
        <v>1480</v>
      </c>
    </row>
    <row r="24" spans="1:13">
      <c r="A24">
        <v>23</v>
      </c>
      <c r="B24" s="97" t="s">
        <v>55</v>
      </c>
      <c r="C24" s="102" t="s">
        <v>270</v>
      </c>
      <c r="D24" s="103" t="s">
        <v>1481</v>
      </c>
      <c r="E24" s="104" t="s">
        <v>271</v>
      </c>
      <c r="F24" s="103" t="s">
        <v>1482</v>
      </c>
      <c r="G24" s="104" t="s">
        <v>439</v>
      </c>
      <c r="H24" s="104" t="s">
        <v>273</v>
      </c>
      <c r="I24" s="104" t="s">
        <v>283</v>
      </c>
      <c r="J24" s="7" t="s">
        <v>1471</v>
      </c>
      <c r="K24" s="7"/>
      <c r="L24" s="7">
        <v>200</v>
      </c>
      <c r="M24" s="134" t="s">
        <v>1472</v>
      </c>
    </row>
    <row r="25" spans="1:13">
      <c r="A25">
        <v>24</v>
      </c>
      <c r="B25" s="97" t="s">
        <v>60</v>
      </c>
      <c r="C25" s="102" t="s">
        <v>270</v>
      </c>
      <c r="D25" s="103" t="s">
        <v>1483</v>
      </c>
      <c r="E25" s="104" t="s">
        <v>271</v>
      </c>
      <c r="F25" s="103" t="s">
        <v>1484</v>
      </c>
      <c r="G25" s="104" t="s">
        <v>439</v>
      </c>
      <c r="H25" s="104" t="s">
        <v>273</v>
      </c>
      <c r="I25" s="104" t="s">
        <v>283</v>
      </c>
      <c r="J25" s="7" t="s">
        <v>1471</v>
      </c>
      <c r="K25" s="7"/>
      <c r="L25" s="7">
        <v>200</v>
      </c>
      <c r="M25" s="134" t="s">
        <v>1472</v>
      </c>
    </row>
    <row r="26" spans="1:13">
      <c r="A26">
        <v>25</v>
      </c>
      <c r="B26" s="97" t="s">
        <v>297</v>
      </c>
      <c r="C26" s="105" t="s">
        <v>270</v>
      </c>
      <c r="D26" s="26" t="s">
        <v>1485</v>
      </c>
      <c r="E26" s="25" t="s">
        <v>271</v>
      </c>
      <c r="F26" s="26" t="s">
        <v>1486</v>
      </c>
      <c r="G26" s="25" t="s">
        <v>1478</v>
      </c>
      <c r="H26" s="25" t="s">
        <v>273</v>
      </c>
      <c r="I26" s="25" t="s">
        <v>283</v>
      </c>
      <c r="J26" s="7" t="s">
        <v>1471</v>
      </c>
      <c r="K26" s="7"/>
      <c r="L26" s="7">
        <v>200</v>
      </c>
      <c r="M26" s="65" t="s">
        <v>1472</v>
      </c>
    </row>
    <row r="27" spans="1:13">
      <c r="A27">
        <v>26</v>
      </c>
      <c r="B27" s="97" t="s">
        <v>316</v>
      </c>
      <c r="C27" s="4" t="s">
        <v>270</v>
      </c>
      <c r="D27" s="5" t="s">
        <v>1487</v>
      </c>
      <c r="E27" s="17" t="s">
        <v>271</v>
      </c>
      <c r="F27" s="5" t="s">
        <v>1488</v>
      </c>
      <c r="G27" s="17" t="s">
        <v>460</v>
      </c>
      <c r="H27" s="17" t="s">
        <v>273</v>
      </c>
      <c r="I27" s="17" t="s">
        <v>283</v>
      </c>
      <c r="J27" s="7" t="s">
        <v>1471</v>
      </c>
      <c r="K27" s="7"/>
      <c r="L27" s="7">
        <v>200</v>
      </c>
      <c r="M27" s="65" t="s">
        <v>1472</v>
      </c>
    </row>
    <row r="28" ht="33.75" spans="1:13">
      <c r="A28">
        <v>27</v>
      </c>
      <c r="B28" s="97" t="s">
        <v>1489</v>
      </c>
      <c r="C28" s="4" t="s">
        <v>1490</v>
      </c>
      <c r="D28" s="65"/>
      <c r="E28" s="106" t="s">
        <v>1491</v>
      </c>
      <c r="F28" s="106">
        <v>2946</v>
      </c>
      <c r="G28" s="106">
        <v>2020.07</v>
      </c>
      <c r="H28" s="106"/>
      <c r="I28" s="106"/>
      <c r="J28" s="65" t="s">
        <v>1492</v>
      </c>
      <c r="K28" s="134"/>
      <c r="L28" s="134"/>
      <c r="M28" s="133" t="s">
        <v>1218</v>
      </c>
    </row>
    <row r="29" ht="31.5" spans="1:13">
      <c r="A29">
        <v>28</v>
      </c>
      <c r="B29" s="97" t="s">
        <v>468</v>
      </c>
      <c r="C29" s="4" t="s">
        <v>1493</v>
      </c>
      <c r="D29" s="5" t="s">
        <v>611</v>
      </c>
      <c r="E29" s="5" t="s">
        <v>1494</v>
      </c>
      <c r="F29" s="5" t="s">
        <v>611</v>
      </c>
      <c r="G29" s="17" t="s">
        <v>439</v>
      </c>
      <c r="H29" s="5" t="s">
        <v>42</v>
      </c>
      <c r="I29" s="5" t="s">
        <v>42</v>
      </c>
      <c r="J29" s="7" t="s">
        <v>1495</v>
      </c>
      <c r="K29" s="7"/>
      <c r="L29" s="7">
        <v>250</v>
      </c>
      <c r="M29" s="135" t="s">
        <v>1496</v>
      </c>
    </row>
    <row r="30" ht="31.5" spans="1:13">
      <c r="A30">
        <v>29</v>
      </c>
      <c r="B30" s="97" t="s">
        <v>468</v>
      </c>
      <c r="C30" s="4" t="s">
        <v>1493</v>
      </c>
      <c r="D30" s="5" t="s">
        <v>614</v>
      </c>
      <c r="E30" s="5" t="s">
        <v>1494</v>
      </c>
      <c r="F30" s="5" t="s">
        <v>614</v>
      </c>
      <c r="G30" s="17" t="s">
        <v>439</v>
      </c>
      <c r="H30" s="5" t="s">
        <v>1497</v>
      </c>
      <c r="I30" s="5" t="s">
        <v>1498</v>
      </c>
      <c r="J30" s="7" t="s">
        <v>1495</v>
      </c>
      <c r="K30" s="7"/>
      <c r="L30" s="7">
        <v>250</v>
      </c>
      <c r="M30" s="135" t="s">
        <v>1496</v>
      </c>
    </row>
    <row r="31" ht="31.5" spans="1:13">
      <c r="A31">
        <v>30</v>
      </c>
      <c r="B31" s="97" t="s">
        <v>468</v>
      </c>
      <c r="C31" s="4" t="s">
        <v>1493</v>
      </c>
      <c r="D31" s="5" t="s">
        <v>615</v>
      </c>
      <c r="E31" s="5" t="s">
        <v>1499</v>
      </c>
      <c r="F31" s="5" t="s">
        <v>615</v>
      </c>
      <c r="G31" s="17" t="s">
        <v>439</v>
      </c>
      <c r="H31" s="5" t="s">
        <v>1500</v>
      </c>
      <c r="I31" s="5" t="s">
        <v>1501</v>
      </c>
      <c r="J31" s="7" t="s">
        <v>1495</v>
      </c>
      <c r="K31" s="7"/>
      <c r="L31" s="7">
        <v>250</v>
      </c>
      <c r="M31" s="135" t="s">
        <v>1496</v>
      </c>
    </row>
    <row r="32" ht="31.5" spans="1:13">
      <c r="A32">
        <v>31</v>
      </c>
      <c r="B32" s="97" t="s">
        <v>468</v>
      </c>
      <c r="C32" s="4" t="s">
        <v>1493</v>
      </c>
      <c r="D32" s="5" t="s">
        <v>1502</v>
      </c>
      <c r="E32" s="5" t="s">
        <v>1503</v>
      </c>
      <c r="F32" s="5" t="s">
        <v>1502</v>
      </c>
      <c r="G32" s="17" t="s">
        <v>439</v>
      </c>
      <c r="H32" s="5" t="s">
        <v>1504</v>
      </c>
      <c r="I32" s="5" t="s">
        <v>1505</v>
      </c>
      <c r="J32" s="7" t="s">
        <v>1495</v>
      </c>
      <c r="K32" s="7"/>
      <c r="L32" s="7">
        <v>250</v>
      </c>
      <c r="M32" s="135" t="s">
        <v>1496</v>
      </c>
    </row>
    <row r="33" ht="31.5" spans="1:13">
      <c r="A33">
        <v>32</v>
      </c>
      <c r="B33" s="97" t="s">
        <v>468</v>
      </c>
      <c r="C33" s="4" t="s">
        <v>1493</v>
      </c>
      <c r="D33" s="5" t="s">
        <v>1506</v>
      </c>
      <c r="E33" s="5" t="s">
        <v>1494</v>
      </c>
      <c r="F33" s="5" t="s">
        <v>1506</v>
      </c>
      <c r="G33" s="17" t="s">
        <v>439</v>
      </c>
      <c r="H33" s="5" t="s">
        <v>42</v>
      </c>
      <c r="I33" s="5" t="s">
        <v>42</v>
      </c>
      <c r="J33" s="7" t="s">
        <v>1495</v>
      </c>
      <c r="K33" s="7"/>
      <c r="L33" s="7">
        <v>250</v>
      </c>
      <c r="M33" s="135" t="s">
        <v>1496</v>
      </c>
    </row>
    <row r="34" ht="31.5" spans="1:13">
      <c r="A34">
        <v>33</v>
      </c>
      <c r="B34" s="97" t="s">
        <v>468</v>
      </c>
      <c r="C34" s="4" t="s">
        <v>1493</v>
      </c>
      <c r="D34" s="5" t="s">
        <v>1507</v>
      </c>
      <c r="E34" s="5" t="s">
        <v>1508</v>
      </c>
      <c r="F34" s="5" t="s">
        <v>1507</v>
      </c>
      <c r="G34" s="17" t="s">
        <v>439</v>
      </c>
      <c r="H34" s="5" t="s">
        <v>1497</v>
      </c>
      <c r="I34" s="5" t="s">
        <v>1498</v>
      </c>
      <c r="J34" s="7" t="s">
        <v>1495</v>
      </c>
      <c r="K34" s="7"/>
      <c r="L34" s="7">
        <v>250</v>
      </c>
      <c r="M34" s="135" t="s">
        <v>1496</v>
      </c>
    </row>
    <row r="35" ht="31.5" spans="1:13">
      <c r="A35">
        <v>34</v>
      </c>
      <c r="B35" s="97" t="s">
        <v>468</v>
      </c>
      <c r="C35" s="4" t="s">
        <v>1493</v>
      </c>
      <c r="D35" s="5" t="s">
        <v>1509</v>
      </c>
      <c r="E35" s="5" t="s">
        <v>1499</v>
      </c>
      <c r="F35" s="5" t="s">
        <v>1509</v>
      </c>
      <c r="G35" s="17" t="s">
        <v>439</v>
      </c>
      <c r="H35" s="5" t="s">
        <v>1500</v>
      </c>
      <c r="I35" s="5" t="s">
        <v>1501</v>
      </c>
      <c r="J35" s="7" t="s">
        <v>1495</v>
      </c>
      <c r="K35" s="7"/>
      <c r="L35" s="7">
        <v>250</v>
      </c>
      <c r="M35" s="135" t="s">
        <v>1496</v>
      </c>
    </row>
    <row r="36" ht="31.5" spans="1:13">
      <c r="A36">
        <v>35</v>
      </c>
      <c r="B36" s="97" t="s">
        <v>468</v>
      </c>
      <c r="C36" s="4" t="s">
        <v>1493</v>
      </c>
      <c r="D36" s="5" t="s">
        <v>1510</v>
      </c>
      <c r="E36" s="5" t="s">
        <v>1503</v>
      </c>
      <c r="F36" s="5" t="s">
        <v>1510</v>
      </c>
      <c r="G36" s="17" t="s">
        <v>439</v>
      </c>
      <c r="H36" s="5" t="s">
        <v>1504</v>
      </c>
      <c r="I36" s="5" t="s">
        <v>1505</v>
      </c>
      <c r="J36" s="7" t="s">
        <v>1495</v>
      </c>
      <c r="K36" s="7"/>
      <c r="L36" s="7">
        <v>250</v>
      </c>
      <c r="M36" s="135" t="s">
        <v>1496</v>
      </c>
    </row>
    <row r="37" ht="31.5" spans="1:13">
      <c r="A37">
        <v>36</v>
      </c>
      <c r="B37" s="97" t="s">
        <v>83</v>
      </c>
      <c r="C37" s="4" t="s">
        <v>1493</v>
      </c>
      <c r="D37" s="5" t="s">
        <v>652</v>
      </c>
      <c r="E37" s="5" t="s">
        <v>1508</v>
      </c>
      <c r="F37" s="5" t="s">
        <v>652</v>
      </c>
      <c r="G37" s="17" t="s">
        <v>453</v>
      </c>
      <c r="H37" s="5" t="s">
        <v>42</v>
      </c>
      <c r="I37" s="5" t="s">
        <v>42</v>
      </c>
      <c r="J37" s="7" t="s">
        <v>1495</v>
      </c>
      <c r="K37" s="7"/>
      <c r="L37" s="7">
        <v>250</v>
      </c>
      <c r="M37" s="135" t="s">
        <v>1496</v>
      </c>
    </row>
    <row r="38" ht="31.5" spans="1:13">
      <c r="A38">
        <v>37</v>
      </c>
      <c r="B38" s="97" t="s">
        <v>83</v>
      </c>
      <c r="C38" s="4" t="s">
        <v>1493</v>
      </c>
      <c r="D38" s="5" t="s">
        <v>1511</v>
      </c>
      <c r="E38" s="5" t="s">
        <v>1512</v>
      </c>
      <c r="F38" s="5" t="s">
        <v>1511</v>
      </c>
      <c r="G38" s="17" t="s">
        <v>453</v>
      </c>
      <c r="H38" s="5" t="s">
        <v>42</v>
      </c>
      <c r="I38" s="5" t="s">
        <v>42</v>
      </c>
      <c r="J38" s="7" t="s">
        <v>1495</v>
      </c>
      <c r="K38" s="7"/>
      <c r="L38" s="7">
        <v>250</v>
      </c>
      <c r="M38" s="135" t="s">
        <v>1496</v>
      </c>
    </row>
    <row r="39" ht="31.5" spans="1:13">
      <c r="A39">
        <v>38</v>
      </c>
      <c r="B39" s="97" t="s">
        <v>83</v>
      </c>
      <c r="C39" s="4" t="s">
        <v>1493</v>
      </c>
      <c r="D39" s="5" t="s">
        <v>1513</v>
      </c>
      <c r="E39" s="5" t="s">
        <v>1494</v>
      </c>
      <c r="F39" s="5" t="s">
        <v>1513</v>
      </c>
      <c r="G39" s="17" t="s">
        <v>453</v>
      </c>
      <c r="H39" s="5" t="s">
        <v>42</v>
      </c>
      <c r="I39" s="5" t="s">
        <v>42</v>
      </c>
      <c r="J39" s="7" t="s">
        <v>1495</v>
      </c>
      <c r="K39" s="7"/>
      <c r="L39" s="7">
        <v>250</v>
      </c>
      <c r="M39" s="135" t="s">
        <v>1496</v>
      </c>
    </row>
    <row r="40" ht="31.5" spans="1:13">
      <c r="A40">
        <v>39</v>
      </c>
      <c r="B40" s="97" t="s">
        <v>83</v>
      </c>
      <c r="C40" s="4" t="s">
        <v>1493</v>
      </c>
      <c r="D40" s="5" t="s">
        <v>1514</v>
      </c>
      <c r="E40" s="5" t="s">
        <v>1494</v>
      </c>
      <c r="F40" s="5" t="s">
        <v>1514</v>
      </c>
      <c r="G40" s="17" t="s">
        <v>453</v>
      </c>
      <c r="H40" s="5" t="s">
        <v>42</v>
      </c>
      <c r="I40" s="5" t="s">
        <v>42</v>
      </c>
      <c r="J40" s="7" t="s">
        <v>1495</v>
      </c>
      <c r="K40" s="7"/>
      <c r="L40" s="7">
        <v>250</v>
      </c>
      <c r="M40" s="135" t="s">
        <v>1496</v>
      </c>
    </row>
    <row r="41" ht="31.5" spans="1:13">
      <c r="A41">
        <v>40</v>
      </c>
      <c r="B41" s="97" t="s">
        <v>86</v>
      </c>
      <c r="C41" s="4" t="s">
        <v>1493</v>
      </c>
      <c r="D41" s="5" t="s">
        <v>1515</v>
      </c>
      <c r="E41" s="5" t="s">
        <v>1494</v>
      </c>
      <c r="F41" s="5" t="s">
        <v>1515</v>
      </c>
      <c r="G41" s="17" t="s">
        <v>460</v>
      </c>
      <c r="H41" s="5" t="s">
        <v>42</v>
      </c>
      <c r="I41" s="5" t="s">
        <v>42</v>
      </c>
      <c r="J41" s="7" t="s">
        <v>1495</v>
      </c>
      <c r="K41" s="7"/>
      <c r="L41" s="7">
        <v>250</v>
      </c>
      <c r="M41" s="135" t="s">
        <v>1496</v>
      </c>
    </row>
    <row r="42" ht="31.5" spans="1:13">
      <c r="A42">
        <v>41</v>
      </c>
      <c r="B42" s="97" t="s">
        <v>86</v>
      </c>
      <c r="C42" s="4" t="s">
        <v>1493</v>
      </c>
      <c r="D42" s="5" t="s">
        <v>1516</v>
      </c>
      <c r="E42" s="5" t="s">
        <v>1494</v>
      </c>
      <c r="F42" s="5" t="s">
        <v>1516</v>
      </c>
      <c r="G42" s="17" t="s">
        <v>460</v>
      </c>
      <c r="H42" s="5" t="s">
        <v>42</v>
      </c>
      <c r="I42" s="5" t="s">
        <v>42</v>
      </c>
      <c r="J42" s="7" t="s">
        <v>1495</v>
      </c>
      <c r="K42" s="7"/>
      <c r="L42" s="7">
        <v>250</v>
      </c>
      <c r="M42" s="135" t="s">
        <v>1496</v>
      </c>
    </row>
    <row r="43" ht="31.5" spans="1:13">
      <c r="A43">
        <v>42</v>
      </c>
      <c r="B43" s="97" t="s">
        <v>86</v>
      </c>
      <c r="C43" s="4" t="s">
        <v>1493</v>
      </c>
      <c r="D43" s="5" t="s">
        <v>1517</v>
      </c>
      <c r="E43" s="5" t="s">
        <v>1503</v>
      </c>
      <c r="F43" s="5" t="s">
        <v>1517</v>
      </c>
      <c r="G43" s="17" t="s">
        <v>460</v>
      </c>
      <c r="H43" s="5" t="s">
        <v>42</v>
      </c>
      <c r="I43" s="5" t="s">
        <v>42</v>
      </c>
      <c r="J43" s="7" t="s">
        <v>1495</v>
      </c>
      <c r="K43" s="7"/>
      <c r="L43" s="7">
        <v>250</v>
      </c>
      <c r="M43" s="135" t="s">
        <v>1496</v>
      </c>
    </row>
    <row r="44" ht="31.5" spans="1:13">
      <c r="A44">
        <v>43</v>
      </c>
      <c r="B44" s="97" t="s">
        <v>86</v>
      </c>
      <c r="C44" s="4" t="s">
        <v>1493</v>
      </c>
      <c r="D44" s="5" t="s">
        <v>1518</v>
      </c>
      <c r="E44" s="5" t="s">
        <v>1512</v>
      </c>
      <c r="F44" s="5" t="s">
        <v>1518</v>
      </c>
      <c r="G44" s="17" t="s">
        <v>460</v>
      </c>
      <c r="H44" s="5" t="s">
        <v>42</v>
      </c>
      <c r="I44" s="5" t="s">
        <v>42</v>
      </c>
      <c r="J44" s="7" t="s">
        <v>1495</v>
      </c>
      <c r="K44" s="7"/>
      <c r="L44" s="7">
        <v>250</v>
      </c>
      <c r="M44" s="135" t="s">
        <v>1496</v>
      </c>
    </row>
    <row r="45" ht="18" spans="1:12">
      <c r="A45">
        <v>44</v>
      </c>
      <c r="B45" s="107" t="s">
        <v>1519</v>
      </c>
      <c r="C45" s="4" t="s">
        <v>1446</v>
      </c>
      <c r="D45" s="5" t="s">
        <v>1520</v>
      </c>
      <c r="E45" s="42" t="s">
        <v>1521</v>
      </c>
      <c r="F45" s="7">
        <v>1180077</v>
      </c>
      <c r="G45" s="17">
        <v>20100304</v>
      </c>
      <c r="H45" s="7" t="s">
        <v>1161</v>
      </c>
      <c r="I45" s="136" t="s">
        <v>339</v>
      </c>
      <c r="J45" s="7" t="s">
        <v>1522</v>
      </c>
      <c r="K45" s="7"/>
      <c r="L45" s="29" t="s">
        <v>1523</v>
      </c>
    </row>
    <row r="46" spans="1:15">
      <c r="A46">
        <v>45</v>
      </c>
      <c r="B46" s="97" t="s">
        <v>63</v>
      </c>
      <c r="C46" s="4" t="s">
        <v>139</v>
      </c>
      <c r="D46" s="5" t="s">
        <v>1524</v>
      </c>
      <c r="E46" s="17" t="s">
        <v>141</v>
      </c>
      <c r="F46" s="5" t="s">
        <v>1524</v>
      </c>
      <c r="G46" s="17" t="s">
        <v>460</v>
      </c>
      <c r="H46" s="17" t="s">
        <v>448</v>
      </c>
      <c r="I46" s="17" t="s">
        <v>466</v>
      </c>
      <c r="J46" s="7" t="s">
        <v>1525</v>
      </c>
      <c r="K46" s="7"/>
      <c r="L46" s="7">
        <v>100</v>
      </c>
      <c r="M46" s="65"/>
      <c r="N46" s="134"/>
      <c r="O46" s="137" t="s">
        <v>999</v>
      </c>
    </row>
    <row r="47" spans="1:13">
      <c r="A47">
        <v>1</v>
      </c>
      <c r="B47" s="108" t="s">
        <v>1526</v>
      </c>
      <c r="C47" s="109" t="s">
        <v>270</v>
      </c>
      <c r="D47" s="110"/>
      <c r="E47" s="111" t="s">
        <v>271</v>
      </c>
      <c r="F47" s="110" t="s">
        <v>1527</v>
      </c>
      <c r="G47" s="112"/>
      <c r="H47" s="112"/>
      <c r="I47" s="112"/>
      <c r="J47" s="138" t="s">
        <v>1528</v>
      </c>
      <c r="K47" s="138"/>
      <c r="L47" s="138"/>
      <c r="M47" s="139" t="s">
        <v>1529</v>
      </c>
    </row>
    <row r="48" spans="1:13">
      <c r="A48">
        <v>2</v>
      </c>
      <c r="B48" s="108" t="s">
        <v>1530</v>
      </c>
      <c r="C48" s="113" t="s">
        <v>270</v>
      </c>
      <c r="D48" s="110"/>
      <c r="E48" s="114" t="s">
        <v>271</v>
      </c>
      <c r="F48" s="110" t="s">
        <v>1531</v>
      </c>
      <c r="G48" s="112"/>
      <c r="H48" s="112"/>
      <c r="I48" s="112"/>
      <c r="J48" s="138" t="s">
        <v>1528</v>
      </c>
      <c r="K48" s="138"/>
      <c r="L48" s="138"/>
      <c r="M48" s="139" t="s">
        <v>1529</v>
      </c>
    </row>
    <row r="49" spans="1:13">
      <c r="A49">
        <v>3</v>
      </c>
      <c r="B49" s="108" t="s">
        <v>1532</v>
      </c>
      <c r="C49" s="109" t="s">
        <v>270</v>
      </c>
      <c r="D49" s="115"/>
      <c r="E49" s="111" t="s">
        <v>271</v>
      </c>
      <c r="F49" s="110" t="s">
        <v>1533</v>
      </c>
      <c r="G49" s="111"/>
      <c r="H49" s="111"/>
      <c r="I49" s="111"/>
      <c r="J49" s="138" t="s">
        <v>1528</v>
      </c>
      <c r="K49" s="138"/>
      <c r="L49" s="138"/>
      <c r="M49" s="139" t="s">
        <v>1529</v>
      </c>
    </row>
    <row r="50" spans="1:13">
      <c r="A50">
        <v>4</v>
      </c>
      <c r="B50" s="108" t="s">
        <v>1534</v>
      </c>
      <c r="C50" s="113" t="s">
        <v>270</v>
      </c>
      <c r="D50" s="116"/>
      <c r="E50" s="114" t="s">
        <v>271</v>
      </c>
      <c r="F50" s="110" t="s">
        <v>1535</v>
      </c>
      <c r="G50" s="114"/>
      <c r="H50" s="114"/>
      <c r="I50" s="114"/>
      <c r="J50" s="138" t="s">
        <v>1528</v>
      </c>
      <c r="K50" s="138"/>
      <c r="L50" s="138"/>
      <c r="M50" s="139" t="s">
        <v>1529</v>
      </c>
    </row>
    <row r="51" ht="22.5" spans="2:14">
      <c r="B51" s="117" t="s">
        <v>1536</v>
      </c>
      <c r="C51" s="118" t="s">
        <v>1537</v>
      </c>
      <c r="D51" s="31" t="s">
        <v>1538</v>
      </c>
      <c r="E51" s="29" t="s">
        <v>1539</v>
      </c>
      <c r="F51" s="375" t="s">
        <v>1540</v>
      </c>
      <c r="G51" s="119">
        <v>20100910</v>
      </c>
      <c r="H51" s="120" t="s">
        <v>1541</v>
      </c>
      <c r="I51" s="140" t="s">
        <v>339</v>
      </c>
      <c r="J51" s="29" t="s">
        <v>1542</v>
      </c>
      <c r="K51" s="141"/>
      <c r="L51" s="29">
        <v>100</v>
      </c>
      <c r="M51" s="142" t="s">
        <v>44</v>
      </c>
      <c r="N51" s="133" t="s">
        <v>15</v>
      </c>
    </row>
    <row r="52" ht="22.5" spans="2:14">
      <c r="B52" s="117" t="s">
        <v>1543</v>
      </c>
      <c r="C52" s="118" t="s">
        <v>1537</v>
      </c>
      <c r="D52" s="31" t="s">
        <v>1544</v>
      </c>
      <c r="E52" s="29" t="s">
        <v>1539</v>
      </c>
      <c r="F52" s="375" t="s">
        <v>1545</v>
      </c>
      <c r="G52" s="119">
        <v>20100910</v>
      </c>
      <c r="H52" s="120" t="s">
        <v>1546</v>
      </c>
      <c r="I52" s="140" t="s">
        <v>339</v>
      </c>
      <c r="J52" s="29" t="s">
        <v>1542</v>
      </c>
      <c r="K52" s="141"/>
      <c r="L52" s="29">
        <v>100</v>
      </c>
      <c r="M52" s="142" t="s">
        <v>44</v>
      </c>
      <c r="N52" s="133"/>
    </row>
    <row r="53" ht="22.5" spans="2:14">
      <c r="B53" s="117" t="s">
        <v>1547</v>
      </c>
      <c r="C53" s="118" t="s">
        <v>1537</v>
      </c>
      <c r="D53" s="31" t="s">
        <v>1548</v>
      </c>
      <c r="E53" s="29" t="s">
        <v>1539</v>
      </c>
      <c r="F53" s="121" t="s">
        <v>1549</v>
      </c>
      <c r="G53" s="119">
        <v>20120201</v>
      </c>
      <c r="H53" s="120" t="s">
        <v>1546</v>
      </c>
      <c r="I53" s="140" t="s">
        <v>339</v>
      </c>
      <c r="J53" s="29" t="s">
        <v>1542</v>
      </c>
      <c r="K53" s="141"/>
      <c r="L53" s="29">
        <v>100</v>
      </c>
      <c r="M53" s="142" t="s">
        <v>44</v>
      </c>
      <c r="N53" s="133" t="s">
        <v>13</v>
      </c>
    </row>
    <row r="54" ht="22.5" spans="2:14">
      <c r="B54" s="117" t="s">
        <v>1550</v>
      </c>
      <c r="C54" s="118" t="s">
        <v>1537</v>
      </c>
      <c r="D54" s="31" t="s">
        <v>1551</v>
      </c>
      <c r="E54" s="29" t="s">
        <v>1539</v>
      </c>
      <c r="F54" s="121" t="s">
        <v>1552</v>
      </c>
      <c r="G54" s="119">
        <v>20120201</v>
      </c>
      <c r="H54" s="120" t="s">
        <v>1541</v>
      </c>
      <c r="I54" s="140" t="s">
        <v>339</v>
      </c>
      <c r="J54" s="29" t="s">
        <v>1542</v>
      </c>
      <c r="K54" s="141"/>
      <c r="L54" s="29">
        <v>100</v>
      </c>
      <c r="M54" s="142" t="s">
        <v>44</v>
      </c>
      <c r="N54" s="133"/>
    </row>
    <row r="55" ht="22.5" spans="2:14">
      <c r="B55" s="117" t="s">
        <v>1553</v>
      </c>
      <c r="C55" s="118" t="s">
        <v>1537</v>
      </c>
      <c r="D55" s="31" t="s">
        <v>1554</v>
      </c>
      <c r="E55" s="29" t="s">
        <v>1539</v>
      </c>
      <c r="F55" s="375" t="s">
        <v>1555</v>
      </c>
      <c r="G55" s="119">
        <v>20120720</v>
      </c>
      <c r="H55" s="120" t="s">
        <v>1546</v>
      </c>
      <c r="I55" s="140" t="s">
        <v>339</v>
      </c>
      <c r="J55" s="29" t="s">
        <v>1542</v>
      </c>
      <c r="K55" s="141"/>
      <c r="L55" s="29">
        <v>100</v>
      </c>
      <c r="M55" s="142" t="s">
        <v>44</v>
      </c>
      <c r="N55" s="133" t="s">
        <v>14</v>
      </c>
    </row>
    <row r="56" ht="22.5" spans="2:14">
      <c r="B56" s="117" t="s">
        <v>1556</v>
      </c>
      <c r="C56" s="118" t="s">
        <v>1537</v>
      </c>
      <c r="D56" s="31" t="s">
        <v>1557</v>
      </c>
      <c r="E56" s="29" t="s">
        <v>1539</v>
      </c>
      <c r="F56" s="375" t="s">
        <v>1558</v>
      </c>
      <c r="G56" s="119">
        <v>20120720</v>
      </c>
      <c r="H56" s="120" t="s">
        <v>1546</v>
      </c>
      <c r="I56" s="140" t="s">
        <v>339</v>
      </c>
      <c r="J56" s="29" t="s">
        <v>1542</v>
      </c>
      <c r="K56" s="141"/>
      <c r="L56" s="29">
        <v>100</v>
      </c>
      <c r="M56" s="142" t="s">
        <v>44</v>
      </c>
      <c r="N56" s="133"/>
    </row>
    <row r="57" ht="22.5" spans="2:14">
      <c r="B57" s="122" t="s">
        <v>1559</v>
      </c>
      <c r="C57" s="118" t="s">
        <v>1537</v>
      </c>
      <c r="D57" s="31" t="s">
        <v>1560</v>
      </c>
      <c r="E57" s="29" t="s">
        <v>1561</v>
      </c>
      <c r="F57" s="29" t="s">
        <v>1562</v>
      </c>
      <c r="G57" s="119">
        <v>20100304</v>
      </c>
      <c r="H57" s="120" t="s">
        <v>1541</v>
      </c>
      <c r="I57" s="140" t="s">
        <v>339</v>
      </c>
      <c r="J57" s="29" t="s">
        <v>1542</v>
      </c>
      <c r="K57" s="141"/>
      <c r="L57" s="29">
        <v>100</v>
      </c>
      <c r="M57" s="142" t="s">
        <v>44</v>
      </c>
      <c r="N57" s="133" t="s">
        <v>1563</v>
      </c>
    </row>
    <row r="58" ht="22.5" spans="2:14">
      <c r="B58" s="122" t="s">
        <v>1564</v>
      </c>
      <c r="C58" s="118" t="s">
        <v>1537</v>
      </c>
      <c r="D58" s="31" t="s">
        <v>1565</v>
      </c>
      <c r="E58" s="29" t="s">
        <v>1561</v>
      </c>
      <c r="F58" s="29" t="s">
        <v>1566</v>
      </c>
      <c r="G58" s="119">
        <v>20100304</v>
      </c>
      <c r="H58" s="120" t="s">
        <v>1546</v>
      </c>
      <c r="I58" s="140" t="s">
        <v>339</v>
      </c>
      <c r="J58" s="29" t="s">
        <v>1542</v>
      </c>
      <c r="K58" s="141"/>
      <c r="L58" s="29">
        <v>100</v>
      </c>
      <c r="M58" s="142" t="s">
        <v>44</v>
      </c>
      <c r="N58" s="133"/>
    </row>
    <row r="59" ht="22.5" spans="2:14">
      <c r="B59" s="122" t="s">
        <v>1567</v>
      </c>
      <c r="C59" s="118" t="s">
        <v>1537</v>
      </c>
      <c r="D59" s="31" t="s">
        <v>1568</v>
      </c>
      <c r="E59" s="29" t="s">
        <v>1561</v>
      </c>
      <c r="F59" s="29" t="s">
        <v>1569</v>
      </c>
      <c r="G59" s="119">
        <v>20100304</v>
      </c>
      <c r="H59" s="120" t="s">
        <v>1546</v>
      </c>
      <c r="I59" s="140" t="s">
        <v>339</v>
      </c>
      <c r="J59" s="29" t="s">
        <v>1542</v>
      </c>
      <c r="K59" s="141"/>
      <c r="L59" s="29">
        <v>100</v>
      </c>
      <c r="M59" s="142" t="s">
        <v>44</v>
      </c>
      <c r="N59" s="133"/>
    </row>
    <row r="60" ht="22.5" spans="2:14">
      <c r="B60" s="122" t="s">
        <v>1570</v>
      </c>
      <c r="C60" s="118" t="s">
        <v>1537</v>
      </c>
      <c r="D60" s="31" t="s">
        <v>1571</v>
      </c>
      <c r="E60" s="29" t="s">
        <v>1561</v>
      </c>
      <c r="F60" s="29" t="s">
        <v>1572</v>
      </c>
      <c r="G60" s="119">
        <v>20100304</v>
      </c>
      <c r="H60" s="120" t="s">
        <v>1541</v>
      </c>
      <c r="I60" s="140" t="s">
        <v>339</v>
      </c>
      <c r="J60" s="29" t="s">
        <v>1542</v>
      </c>
      <c r="K60" s="141"/>
      <c r="L60" s="29">
        <v>100</v>
      </c>
      <c r="M60" s="142" t="s">
        <v>44</v>
      </c>
      <c r="N60" s="133"/>
    </row>
    <row r="61" ht="22.5" spans="2:14">
      <c r="B61" s="122" t="s">
        <v>418</v>
      </c>
      <c r="C61" s="118" t="s">
        <v>1537</v>
      </c>
      <c r="D61" s="31" t="s">
        <v>1573</v>
      </c>
      <c r="E61" s="29" t="s">
        <v>1561</v>
      </c>
      <c r="F61" s="29" t="s">
        <v>1574</v>
      </c>
      <c r="G61" s="119">
        <v>20100304</v>
      </c>
      <c r="H61" s="120" t="s">
        <v>1546</v>
      </c>
      <c r="I61" s="140" t="s">
        <v>339</v>
      </c>
      <c r="J61" s="29" t="s">
        <v>1542</v>
      </c>
      <c r="K61" s="141"/>
      <c r="L61" s="29">
        <v>100</v>
      </c>
      <c r="M61" s="142" t="s">
        <v>44</v>
      </c>
      <c r="N61" s="133"/>
    </row>
    <row r="62" ht="22.5" spans="2:14">
      <c r="B62" s="122" t="s">
        <v>1575</v>
      </c>
      <c r="C62" s="118" t="s">
        <v>1537</v>
      </c>
      <c r="D62" s="31" t="s">
        <v>1576</v>
      </c>
      <c r="E62" s="29" t="s">
        <v>1577</v>
      </c>
      <c r="F62" s="29" t="s">
        <v>1578</v>
      </c>
      <c r="G62" s="119">
        <v>20100304</v>
      </c>
      <c r="H62" s="120" t="s">
        <v>1546</v>
      </c>
      <c r="I62" s="140" t="s">
        <v>339</v>
      </c>
      <c r="J62" s="29" t="s">
        <v>1542</v>
      </c>
      <c r="K62" s="141"/>
      <c r="L62" s="29">
        <v>100</v>
      </c>
      <c r="M62" s="142" t="s">
        <v>44</v>
      </c>
      <c r="N62" s="133"/>
    </row>
    <row r="63" ht="22.5" spans="2:14">
      <c r="B63" s="123" t="s">
        <v>1579</v>
      </c>
      <c r="C63" s="118" t="s">
        <v>1537</v>
      </c>
      <c r="D63" s="31" t="s">
        <v>1580</v>
      </c>
      <c r="E63" s="29" t="s">
        <v>1561</v>
      </c>
      <c r="F63" s="29" t="s">
        <v>1581</v>
      </c>
      <c r="G63" s="119">
        <v>20100304</v>
      </c>
      <c r="H63" s="120" t="s">
        <v>1541</v>
      </c>
      <c r="I63" s="140" t="s">
        <v>339</v>
      </c>
      <c r="J63" s="29" t="s">
        <v>1542</v>
      </c>
      <c r="K63" s="141"/>
      <c r="L63" s="29">
        <v>100</v>
      </c>
      <c r="M63" s="142" t="s">
        <v>44</v>
      </c>
      <c r="N63" s="133"/>
    </row>
    <row r="64" ht="22.5" spans="2:14">
      <c r="B64" s="123" t="s">
        <v>1582</v>
      </c>
      <c r="C64" s="118" t="s">
        <v>1537</v>
      </c>
      <c r="D64" s="31" t="s">
        <v>1583</v>
      </c>
      <c r="E64" s="29" t="s">
        <v>1561</v>
      </c>
      <c r="F64" s="29" t="s">
        <v>1584</v>
      </c>
      <c r="G64" s="119">
        <v>20100304</v>
      </c>
      <c r="H64" s="120" t="s">
        <v>1546</v>
      </c>
      <c r="I64" s="140" t="s">
        <v>339</v>
      </c>
      <c r="J64" s="29" t="s">
        <v>1542</v>
      </c>
      <c r="K64" s="141"/>
      <c r="L64" s="29">
        <v>100</v>
      </c>
      <c r="M64" s="142" t="s">
        <v>44</v>
      </c>
      <c r="N64" s="133"/>
    </row>
    <row r="65" ht="22.5" spans="2:14">
      <c r="B65" s="123" t="s">
        <v>1585</v>
      </c>
      <c r="C65" s="118" t="s">
        <v>1537</v>
      </c>
      <c r="D65" s="31" t="s">
        <v>1586</v>
      </c>
      <c r="E65" s="29" t="s">
        <v>1561</v>
      </c>
      <c r="F65" s="29" t="s">
        <v>1587</v>
      </c>
      <c r="G65" s="119">
        <v>20100304</v>
      </c>
      <c r="H65" s="120" t="s">
        <v>1546</v>
      </c>
      <c r="I65" s="140" t="s">
        <v>339</v>
      </c>
      <c r="J65" s="29" t="s">
        <v>1542</v>
      </c>
      <c r="K65" s="141"/>
      <c r="L65" s="29">
        <v>100</v>
      </c>
      <c r="M65" s="142" t="s">
        <v>44</v>
      </c>
      <c r="N65" s="133"/>
    </row>
    <row r="66" ht="22.5" spans="2:14">
      <c r="B66" s="123" t="s">
        <v>1588</v>
      </c>
      <c r="C66" s="118" t="s">
        <v>1537</v>
      </c>
      <c r="D66" s="31" t="s">
        <v>1589</v>
      </c>
      <c r="E66" s="29" t="s">
        <v>1561</v>
      </c>
      <c r="F66" s="29" t="s">
        <v>1590</v>
      </c>
      <c r="G66" s="119">
        <v>20120102</v>
      </c>
      <c r="H66" s="120" t="s">
        <v>1541</v>
      </c>
      <c r="I66" s="140" t="s">
        <v>339</v>
      </c>
      <c r="J66" s="29" t="s">
        <v>1542</v>
      </c>
      <c r="K66" s="141"/>
      <c r="L66" s="29">
        <v>100</v>
      </c>
      <c r="M66" s="142" t="s">
        <v>44</v>
      </c>
      <c r="N66" s="133"/>
    </row>
    <row r="67" ht="22.5" spans="2:14">
      <c r="B67" s="123" t="s">
        <v>1591</v>
      </c>
      <c r="C67" s="118" t="s">
        <v>1537</v>
      </c>
      <c r="D67" s="31" t="s">
        <v>1592</v>
      </c>
      <c r="E67" s="29" t="s">
        <v>1561</v>
      </c>
      <c r="F67" s="29" t="s">
        <v>1593</v>
      </c>
      <c r="G67" s="119">
        <v>20130908</v>
      </c>
      <c r="H67" s="120" t="s">
        <v>1546</v>
      </c>
      <c r="I67" s="140" t="s">
        <v>339</v>
      </c>
      <c r="J67" s="29" t="s">
        <v>1542</v>
      </c>
      <c r="K67" s="141"/>
      <c r="L67" s="29">
        <v>100</v>
      </c>
      <c r="M67" s="142" t="s">
        <v>44</v>
      </c>
      <c r="N67" s="133"/>
    </row>
    <row r="68" ht="22.5" spans="2:14">
      <c r="B68" s="122" t="s">
        <v>1594</v>
      </c>
      <c r="C68" s="118" t="s">
        <v>1537</v>
      </c>
      <c r="D68" s="31" t="s">
        <v>1595</v>
      </c>
      <c r="E68" s="29" t="s">
        <v>1561</v>
      </c>
      <c r="F68" s="29" t="s">
        <v>1596</v>
      </c>
      <c r="G68" s="119">
        <v>20100304</v>
      </c>
      <c r="H68" s="120" t="s">
        <v>1546</v>
      </c>
      <c r="I68" s="140" t="s">
        <v>339</v>
      </c>
      <c r="J68" s="29" t="s">
        <v>1542</v>
      </c>
      <c r="K68" s="141"/>
      <c r="L68" s="29">
        <v>100</v>
      </c>
      <c r="M68" s="142" t="s">
        <v>44</v>
      </c>
      <c r="N68" s="133"/>
    </row>
    <row r="69" ht="22.5" spans="2:14">
      <c r="B69" s="122" t="s">
        <v>6</v>
      </c>
      <c r="C69" s="118" t="s">
        <v>1537</v>
      </c>
      <c r="D69" s="31" t="s">
        <v>1595</v>
      </c>
      <c r="E69" s="29" t="s">
        <v>1561</v>
      </c>
      <c r="F69" s="29" t="s">
        <v>1597</v>
      </c>
      <c r="G69" s="119">
        <v>20100304</v>
      </c>
      <c r="H69" s="120" t="s">
        <v>1546</v>
      </c>
      <c r="I69" s="140" t="s">
        <v>339</v>
      </c>
      <c r="J69" s="29" t="s">
        <v>1542</v>
      </c>
      <c r="K69" s="141"/>
      <c r="L69" s="29">
        <v>100</v>
      </c>
      <c r="M69" s="142" t="s">
        <v>44</v>
      </c>
      <c r="N69" s="133"/>
    </row>
    <row r="70" spans="2:14">
      <c r="B70" s="129" t="s">
        <v>17</v>
      </c>
      <c r="C70" s="143" t="s">
        <v>388</v>
      </c>
      <c r="D70" s="31"/>
      <c r="E70" s="144" t="s">
        <v>1598</v>
      </c>
      <c r="F70" s="119" t="s">
        <v>1599</v>
      </c>
      <c r="G70" s="119"/>
      <c r="H70" s="31"/>
      <c r="I70" s="31"/>
      <c r="J70" s="147">
        <v>45394</v>
      </c>
      <c r="K70" s="94">
        <v>45758</v>
      </c>
      <c r="L70" s="148">
        <v>2000</v>
      </c>
      <c r="M70" s="29" t="s">
        <v>365</v>
      </c>
      <c r="N70" s="29" t="s">
        <v>366</v>
      </c>
    </row>
    <row r="71" spans="2:15">
      <c r="B71" s="129" t="s">
        <v>171</v>
      </c>
      <c r="C71" s="118" t="s">
        <v>1452</v>
      </c>
      <c r="D71" s="31" t="s">
        <v>1600</v>
      </c>
      <c r="E71" s="119" t="s">
        <v>363</v>
      </c>
      <c r="F71" s="119" t="s">
        <v>1601</v>
      </c>
      <c r="G71" s="119" t="s">
        <v>1602</v>
      </c>
      <c r="H71" s="119" t="s">
        <v>1603</v>
      </c>
      <c r="I71" s="31" t="s">
        <v>42</v>
      </c>
      <c r="J71" s="147">
        <v>45743</v>
      </c>
      <c r="K71" s="94">
        <v>46107</v>
      </c>
      <c r="L71" s="148">
        <v>1200</v>
      </c>
      <c r="M71" s="149" t="s">
        <v>44</v>
      </c>
      <c r="N71" s="82"/>
      <c r="O71" s="119"/>
    </row>
    <row r="72" spans="2:15">
      <c r="B72" s="97" t="s">
        <v>171</v>
      </c>
      <c r="C72" s="4" t="s">
        <v>1452</v>
      </c>
      <c r="D72" s="5" t="s">
        <v>1604</v>
      </c>
      <c r="E72" s="17" t="s">
        <v>1454</v>
      </c>
      <c r="F72" s="17" t="s">
        <v>1605</v>
      </c>
      <c r="G72" s="17" t="s">
        <v>49</v>
      </c>
      <c r="H72" s="17" t="s">
        <v>1603</v>
      </c>
      <c r="I72" s="5" t="s">
        <v>42</v>
      </c>
      <c r="J72" s="150">
        <v>45383</v>
      </c>
      <c r="K72" s="150">
        <v>45747</v>
      </c>
      <c r="L72" s="151">
        <v>1200</v>
      </c>
      <c r="M72" s="128" t="s">
        <v>44</v>
      </c>
      <c r="N72" s="82"/>
      <c r="O72" s="119"/>
    </row>
    <row r="73" spans="2:15">
      <c r="B73" s="129" t="s">
        <v>245</v>
      </c>
      <c r="C73" s="143" t="s">
        <v>1606</v>
      </c>
      <c r="D73" s="31" t="s">
        <v>251</v>
      </c>
      <c r="E73" s="144" t="s">
        <v>363</v>
      </c>
      <c r="F73" s="144" t="s">
        <v>1607</v>
      </c>
      <c r="G73" s="119" t="s">
        <v>66</v>
      </c>
      <c r="H73" s="31" t="s">
        <v>42</v>
      </c>
      <c r="I73" s="31" t="s">
        <v>42</v>
      </c>
      <c r="J73" s="147">
        <v>45743</v>
      </c>
      <c r="K73" s="94">
        <v>46107</v>
      </c>
      <c r="L73" s="148">
        <v>1200</v>
      </c>
      <c r="M73" s="149" t="s">
        <v>44</v>
      </c>
      <c r="N73" s="82"/>
      <c r="O73" s="82"/>
    </row>
    <row r="74" spans="2:15">
      <c r="B74" s="129" t="s">
        <v>245</v>
      </c>
      <c r="C74" s="143" t="s">
        <v>1606</v>
      </c>
      <c r="D74" s="31" t="s">
        <v>253</v>
      </c>
      <c r="E74" s="144" t="s">
        <v>363</v>
      </c>
      <c r="F74" s="144" t="s">
        <v>1608</v>
      </c>
      <c r="G74" s="119" t="s">
        <v>66</v>
      </c>
      <c r="H74" s="31" t="s">
        <v>42</v>
      </c>
      <c r="I74" s="31" t="s">
        <v>42</v>
      </c>
      <c r="J74" s="147">
        <v>45743</v>
      </c>
      <c r="K74" s="94">
        <v>46107</v>
      </c>
      <c r="L74" s="148">
        <v>1200</v>
      </c>
      <c r="M74" s="149" t="s">
        <v>44</v>
      </c>
      <c r="N74" s="82"/>
      <c r="O74" s="82"/>
    </row>
    <row r="75" spans="2:15">
      <c r="B75" s="129" t="s">
        <v>245</v>
      </c>
      <c r="C75" s="143" t="s">
        <v>1606</v>
      </c>
      <c r="D75" s="31" t="s">
        <v>254</v>
      </c>
      <c r="E75" s="144" t="s">
        <v>363</v>
      </c>
      <c r="F75" s="144" t="s">
        <v>1609</v>
      </c>
      <c r="G75" s="119" t="s">
        <v>1610</v>
      </c>
      <c r="H75" s="31" t="s">
        <v>42</v>
      </c>
      <c r="I75" s="31" t="s">
        <v>42</v>
      </c>
      <c r="J75" s="147">
        <v>45743</v>
      </c>
      <c r="K75" s="94">
        <v>46107</v>
      </c>
      <c r="L75" s="148">
        <v>1200</v>
      </c>
      <c r="M75" s="149" t="s">
        <v>44</v>
      </c>
      <c r="N75" s="82"/>
      <c r="O75" s="82"/>
    </row>
    <row r="76" ht="22.5" spans="2:16">
      <c r="B76" s="129" t="s">
        <v>1611</v>
      </c>
      <c r="C76" s="118" t="s">
        <v>139</v>
      </c>
      <c r="D76" s="119"/>
      <c r="E76" s="119" t="s">
        <v>163</v>
      </c>
      <c r="F76" s="31" t="s">
        <v>650</v>
      </c>
      <c r="G76" s="119" t="s">
        <v>1612</v>
      </c>
      <c r="H76" s="119" t="s">
        <v>165</v>
      </c>
      <c r="I76" s="119"/>
      <c r="J76" s="94">
        <v>45593</v>
      </c>
      <c r="K76" s="152">
        <v>45774</v>
      </c>
      <c r="L76" s="148">
        <v>100</v>
      </c>
      <c r="M76" s="29" t="s">
        <v>44</v>
      </c>
      <c r="N76" s="82"/>
      <c r="O76" s="82"/>
      <c r="P76" s="82"/>
    </row>
    <row r="77" ht="22.5" spans="2:16">
      <c r="B77" s="129" t="s">
        <v>1613</v>
      </c>
      <c r="C77" s="118" t="s">
        <v>139</v>
      </c>
      <c r="D77" s="119"/>
      <c r="E77" s="119" t="s">
        <v>163</v>
      </c>
      <c r="F77" s="31" t="s">
        <v>1614</v>
      </c>
      <c r="G77" s="119" t="s">
        <v>1612</v>
      </c>
      <c r="H77" s="119" t="s">
        <v>165</v>
      </c>
      <c r="I77" s="119"/>
      <c r="J77" s="94">
        <v>45593</v>
      </c>
      <c r="K77" s="152">
        <v>45774</v>
      </c>
      <c r="L77" s="148">
        <v>100</v>
      </c>
      <c r="M77" s="29" t="s">
        <v>44</v>
      </c>
      <c r="N77" s="82"/>
      <c r="O77" s="82"/>
      <c r="P77" s="82"/>
    </row>
    <row r="78" ht="22.5" spans="2:17">
      <c r="B78" s="65" t="s">
        <v>827</v>
      </c>
      <c r="C78" s="7" t="s">
        <v>1032</v>
      </c>
      <c r="D78" s="5"/>
      <c r="E78" s="5" t="s">
        <v>1615</v>
      </c>
      <c r="F78" s="17"/>
      <c r="G78" s="5"/>
      <c r="H78" s="5"/>
      <c r="I78" s="5"/>
      <c r="J78" s="5"/>
      <c r="K78" s="7"/>
      <c r="L78" s="7" t="s">
        <v>674</v>
      </c>
      <c r="M78" s="153">
        <v>45008</v>
      </c>
      <c r="N78" s="7"/>
      <c r="O78" s="7">
        <v>336</v>
      </c>
      <c r="P78" s="30"/>
      <c r="Q78" s="30"/>
    </row>
    <row r="79" ht="23.25" spans="2:17">
      <c r="B79" s="65" t="s">
        <v>827</v>
      </c>
      <c r="C79" s="7" t="s">
        <v>1108</v>
      </c>
      <c r="D79" s="5"/>
      <c r="E79" s="5" t="s">
        <v>1616</v>
      </c>
      <c r="F79" s="17"/>
      <c r="G79" s="5"/>
      <c r="H79" s="5"/>
      <c r="I79" s="5"/>
      <c r="J79" s="5"/>
      <c r="K79" s="7"/>
      <c r="L79" s="7" t="s">
        <v>674</v>
      </c>
      <c r="M79" s="153">
        <v>45008</v>
      </c>
      <c r="N79" s="7"/>
      <c r="O79" s="7">
        <v>300</v>
      </c>
      <c r="P79" s="154" t="s">
        <v>1617</v>
      </c>
      <c r="Q79" s="154"/>
    </row>
    <row r="80" ht="22.5" spans="2:17">
      <c r="B80" s="65" t="s">
        <v>827</v>
      </c>
      <c r="C80" s="7" t="s">
        <v>818</v>
      </c>
      <c r="D80" s="5"/>
      <c r="E80" s="5" t="s">
        <v>1618</v>
      </c>
      <c r="F80" s="17"/>
      <c r="G80" s="5"/>
      <c r="H80" s="5"/>
      <c r="I80" s="5"/>
      <c r="J80" s="5"/>
      <c r="K80" s="7"/>
      <c r="L80" s="7" t="s">
        <v>674</v>
      </c>
      <c r="M80" s="153">
        <v>45008</v>
      </c>
      <c r="N80" s="7"/>
      <c r="O80" s="7">
        <v>300</v>
      </c>
      <c r="P80" s="154"/>
      <c r="Q80" s="154"/>
    </row>
    <row r="81" ht="22.5" spans="2:17">
      <c r="B81" s="65" t="s">
        <v>827</v>
      </c>
      <c r="C81" s="7" t="s">
        <v>1619</v>
      </c>
      <c r="D81" s="5"/>
      <c r="E81" s="5" t="s">
        <v>1620</v>
      </c>
      <c r="F81" s="17"/>
      <c r="G81" s="5"/>
      <c r="H81" s="5"/>
      <c r="I81" s="5"/>
      <c r="J81" s="5"/>
      <c r="K81" s="7"/>
      <c r="L81" s="7" t="s">
        <v>674</v>
      </c>
      <c r="M81" s="153">
        <v>45008</v>
      </c>
      <c r="N81" s="7"/>
      <c r="O81" s="7">
        <v>250</v>
      </c>
      <c r="P81" s="154"/>
      <c r="Q81" s="154"/>
    </row>
    <row r="82" ht="22.5" spans="2:17">
      <c r="B82" s="65" t="s">
        <v>827</v>
      </c>
      <c r="C82" s="7" t="s">
        <v>1619</v>
      </c>
      <c r="D82" s="5"/>
      <c r="E82" s="5" t="s">
        <v>1620</v>
      </c>
      <c r="F82" s="17"/>
      <c r="G82" s="5"/>
      <c r="H82" s="5"/>
      <c r="I82" s="5"/>
      <c r="J82" s="5"/>
      <c r="K82" s="7"/>
      <c r="L82" s="7" t="s">
        <v>674</v>
      </c>
      <c r="M82" s="153">
        <v>45008</v>
      </c>
      <c r="N82" s="7"/>
      <c r="O82" s="7">
        <v>250</v>
      </c>
      <c r="P82" s="154"/>
      <c r="Q82" s="154"/>
    </row>
    <row r="83" ht="22.5" spans="2:17">
      <c r="B83" s="65" t="s">
        <v>827</v>
      </c>
      <c r="C83" s="7" t="s">
        <v>1621</v>
      </c>
      <c r="D83" s="5"/>
      <c r="E83" s="5" t="s">
        <v>1622</v>
      </c>
      <c r="F83" s="17"/>
      <c r="G83" s="5"/>
      <c r="H83" s="5"/>
      <c r="I83" s="5"/>
      <c r="J83" s="5"/>
      <c r="K83" s="7"/>
      <c r="L83" s="7" t="s">
        <v>674</v>
      </c>
      <c r="M83" s="153">
        <v>45008</v>
      </c>
      <c r="N83" s="7"/>
      <c r="O83" s="7">
        <v>240</v>
      </c>
      <c r="P83" s="154"/>
      <c r="Q83" s="154"/>
    </row>
    <row r="84" ht="22.5" spans="2:17">
      <c r="B84" s="65" t="s">
        <v>827</v>
      </c>
      <c r="C84" s="7" t="s">
        <v>1621</v>
      </c>
      <c r="D84" s="5"/>
      <c r="E84" s="5" t="s">
        <v>1622</v>
      </c>
      <c r="F84" s="17"/>
      <c r="G84" s="5"/>
      <c r="H84" s="5"/>
      <c r="I84" s="5"/>
      <c r="J84" s="5"/>
      <c r="K84" s="7"/>
      <c r="L84" s="7" t="s">
        <v>674</v>
      </c>
      <c r="M84" s="153">
        <v>45008</v>
      </c>
      <c r="N84" s="7"/>
      <c r="O84" s="7">
        <v>240</v>
      </c>
      <c r="P84" s="154"/>
      <c r="Q84" s="154"/>
    </row>
    <row r="85" ht="22.5" spans="2:17">
      <c r="B85" s="65" t="s">
        <v>827</v>
      </c>
      <c r="C85" s="7" t="s">
        <v>925</v>
      </c>
      <c r="D85" s="5"/>
      <c r="E85" s="5" t="s">
        <v>926</v>
      </c>
      <c r="F85" s="17"/>
      <c r="G85" s="5"/>
      <c r="H85" s="5"/>
      <c r="I85" s="5"/>
      <c r="J85" s="5"/>
      <c r="K85" s="7"/>
      <c r="L85" s="7" t="s">
        <v>674</v>
      </c>
      <c r="M85" s="153">
        <v>45008</v>
      </c>
      <c r="N85" s="7"/>
      <c r="O85" s="7">
        <v>300</v>
      </c>
      <c r="P85" s="154"/>
      <c r="Q85" s="154"/>
    </row>
    <row r="86" ht="24" spans="2:17">
      <c r="B86" s="65" t="s">
        <v>827</v>
      </c>
      <c r="C86" s="7" t="s">
        <v>70</v>
      </c>
      <c r="D86" s="145" t="s">
        <v>1047</v>
      </c>
      <c r="E86" s="145" t="s">
        <v>402</v>
      </c>
      <c r="F86" s="146" t="s">
        <v>1059</v>
      </c>
      <c r="G86" s="146" t="s">
        <v>1044</v>
      </c>
      <c r="H86" s="146" t="s">
        <v>728</v>
      </c>
      <c r="I86" s="155" t="s">
        <v>1049</v>
      </c>
      <c r="J86" s="145" t="s">
        <v>667</v>
      </c>
      <c r="K86" s="156" t="s">
        <v>1623</v>
      </c>
      <c r="L86" s="106" t="s">
        <v>674</v>
      </c>
      <c r="M86" s="153">
        <v>45051</v>
      </c>
      <c r="N86" s="7"/>
      <c r="O86" s="7">
        <v>240</v>
      </c>
      <c r="P86" s="157"/>
      <c r="Q86" s="157"/>
    </row>
    <row r="87" ht="24" spans="2:17">
      <c r="B87" s="65" t="s">
        <v>827</v>
      </c>
      <c r="C87" s="7" t="s">
        <v>1624</v>
      </c>
      <c r="D87" s="5"/>
      <c r="E87" s="5" t="s">
        <v>1625</v>
      </c>
      <c r="F87" s="17"/>
      <c r="G87" s="5"/>
      <c r="H87" s="5"/>
      <c r="I87" s="5"/>
      <c r="J87" s="5"/>
      <c r="K87" s="7"/>
      <c r="L87" s="7" t="s">
        <v>674</v>
      </c>
      <c r="M87" s="153">
        <v>45008</v>
      </c>
      <c r="N87" s="7"/>
      <c r="O87" s="7">
        <v>500</v>
      </c>
      <c r="P87" s="158"/>
      <c r="Q87" s="158"/>
    </row>
    <row r="88" ht="22.5" spans="2:17">
      <c r="B88" s="16" t="s">
        <v>827</v>
      </c>
      <c r="C88" s="7" t="s">
        <v>1019</v>
      </c>
      <c r="D88" s="5"/>
      <c r="E88" s="5" t="s">
        <v>1021</v>
      </c>
      <c r="F88" s="17"/>
      <c r="G88" s="5"/>
      <c r="H88" s="5"/>
      <c r="I88" s="5"/>
      <c r="J88" s="5"/>
      <c r="K88" s="7"/>
      <c r="L88" s="7" t="s">
        <v>674</v>
      </c>
      <c r="M88" s="153">
        <v>45008</v>
      </c>
      <c r="N88" s="7"/>
      <c r="O88" s="7">
        <v>400</v>
      </c>
      <c r="P88" s="159" t="s">
        <v>1626</v>
      </c>
      <c r="Q88" s="165"/>
    </row>
    <row r="89" ht="22.5" spans="2:17">
      <c r="B89" s="16" t="s">
        <v>827</v>
      </c>
      <c r="C89" s="7" t="s">
        <v>1627</v>
      </c>
      <c r="D89" s="5"/>
      <c r="E89" s="5" t="s">
        <v>1628</v>
      </c>
      <c r="F89" s="17"/>
      <c r="G89" s="5"/>
      <c r="H89" s="5"/>
      <c r="I89" s="5"/>
      <c r="J89" s="5"/>
      <c r="K89" s="7"/>
      <c r="L89" s="7" t="s">
        <v>674</v>
      </c>
      <c r="M89" s="153">
        <v>45008</v>
      </c>
      <c r="N89" s="7"/>
      <c r="O89" s="7">
        <v>500</v>
      </c>
      <c r="P89" s="160"/>
      <c r="Q89" s="165"/>
    </row>
    <row r="90" ht="24" spans="2:17">
      <c r="B90" s="16" t="s">
        <v>827</v>
      </c>
      <c r="C90" s="7" t="s">
        <v>1629</v>
      </c>
      <c r="D90" s="5"/>
      <c r="E90" s="5" t="s">
        <v>1630</v>
      </c>
      <c r="F90" s="17"/>
      <c r="G90" s="5"/>
      <c r="H90" s="5"/>
      <c r="I90" s="5"/>
      <c r="J90" s="5"/>
      <c r="K90" s="7"/>
      <c r="L90" s="7" t="s">
        <v>674</v>
      </c>
      <c r="M90" s="7" t="s">
        <v>1161</v>
      </c>
      <c r="N90" s="7"/>
      <c r="O90" s="7"/>
      <c r="P90" s="160"/>
      <c r="Q90" s="165"/>
    </row>
    <row r="91" ht="24" spans="2:17">
      <c r="B91" s="65" t="s">
        <v>995</v>
      </c>
      <c r="C91" s="7" t="s">
        <v>358</v>
      </c>
      <c r="D91" s="5"/>
      <c r="E91" s="5" t="s">
        <v>1631</v>
      </c>
      <c r="F91" s="17" t="s">
        <v>1632</v>
      </c>
      <c r="G91" s="5"/>
      <c r="H91" s="5"/>
      <c r="I91" s="5"/>
      <c r="J91" s="5"/>
      <c r="K91" s="7"/>
      <c r="L91" s="7" t="s">
        <v>674</v>
      </c>
      <c r="M91" s="7" t="s">
        <v>1633</v>
      </c>
      <c r="N91" s="7"/>
      <c r="O91" s="29">
        <v>300</v>
      </c>
      <c r="P91" s="160"/>
      <c r="Q91" s="165"/>
    </row>
    <row r="92" ht="24" spans="2:17">
      <c r="B92" s="65" t="s">
        <v>995</v>
      </c>
      <c r="C92" s="7" t="s">
        <v>1634</v>
      </c>
      <c r="D92" s="5"/>
      <c r="E92" s="5" t="s">
        <v>1635</v>
      </c>
      <c r="F92" s="17" t="s">
        <v>1636</v>
      </c>
      <c r="G92" s="5"/>
      <c r="H92" s="5"/>
      <c r="I92" s="5"/>
      <c r="J92" s="5"/>
      <c r="K92" s="7"/>
      <c r="L92" s="7" t="s">
        <v>674</v>
      </c>
      <c r="M92" s="153">
        <v>45012</v>
      </c>
      <c r="N92" s="7"/>
      <c r="O92" s="7">
        <v>1260</v>
      </c>
      <c r="P92" s="160"/>
      <c r="Q92" s="165"/>
    </row>
    <row r="93" ht="23.25" spans="2:17">
      <c r="B93" s="65" t="s">
        <v>827</v>
      </c>
      <c r="C93" s="7" t="s">
        <v>1637</v>
      </c>
      <c r="D93" s="5"/>
      <c r="E93" s="5" t="s">
        <v>1638</v>
      </c>
      <c r="F93" s="17"/>
      <c r="G93" s="5"/>
      <c r="H93" s="5"/>
      <c r="I93" s="5"/>
      <c r="J93" s="5"/>
      <c r="K93" s="7"/>
      <c r="L93" s="161" t="s">
        <v>674</v>
      </c>
      <c r="M93" s="153">
        <v>45063</v>
      </c>
      <c r="N93" s="7"/>
      <c r="O93" s="7">
        <v>120</v>
      </c>
      <c r="P93" s="75" t="s">
        <v>1480</v>
      </c>
      <c r="Q93" s="30"/>
    </row>
    <row r="94" spans="2:17">
      <c r="B94" s="65" t="s">
        <v>827</v>
      </c>
      <c r="C94" s="7" t="s">
        <v>1639</v>
      </c>
      <c r="D94" s="5"/>
      <c r="E94" s="5" t="s">
        <v>1640</v>
      </c>
      <c r="F94" s="17"/>
      <c r="G94" s="5"/>
      <c r="H94" s="5"/>
      <c r="I94" s="5"/>
      <c r="J94" s="5"/>
      <c r="K94" s="7"/>
      <c r="L94" s="7"/>
      <c r="M94" s="153">
        <v>45063</v>
      </c>
      <c r="N94" s="7"/>
      <c r="O94" s="7">
        <v>60</v>
      </c>
      <c r="P94" s="30"/>
      <c r="Q94" s="30"/>
    </row>
    <row r="95" ht="24" spans="2:17">
      <c r="B95" s="65" t="s">
        <v>995</v>
      </c>
      <c r="C95" s="7" t="s">
        <v>398</v>
      </c>
      <c r="D95" s="5"/>
      <c r="E95" s="5" t="s">
        <v>1641</v>
      </c>
      <c r="F95" s="17" t="s">
        <v>1642</v>
      </c>
      <c r="G95" s="5"/>
      <c r="H95" s="5"/>
      <c r="I95" s="5"/>
      <c r="J95" s="5"/>
      <c r="K95" s="7"/>
      <c r="L95" s="7" t="s">
        <v>674</v>
      </c>
      <c r="M95" s="153">
        <v>44994</v>
      </c>
      <c r="N95" s="7"/>
      <c r="O95" s="7">
        <v>300</v>
      </c>
      <c r="P95" s="30"/>
      <c r="Q95" s="30"/>
    </row>
    <row r="96" ht="24" spans="2:17">
      <c r="B96" s="65" t="s">
        <v>995</v>
      </c>
      <c r="C96" s="7" t="s">
        <v>398</v>
      </c>
      <c r="D96" s="5"/>
      <c r="E96" s="5" t="s">
        <v>1643</v>
      </c>
      <c r="F96" s="17" t="s">
        <v>1644</v>
      </c>
      <c r="G96" s="5"/>
      <c r="H96" s="5"/>
      <c r="I96" s="5"/>
      <c r="J96" s="5"/>
      <c r="K96" s="7"/>
      <c r="L96" s="7" t="s">
        <v>674</v>
      </c>
      <c r="M96" s="153">
        <v>44994</v>
      </c>
      <c r="N96" s="7"/>
      <c r="O96" s="7">
        <v>300</v>
      </c>
      <c r="P96" s="30"/>
      <c r="Q96" s="30"/>
    </row>
    <row r="97" ht="24" spans="2:17">
      <c r="B97" s="65" t="s">
        <v>995</v>
      </c>
      <c r="C97" s="7" t="s">
        <v>398</v>
      </c>
      <c r="D97" s="5"/>
      <c r="E97" s="5" t="s">
        <v>1645</v>
      </c>
      <c r="F97" s="17" t="s">
        <v>1646</v>
      </c>
      <c r="G97" s="5"/>
      <c r="H97" s="5"/>
      <c r="I97" s="5"/>
      <c r="J97" s="5"/>
      <c r="K97" s="7"/>
      <c r="L97" s="7" t="s">
        <v>674</v>
      </c>
      <c r="M97" s="153">
        <v>44994</v>
      </c>
      <c r="N97" s="7"/>
      <c r="O97" s="7">
        <v>300</v>
      </c>
      <c r="P97" s="30"/>
      <c r="Q97" s="30"/>
    </row>
    <row r="98" ht="24" spans="2:17">
      <c r="B98" s="65" t="s">
        <v>995</v>
      </c>
      <c r="C98" s="7" t="s">
        <v>398</v>
      </c>
      <c r="D98" s="5"/>
      <c r="E98" s="5" t="s">
        <v>1647</v>
      </c>
      <c r="F98" s="17" t="s">
        <v>1648</v>
      </c>
      <c r="G98" s="5"/>
      <c r="H98" s="5"/>
      <c r="I98" s="5"/>
      <c r="J98" s="5"/>
      <c r="K98" s="7"/>
      <c r="L98" s="7" t="s">
        <v>674</v>
      </c>
      <c r="M98" s="153">
        <v>44994</v>
      </c>
      <c r="N98" s="7"/>
      <c r="O98" s="7">
        <v>300</v>
      </c>
      <c r="P98" s="30"/>
      <c r="Q98" s="30"/>
    </row>
    <row r="99" ht="24" spans="2:17">
      <c r="B99" s="65" t="s">
        <v>995</v>
      </c>
      <c r="C99" s="7" t="s">
        <v>398</v>
      </c>
      <c r="D99" s="5"/>
      <c r="E99" s="5" t="s">
        <v>1649</v>
      </c>
      <c r="F99" s="17" t="s">
        <v>1650</v>
      </c>
      <c r="G99" s="5"/>
      <c r="H99" s="5"/>
      <c r="I99" s="5"/>
      <c r="J99" s="5"/>
      <c r="K99" s="7"/>
      <c r="L99" s="7" t="s">
        <v>674</v>
      </c>
      <c r="M99" s="153">
        <v>44994</v>
      </c>
      <c r="N99" s="7"/>
      <c r="O99" s="7">
        <v>300</v>
      </c>
      <c r="P99" s="30"/>
      <c r="Q99" s="30"/>
    </row>
    <row r="100" ht="24" spans="2:17">
      <c r="B100" s="65" t="s">
        <v>995</v>
      </c>
      <c r="C100" s="7" t="s">
        <v>398</v>
      </c>
      <c r="D100" s="5"/>
      <c r="E100" s="5" t="s">
        <v>1651</v>
      </c>
      <c r="F100" s="17" t="s">
        <v>1652</v>
      </c>
      <c r="G100" s="5"/>
      <c r="H100" s="5"/>
      <c r="I100" s="5"/>
      <c r="J100" s="5"/>
      <c r="K100" s="7"/>
      <c r="L100" s="7" t="s">
        <v>674</v>
      </c>
      <c r="M100" s="153">
        <v>44994</v>
      </c>
      <c r="N100" s="7"/>
      <c r="O100" s="7">
        <v>300</v>
      </c>
      <c r="P100" s="30"/>
      <c r="Q100" s="30"/>
    </row>
    <row r="101" ht="24" spans="2:17">
      <c r="B101" s="65" t="s">
        <v>995</v>
      </c>
      <c r="C101" s="7" t="s">
        <v>398</v>
      </c>
      <c r="D101" s="5"/>
      <c r="E101" s="5" t="s">
        <v>1653</v>
      </c>
      <c r="F101" s="17" t="s">
        <v>1654</v>
      </c>
      <c r="G101" s="5"/>
      <c r="H101" s="5"/>
      <c r="I101" s="5"/>
      <c r="J101" s="5"/>
      <c r="K101" s="7"/>
      <c r="L101" s="7" t="s">
        <v>674</v>
      </c>
      <c r="M101" s="153">
        <v>44994</v>
      </c>
      <c r="N101" s="7"/>
      <c r="O101" s="7">
        <v>300</v>
      </c>
      <c r="P101" s="30"/>
      <c r="Q101" s="30"/>
    </row>
    <row r="102" ht="24" spans="2:17">
      <c r="B102" s="65" t="s">
        <v>995</v>
      </c>
      <c r="C102" s="7" t="s">
        <v>398</v>
      </c>
      <c r="D102" s="5"/>
      <c r="E102" s="5" t="s">
        <v>1655</v>
      </c>
      <c r="F102" s="17" t="s">
        <v>1656</v>
      </c>
      <c r="G102" s="5"/>
      <c r="H102" s="5"/>
      <c r="I102" s="5"/>
      <c r="J102" s="5"/>
      <c r="K102" s="7"/>
      <c r="L102" s="7" t="s">
        <v>674</v>
      </c>
      <c r="M102" s="153">
        <v>44994</v>
      </c>
      <c r="N102" s="7"/>
      <c r="O102" s="7">
        <v>300</v>
      </c>
      <c r="P102" s="30"/>
      <c r="Q102" s="30"/>
    </row>
    <row r="103" ht="24" spans="2:17">
      <c r="B103" s="65" t="s">
        <v>995</v>
      </c>
      <c r="C103" s="7" t="s">
        <v>398</v>
      </c>
      <c r="D103" s="5"/>
      <c r="E103" s="5" t="s">
        <v>1657</v>
      </c>
      <c r="F103" s="17" t="s">
        <v>1658</v>
      </c>
      <c r="G103" s="5"/>
      <c r="H103" s="5"/>
      <c r="I103" s="5"/>
      <c r="J103" s="5"/>
      <c r="K103" s="7"/>
      <c r="L103" s="7" t="s">
        <v>674</v>
      </c>
      <c r="M103" s="153">
        <v>44994</v>
      </c>
      <c r="N103" s="7"/>
      <c r="O103" s="7">
        <v>300</v>
      </c>
      <c r="P103" s="30"/>
      <c r="Q103" s="30"/>
    </row>
    <row r="104" ht="24" spans="2:17">
      <c r="B104" s="65" t="s">
        <v>995</v>
      </c>
      <c r="C104" s="7" t="s">
        <v>398</v>
      </c>
      <c r="D104" s="5"/>
      <c r="E104" s="5" t="s">
        <v>1659</v>
      </c>
      <c r="F104" s="17" t="s">
        <v>1660</v>
      </c>
      <c r="G104" s="5"/>
      <c r="H104" s="5"/>
      <c r="I104" s="5"/>
      <c r="J104" s="5"/>
      <c r="K104" s="7"/>
      <c r="L104" s="7" t="s">
        <v>674</v>
      </c>
      <c r="M104" s="153">
        <v>44994</v>
      </c>
      <c r="N104" s="7"/>
      <c r="O104" s="7">
        <v>300</v>
      </c>
      <c r="P104" s="30"/>
      <c r="Q104" s="30"/>
    </row>
    <row r="105" ht="24" spans="2:17">
      <c r="B105" s="65" t="s">
        <v>995</v>
      </c>
      <c r="C105" s="7" t="s">
        <v>398</v>
      </c>
      <c r="D105" s="5"/>
      <c r="E105" s="5" t="s">
        <v>1641</v>
      </c>
      <c r="F105" s="17" t="s">
        <v>1661</v>
      </c>
      <c r="G105" s="5"/>
      <c r="H105" s="5"/>
      <c r="I105" s="5"/>
      <c r="J105" s="5"/>
      <c r="K105" s="7"/>
      <c r="L105" s="7" t="s">
        <v>674</v>
      </c>
      <c r="M105" s="153">
        <v>44994</v>
      </c>
      <c r="N105" s="7"/>
      <c r="O105" s="7">
        <v>300</v>
      </c>
      <c r="P105" s="30"/>
      <c r="Q105" s="30"/>
    </row>
    <row r="106" ht="22.5" spans="2:17">
      <c r="B106" s="65" t="s">
        <v>995</v>
      </c>
      <c r="C106" s="7" t="s">
        <v>89</v>
      </c>
      <c r="D106" s="5"/>
      <c r="E106" s="5" t="s">
        <v>1063</v>
      </c>
      <c r="F106" s="17" t="s">
        <v>1662</v>
      </c>
      <c r="G106" s="5"/>
      <c r="H106" s="5"/>
      <c r="I106" s="5"/>
      <c r="J106" s="5"/>
      <c r="K106" s="7"/>
      <c r="L106" s="7" t="s">
        <v>674</v>
      </c>
      <c r="M106" s="7"/>
      <c r="N106" s="7"/>
      <c r="O106" s="7">
        <v>60</v>
      </c>
      <c r="P106" s="30"/>
      <c r="Q106" s="30" t="s">
        <v>1218</v>
      </c>
    </row>
    <row r="107" ht="22.5" spans="2:17">
      <c r="B107" s="65" t="s">
        <v>995</v>
      </c>
      <c r="C107" s="7" t="s">
        <v>89</v>
      </c>
      <c r="D107" s="5"/>
      <c r="E107" s="5" t="s">
        <v>1063</v>
      </c>
      <c r="F107" s="17" t="s">
        <v>1663</v>
      </c>
      <c r="G107" s="5"/>
      <c r="H107" s="5"/>
      <c r="I107" s="5"/>
      <c r="J107" s="5"/>
      <c r="K107" s="7"/>
      <c r="L107" s="7" t="s">
        <v>674</v>
      </c>
      <c r="M107" s="153">
        <v>44994</v>
      </c>
      <c r="N107" s="7"/>
      <c r="O107" s="7">
        <v>60</v>
      </c>
      <c r="P107" s="162"/>
      <c r="Q107" s="30" t="s">
        <v>1218</v>
      </c>
    </row>
    <row r="108" ht="22.5" spans="2:17">
      <c r="B108" s="65" t="s">
        <v>995</v>
      </c>
      <c r="C108" s="7" t="s">
        <v>139</v>
      </c>
      <c r="D108" s="5"/>
      <c r="E108" s="5" t="s">
        <v>141</v>
      </c>
      <c r="F108" s="17" t="s">
        <v>1664</v>
      </c>
      <c r="G108" s="5"/>
      <c r="H108" s="17" t="s">
        <v>441</v>
      </c>
      <c r="I108" s="5" t="s">
        <v>440</v>
      </c>
      <c r="J108" s="7" t="s">
        <v>997</v>
      </c>
      <c r="K108" s="7" t="s">
        <v>1665</v>
      </c>
      <c r="L108" s="7" t="s">
        <v>674</v>
      </c>
      <c r="M108" s="153">
        <v>45716</v>
      </c>
      <c r="N108" s="7"/>
      <c r="O108" s="7" t="s">
        <v>1666</v>
      </c>
      <c r="P108" s="75" t="s">
        <v>1000</v>
      </c>
      <c r="Q108" s="166" t="s">
        <v>999</v>
      </c>
    </row>
    <row r="109" ht="22.5" spans="2:17">
      <c r="B109" s="65" t="s">
        <v>995</v>
      </c>
      <c r="C109" s="7" t="s">
        <v>139</v>
      </c>
      <c r="D109" s="5"/>
      <c r="E109" s="5" t="s">
        <v>141</v>
      </c>
      <c r="F109" s="17" t="s">
        <v>1667</v>
      </c>
      <c r="G109" s="5"/>
      <c r="H109" s="17" t="s">
        <v>441</v>
      </c>
      <c r="I109" s="5" t="s">
        <v>149</v>
      </c>
      <c r="J109" s="7" t="s">
        <v>997</v>
      </c>
      <c r="K109" s="7" t="s">
        <v>1665</v>
      </c>
      <c r="L109" s="7" t="s">
        <v>674</v>
      </c>
      <c r="M109" s="153">
        <v>45716</v>
      </c>
      <c r="N109" s="7"/>
      <c r="O109" s="7" t="s">
        <v>1666</v>
      </c>
      <c r="P109" s="75" t="s">
        <v>1000</v>
      </c>
      <c r="Q109" s="166" t="s">
        <v>999</v>
      </c>
    </row>
    <row r="110" ht="22.5" spans="2:17">
      <c r="B110" s="65" t="s">
        <v>995</v>
      </c>
      <c r="C110" s="7" t="s">
        <v>139</v>
      </c>
      <c r="D110" s="5"/>
      <c r="E110" s="5" t="s">
        <v>141</v>
      </c>
      <c r="F110" s="5">
        <v>13511</v>
      </c>
      <c r="G110" s="5"/>
      <c r="H110" s="17" t="s">
        <v>466</v>
      </c>
      <c r="I110" s="5" t="s">
        <v>470</v>
      </c>
      <c r="J110" s="7" t="s">
        <v>997</v>
      </c>
      <c r="K110" s="7" t="s">
        <v>1665</v>
      </c>
      <c r="L110" s="7" t="s">
        <v>674</v>
      </c>
      <c r="M110" s="153">
        <v>45716</v>
      </c>
      <c r="N110" s="7"/>
      <c r="O110" s="7" t="s">
        <v>1666</v>
      </c>
      <c r="P110" s="75" t="s">
        <v>1000</v>
      </c>
      <c r="Q110" s="166" t="s">
        <v>999</v>
      </c>
    </row>
    <row r="111" ht="22.5" spans="2:17">
      <c r="B111" s="65" t="s">
        <v>995</v>
      </c>
      <c r="C111" s="7" t="s">
        <v>139</v>
      </c>
      <c r="D111" s="5"/>
      <c r="E111" s="5" t="s">
        <v>141</v>
      </c>
      <c r="F111" s="17" t="s">
        <v>1668</v>
      </c>
      <c r="G111" s="5"/>
      <c r="H111" s="17" t="s">
        <v>441</v>
      </c>
      <c r="I111" s="5" t="s">
        <v>440</v>
      </c>
      <c r="J111" s="7" t="s">
        <v>997</v>
      </c>
      <c r="K111" s="7" t="s">
        <v>1665</v>
      </c>
      <c r="L111" s="7" t="s">
        <v>674</v>
      </c>
      <c r="M111" s="153">
        <v>45716</v>
      </c>
      <c r="N111" s="7"/>
      <c r="O111" s="7" t="s">
        <v>1666</v>
      </c>
      <c r="P111" s="75" t="s">
        <v>1000</v>
      </c>
      <c r="Q111" s="166" t="s">
        <v>999</v>
      </c>
    </row>
    <row r="112" ht="22.5" spans="2:17">
      <c r="B112" s="65" t="s">
        <v>995</v>
      </c>
      <c r="C112" s="7" t="s">
        <v>139</v>
      </c>
      <c r="D112" s="5"/>
      <c r="E112" s="5" t="s">
        <v>141</v>
      </c>
      <c r="F112" s="17" t="s">
        <v>1669</v>
      </c>
      <c r="G112" s="5"/>
      <c r="H112" s="17" t="s">
        <v>441</v>
      </c>
      <c r="I112" s="5" t="s">
        <v>440</v>
      </c>
      <c r="J112" s="7" t="s">
        <v>997</v>
      </c>
      <c r="K112" s="7" t="s">
        <v>1665</v>
      </c>
      <c r="L112" s="7" t="s">
        <v>674</v>
      </c>
      <c r="M112" s="153">
        <v>45716</v>
      </c>
      <c r="N112" s="7"/>
      <c r="O112" s="7" t="s">
        <v>1666</v>
      </c>
      <c r="P112" s="75" t="s">
        <v>1000</v>
      </c>
      <c r="Q112" s="166" t="s">
        <v>999</v>
      </c>
    </row>
    <row r="113" ht="22.5" spans="2:17">
      <c r="B113" s="65" t="s">
        <v>995</v>
      </c>
      <c r="C113" s="7" t="s">
        <v>139</v>
      </c>
      <c r="D113" s="5"/>
      <c r="E113" s="5" t="s">
        <v>141</v>
      </c>
      <c r="F113" s="17" t="s">
        <v>1670</v>
      </c>
      <c r="G113" s="5"/>
      <c r="H113" s="17" t="s">
        <v>441</v>
      </c>
      <c r="I113" s="5" t="s">
        <v>440</v>
      </c>
      <c r="J113" s="7" t="s">
        <v>997</v>
      </c>
      <c r="K113" s="7" t="s">
        <v>1665</v>
      </c>
      <c r="L113" s="7" t="s">
        <v>674</v>
      </c>
      <c r="M113" s="153">
        <v>45716</v>
      </c>
      <c r="N113" s="7"/>
      <c r="O113" s="7" t="s">
        <v>1666</v>
      </c>
      <c r="P113" s="75" t="s">
        <v>1000</v>
      </c>
      <c r="Q113" s="166" t="s">
        <v>1017</v>
      </c>
    </row>
    <row r="114" ht="22.5" spans="2:17">
      <c r="B114" s="65" t="s">
        <v>995</v>
      </c>
      <c r="C114" s="7" t="s">
        <v>139</v>
      </c>
      <c r="D114" s="5"/>
      <c r="E114" s="5" t="s">
        <v>141</v>
      </c>
      <c r="F114" s="17" t="s">
        <v>1671</v>
      </c>
      <c r="G114" s="5"/>
      <c r="H114" s="17" t="s">
        <v>441</v>
      </c>
      <c r="I114" s="5" t="s">
        <v>440</v>
      </c>
      <c r="J114" s="7" t="s">
        <v>997</v>
      </c>
      <c r="K114" s="7" t="s">
        <v>1665</v>
      </c>
      <c r="L114" s="7" t="s">
        <v>674</v>
      </c>
      <c r="M114" s="153">
        <v>45716</v>
      </c>
      <c r="N114" s="7"/>
      <c r="O114" s="7" t="s">
        <v>1666</v>
      </c>
      <c r="P114" s="75" t="s">
        <v>1000</v>
      </c>
      <c r="Q114" s="166" t="s">
        <v>999</v>
      </c>
    </row>
    <row r="115" ht="22.5" spans="2:17">
      <c r="B115" s="65" t="s">
        <v>995</v>
      </c>
      <c r="C115" s="7" t="s">
        <v>139</v>
      </c>
      <c r="D115" s="5"/>
      <c r="E115" s="5" t="s">
        <v>141</v>
      </c>
      <c r="F115" s="17" t="s">
        <v>1672</v>
      </c>
      <c r="G115" s="5"/>
      <c r="H115" s="17" t="s">
        <v>454</v>
      </c>
      <c r="I115" s="5" t="s">
        <v>448</v>
      </c>
      <c r="J115" s="7" t="s">
        <v>997</v>
      </c>
      <c r="K115" s="7" t="s">
        <v>1665</v>
      </c>
      <c r="L115" s="7" t="s">
        <v>674</v>
      </c>
      <c r="M115" s="153">
        <v>45716</v>
      </c>
      <c r="N115" s="7"/>
      <c r="O115" s="7" t="s">
        <v>1666</v>
      </c>
      <c r="P115" s="75" t="s">
        <v>1000</v>
      </c>
      <c r="Q115" s="166" t="s">
        <v>1017</v>
      </c>
    </row>
    <row r="116" ht="22.5" spans="2:17">
      <c r="B116" s="65" t="s">
        <v>995</v>
      </c>
      <c r="C116" s="7" t="s">
        <v>139</v>
      </c>
      <c r="D116" s="5"/>
      <c r="E116" s="5" t="s">
        <v>163</v>
      </c>
      <c r="F116" s="17" t="s">
        <v>1673</v>
      </c>
      <c r="G116" s="5"/>
      <c r="H116" s="17" t="s">
        <v>446</v>
      </c>
      <c r="I116" s="5" t="s">
        <v>149</v>
      </c>
      <c r="J116" s="7" t="s">
        <v>997</v>
      </c>
      <c r="K116" s="7" t="s">
        <v>1665</v>
      </c>
      <c r="L116" s="7" t="s">
        <v>674</v>
      </c>
      <c r="M116" s="153">
        <v>45716</v>
      </c>
      <c r="N116" s="7"/>
      <c r="O116" s="7" t="s">
        <v>1666</v>
      </c>
      <c r="P116" s="75" t="s">
        <v>1005</v>
      </c>
      <c r="Q116" s="166" t="s">
        <v>181</v>
      </c>
    </row>
    <row r="117" ht="22.5" spans="2:17">
      <c r="B117" s="65" t="s">
        <v>995</v>
      </c>
      <c r="C117" s="7" t="s">
        <v>139</v>
      </c>
      <c r="D117" s="5"/>
      <c r="E117" s="5" t="s">
        <v>141</v>
      </c>
      <c r="F117" s="17" t="s">
        <v>1674</v>
      </c>
      <c r="G117" s="5"/>
      <c r="H117" s="17" t="s">
        <v>441</v>
      </c>
      <c r="I117" s="5" t="s">
        <v>440</v>
      </c>
      <c r="J117" s="7" t="s">
        <v>997</v>
      </c>
      <c r="K117" s="7" t="s">
        <v>1665</v>
      </c>
      <c r="L117" s="7" t="s">
        <v>674</v>
      </c>
      <c r="M117" s="153">
        <v>45716</v>
      </c>
      <c r="N117" s="7"/>
      <c r="O117" s="7" t="s">
        <v>1666</v>
      </c>
      <c r="P117" s="75" t="s">
        <v>1005</v>
      </c>
      <c r="Q117" s="166" t="s">
        <v>999</v>
      </c>
    </row>
    <row r="118" ht="22.5" spans="2:17">
      <c r="B118" s="65" t="s">
        <v>995</v>
      </c>
      <c r="C118" s="7" t="s">
        <v>139</v>
      </c>
      <c r="D118" s="5"/>
      <c r="E118" s="5" t="s">
        <v>141</v>
      </c>
      <c r="F118" s="17" t="s">
        <v>1675</v>
      </c>
      <c r="G118" s="5"/>
      <c r="H118" s="17" t="s">
        <v>441</v>
      </c>
      <c r="I118" s="5" t="s">
        <v>440</v>
      </c>
      <c r="J118" s="7" t="s">
        <v>997</v>
      </c>
      <c r="K118" s="7" t="s">
        <v>1665</v>
      </c>
      <c r="L118" s="7" t="s">
        <v>674</v>
      </c>
      <c r="M118" s="153">
        <v>45716</v>
      </c>
      <c r="N118" s="7"/>
      <c r="O118" s="7" t="s">
        <v>1666</v>
      </c>
      <c r="P118" s="75" t="s">
        <v>1005</v>
      </c>
      <c r="Q118" s="166" t="s">
        <v>999</v>
      </c>
    </row>
    <row r="119" ht="22.5" spans="2:17">
      <c r="B119" s="65" t="s">
        <v>995</v>
      </c>
      <c r="C119" s="7" t="s">
        <v>139</v>
      </c>
      <c r="D119" s="5"/>
      <c r="E119" s="5" t="s">
        <v>141</v>
      </c>
      <c r="F119" s="17" t="s">
        <v>1676</v>
      </c>
      <c r="G119" s="5"/>
      <c r="H119" s="17" t="s">
        <v>441</v>
      </c>
      <c r="I119" s="5" t="s">
        <v>440</v>
      </c>
      <c r="J119" s="7" t="s">
        <v>997</v>
      </c>
      <c r="K119" s="7" t="s">
        <v>1665</v>
      </c>
      <c r="L119" s="7" t="s">
        <v>674</v>
      </c>
      <c r="M119" s="153">
        <v>45716</v>
      </c>
      <c r="N119" s="7"/>
      <c r="O119" s="7" t="s">
        <v>1666</v>
      </c>
      <c r="P119" s="75" t="s">
        <v>1677</v>
      </c>
      <c r="Q119" s="166" t="s">
        <v>999</v>
      </c>
    </row>
    <row r="120" ht="22.5" spans="2:17">
      <c r="B120" s="65" t="s">
        <v>995</v>
      </c>
      <c r="C120" s="7" t="s">
        <v>139</v>
      </c>
      <c r="D120" s="5"/>
      <c r="E120" s="5" t="s">
        <v>141</v>
      </c>
      <c r="F120" s="17" t="s">
        <v>1678</v>
      </c>
      <c r="G120" s="5"/>
      <c r="H120" s="17" t="s">
        <v>441</v>
      </c>
      <c r="I120" s="5" t="s">
        <v>440</v>
      </c>
      <c r="J120" s="7" t="s">
        <v>997</v>
      </c>
      <c r="K120" s="7" t="s">
        <v>1665</v>
      </c>
      <c r="L120" s="7" t="s">
        <v>674</v>
      </c>
      <c r="M120" s="153">
        <v>45716</v>
      </c>
      <c r="N120" s="7"/>
      <c r="O120" s="7" t="s">
        <v>1666</v>
      </c>
      <c r="P120" s="75" t="s">
        <v>1677</v>
      </c>
      <c r="Q120" s="166" t="s">
        <v>999</v>
      </c>
    </row>
    <row r="121" ht="22.5" spans="2:17">
      <c r="B121" s="65" t="s">
        <v>995</v>
      </c>
      <c r="C121" s="7" t="s">
        <v>139</v>
      </c>
      <c r="D121" s="5"/>
      <c r="E121" s="5" t="s">
        <v>141</v>
      </c>
      <c r="F121" s="17" t="s">
        <v>1679</v>
      </c>
      <c r="G121" s="5"/>
      <c r="H121" s="17" t="s">
        <v>466</v>
      </c>
      <c r="I121" s="5" t="s">
        <v>470</v>
      </c>
      <c r="J121" s="7" t="s">
        <v>997</v>
      </c>
      <c r="K121" s="7" t="s">
        <v>1665</v>
      </c>
      <c r="L121" s="7" t="s">
        <v>674</v>
      </c>
      <c r="M121" s="153">
        <v>45173</v>
      </c>
      <c r="N121" s="7"/>
      <c r="O121" s="7">
        <v>100</v>
      </c>
      <c r="P121" s="75" t="s">
        <v>1680</v>
      </c>
      <c r="Q121" s="166" t="s">
        <v>999</v>
      </c>
    </row>
    <row r="122" ht="22.5" spans="2:17">
      <c r="B122" s="65" t="s">
        <v>995</v>
      </c>
      <c r="C122" s="7" t="s">
        <v>139</v>
      </c>
      <c r="D122" s="5"/>
      <c r="E122" s="5" t="s">
        <v>141</v>
      </c>
      <c r="F122" s="17" t="s">
        <v>1681</v>
      </c>
      <c r="G122" s="5"/>
      <c r="H122" s="17" t="s">
        <v>466</v>
      </c>
      <c r="I122" s="5" t="s">
        <v>470</v>
      </c>
      <c r="J122" s="7" t="s">
        <v>997</v>
      </c>
      <c r="K122" s="7" t="s">
        <v>1665</v>
      </c>
      <c r="L122" s="7" t="s">
        <v>674</v>
      </c>
      <c r="M122" s="153">
        <v>45173</v>
      </c>
      <c r="N122" s="7"/>
      <c r="O122" s="7">
        <v>100</v>
      </c>
      <c r="P122" s="75" t="s">
        <v>1680</v>
      </c>
      <c r="Q122" s="166" t="s">
        <v>1161</v>
      </c>
    </row>
    <row r="123" ht="22.5" spans="2:17">
      <c r="B123" s="65" t="s">
        <v>995</v>
      </c>
      <c r="C123" s="7" t="s">
        <v>139</v>
      </c>
      <c r="D123" s="5"/>
      <c r="E123" s="5" t="s">
        <v>141</v>
      </c>
      <c r="F123" s="17">
        <v>130941179</v>
      </c>
      <c r="G123" s="5"/>
      <c r="H123" s="17" t="s">
        <v>446</v>
      </c>
      <c r="I123" s="5" t="s">
        <v>440</v>
      </c>
      <c r="J123" s="7" t="s">
        <v>997</v>
      </c>
      <c r="K123" s="7" t="s">
        <v>1665</v>
      </c>
      <c r="L123" s="7" t="s">
        <v>674</v>
      </c>
      <c r="M123" s="153">
        <v>45173</v>
      </c>
      <c r="N123" s="7"/>
      <c r="O123" s="7">
        <v>100</v>
      </c>
      <c r="P123" s="75" t="s">
        <v>1680</v>
      </c>
      <c r="Q123" s="166" t="s">
        <v>1017</v>
      </c>
    </row>
    <row r="124" ht="22.5" spans="2:17">
      <c r="B124" s="65" t="s">
        <v>995</v>
      </c>
      <c r="C124" s="7" t="s">
        <v>139</v>
      </c>
      <c r="D124" s="5"/>
      <c r="E124" s="5" t="s">
        <v>163</v>
      </c>
      <c r="F124" s="17">
        <v>131136905</v>
      </c>
      <c r="G124" s="5"/>
      <c r="H124" s="17" t="s">
        <v>441</v>
      </c>
      <c r="I124" s="5" t="s">
        <v>149</v>
      </c>
      <c r="J124" s="7" t="s">
        <v>997</v>
      </c>
      <c r="K124" s="7" t="s">
        <v>1665</v>
      </c>
      <c r="L124" s="7" t="s">
        <v>674</v>
      </c>
      <c r="M124" s="153">
        <v>45173</v>
      </c>
      <c r="N124" s="7"/>
      <c r="O124" s="7">
        <v>100</v>
      </c>
      <c r="P124" s="75" t="s">
        <v>1680</v>
      </c>
      <c r="Q124" s="166" t="s">
        <v>1017</v>
      </c>
    </row>
    <row r="125" ht="22.5" spans="2:17">
      <c r="B125" s="65" t="s">
        <v>995</v>
      </c>
      <c r="C125" s="7" t="s">
        <v>139</v>
      </c>
      <c r="D125" s="5"/>
      <c r="E125" s="5" t="s">
        <v>141</v>
      </c>
      <c r="F125" s="17" t="s">
        <v>1682</v>
      </c>
      <c r="G125" s="5"/>
      <c r="H125" s="17" t="s">
        <v>446</v>
      </c>
      <c r="I125" s="5" t="s">
        <v>440</v>
      </c>
      <c r="J125" s="7" t="s">
        <v>997</v>
      </c>
      <c r="K125" s="7" t="s">
        <v>1665</v>
      </c>
      <c r="L125" s="7" t="s">
        <v>674</v>
      </c>
      <c r="M125" s="153">
        <v>45173</v>
      </c>
      <c r="N125" s="7"/>
      <c r="O125" s="7">
        <v>100</v>
      </c>
      <c r="P125" s="75" t="s">
        <v>1680</v>
      </c>
      <c r="Q125" s="167" t="s">
        <v>198</v>
      </c>
    </row>
    <row r="126" ht="24" spans="2:17">
      <c r="B126" s="65" t="s">
        <v>995</v>
      </c>
      <c r="C126" s="7" t="s">
        <v>358</v>
      </c>
      <c r="D126" s="5"/>
      <c r="E126" s="5" t="s">
        <v>1631</v>
      </c>
      <c r="F126" s="17" t="s">
        <v>1683</v>
      </c>
      <c r="G126" s="5"/>
      <c r="H126" s="5"/>
      <c r="I126" s="5"/>
      <c r="J126" s="5"/>
      <c r="K126" s="7"/>
      <c r="L126" s="7" t="s">
        <v>674</v>
      </c>
      <c r="M126" s="153">
        <v>45012</v>
      </c>
      <c r="N126" s="7"/>
      <c r="O126" s="7">
        <v>300</v>
      </c>
      <c r="P126" s="163" t="s">
        <v>1684</v>
      </c>
      <c r="Q126" s="30"/>
    </row>
    <row r="127" ht="24" spans="2:17">
      <c r="B127" s="65" t="s">
        <v>995</v>
      </c>
      <c r="C127" s="7" t="s">
        <v>358</v>
      </c>
      <c r="D127" s="5"/>
      <c r="E127" s="5" t="s">
        <v>1631</v>
      </c>
      <c r="F127" s="17" t="s">
        <v>1685</v>
      </c>
      <c r="G127" s="5"/>
      <c r="H127" s="5"/>
      <c r="I127" s="5"/>
      <c r="J127" s="5"/>
      <c r="K127" s="7"/>
      <c r="L127" s="7" t="s">
        <v>674</v>
      </c>
      <c r="M127" s="153">
        <v>45012</v>
      </c>
      <c r="N127" s="7"/>
      <c r="O127" s="7">
        <v>300</v>
      </c>
      <c r="P127" s="164"/>
      <c r="Q127" s="30"/>
    </row>
    <row r="128" ht="24" spans="2:17">
      <c r="B128" s="65" t="s">
        <v>995</v>
      </c>
      <c r="C128" s="7" t="s">
        <v>358</v>
      </c>
      <c r="D128" s="5"/>
      <c r="E128" s="5" t="s">
        <v>1631</v>
      </c>
      <c r="F128" s="17" t="s">
        <v>1686</v>
      </c>
      <c r="G128" s="5"/>
      <c r="H128" s="5"/>
      <c r="I128" s="5"/>
      <c r="J128" s="5"/>
      <c r="K128" s="7"/>
      <c r="L128" s="7" t="s">
        <v>674</v>
      </c>
      <c r="M128" s="153">
        <v>45012</v>
      </c>
      <c r="N128" s="7"/>
      <c r="O128" s="7">
        <v>300</v>
      </c>
      <c r="P128" s="164"/>
      <c r="Q128" s="30"/>
    </row>
    <row r="129" ht="24" spans="2:17">
      <c r="B129" s="65" t="s">
        <v>995</v>
      </c>
      <c r="C129" s="7" t="s">
        <v>358</v>
      </c>
      <c r="D129" s="5"/>
      <c r="E129" s="5" t="s">
        <v>1631</v>
      </c>
      <c r="F129" s="17" t="s">
        <v>1687</v>
      </c>
      <c r="G129" s="5"/>
      <c r="H129" s="5"/>
      <c r="I129" s="5"/>
      <c r="J129" s="5"/>
      <c r="K129" s="7"/>
      <c r="L129" s="7" t="s">
        <v>674</v>
      </c>
      <c r="M129" s="153">
        <v>45012</v>
      </c>
      <c r="N129" s="7"/>
      <c r="O129" s="7">
        <v>300</v>
      </c>
      <c r="P129" s="164"/>
      <c r="Q129" s="30"/>
    </row>
    <row r="130" ht="24" spans="2:17">
      <c r="B130" s="65" t="s">
        <v>995</v>
      </c>
      <c r="C130" s="7" t="s">
        <v>358</v>
      </c>
      <c r="D130" s="5"/>
      <c r="E130" s="5" t="s">
        <v>1631</v>
      </c>
      <c r="F130" s="17" t="s">
        <v>1688</v>
      </c>
      <c r="G130" s="5"/>
      <c r="H130" s="5"/>
      <c r="I130" s="5"/>
      <c r="J130" s="5"/>
      <c r="K130" s="7"/>
      <c r="L130" s="7" t="s">
        <v>674</v>
      </c>
      <c r="M130" s="153">
        <v>45012</v>
      </c>
      <c r="N130" s="7"/>
      <c r="O130" s="7">
        <v>300</v>
      </c>
      <c r="P130" s="164"/>
      <c r="Q130" s="30"/>
    </row>
    <row r="131" ht="24" spans="2:17">
      <c r="B131" s="65" t="s">
        <v>995</v>
      </c>
      <c r="C131" s="7" t="s">
        <v>358</v>
      </c>
      <c r="D131" s="5"/>
      <c r="E131" s="5" t="s">
        <v>1631</v>
      </c>
      <c r="F131" s="17" t="s">
        <v>1689</v>
      </c>
      <c r="G131" s="5"/>
      <c r="H131" s="5"/>
      <c r="I131" s="5"/>
      <c r="J131" s="5"/>
      <c r="K131" s="7"/>
      <c r="L131" s="7" t="s">
        <v>674</v>
      </c>
      <c r="M131" s="153">
        <v>45012</v>
      </c>
      <c r="N131" s="7"/>
      <c r="O131" s="7">
        <v>300</v>
      </c>
      <c r="P131" s="164"/>
      <c r="Q131" s="30"/>
    </row>
    <row r="132" ht="24" spans="2:17">
      <c r="B132" s="65" t="s">
        <v>995</v>
      </c>
      <c r="C132" s="7" t="s">
        <v>358</v>
      </c>
      <c r="D132" s="5"/>
      <c r="E132" s="5" t="s">
        <v>1631</v>
      </c>
      <c r="F132" s="17" t="s">
        <v>1690</v>
      </c>
      <c r="G132" s="5"/>
      <c r="H132" s="5"/>
      <c r="I132" s="5"/>
      <c r="J132" s="5"/>
      <c r="K132" s="7"/>
      <c r="L132" s="7" t="s">
        <v>674</v>
      </c>
      <c r="M132" s="153">
        <v>45012</v>
      </c>
      <c r="N132" s="7"/>
      <c r="O132" s="7">
        <v>300</v>
      </c>
      <c r="P132" s="164"/>
      <c r="Q132" s="30"/>
    </row>
    <row r="133" ht="24" spans="2:17">
      <c r="B133" s="65" t="s">
        <v>995</v>
      </c>
      <c r="C133" s="7" t="s">
        <v>358</v>
      </c>
      <c r="D133" s="5"/>
      <c r="E133" s="5" t="s">
        <v>1631</v>
      </c>
      <c r="F133" s="17" t="s">
        <v>1691</v>
      </c>
      <c r="G133" s="5"/>
      <c r="H133" s="5"/>
      <c r="I133" s="5"/>
      <c r="J133" s="5"/>
      <c r="K133" s="7"/>
      <c r="L133" s="7" t="s">
        <v>674</v>
      </c>
      <c r="M133" s="153">
        <v>45012</v>
      </c>
      <c r="N133" s="7"/>
      <c r="O133" s="7">
        <v>300</v>
      </c>
      <c r="P133" s="164"/>
      <c r="Q133" s="30"/>
    </row>
    <row r="134" ht="24" spans="2:17">
      <c r="B134" s="65" t="s">
        <v>995</v>
      </c>
      <c r="C134" s="7" t="s">
        <v>358</v>
      </c>
      <c r="D134" s="5"/>
      <c r="E134" s="5" t="s">
        <v>1631</v>
      </c>
      <c r="F134" s="17" t="s">
        <v>1692</v>
      </c>
      <c r="G134" s="5"/>
      <c r="H134" s="5"/>
      <c r="I134" s="5"/>
      <c r="J134" s="5"/>
      <c r="K134" s="7"/>
      <c r="L134" s="7" t="s">
        <v>674</v>
      </c>
      <c r="M134" s="153">
        <v>45012</v>
      </c>
      <c r="N134" s="7"/>
      <c r="O134" s="7">
        <v>300</v>
      </c>
      <c r="P134" s="164"/>
      <c r="Q134" s="30"/>
    </row>
    <row r="135" ht="24" spans="2:17">
      <c r="B135" s="65" t="s">
        <v>995</v>
      </c>
      <c r="C135" s="7" t="s">
        <v>358</v>
      </c>
      <c r="D135" s="5"/>
      <c r="E135" s="5" t="s">
        <v>1631</v>
      </c>
      <c r="F135" s="17" t="s">
        <v>1693</v>
      </c>
      <c r="G135" s="5"/>
      <c r="H135" s="5"/>
      <c r="I135" s="5"/>
      <c r="J135" s="5"/>
      <c r="K135" s="7"/>
      <c r="L135" s="7" t="s">
        <v>674</v>
      </c>
      <c r="M135" s="153">
        <v>45012</v>
      </c>
      <c r="N135" s="7"/>
      <c r="O135" s="7">
        <v>300</v>
      </c>
      <c r="P135" s="164"/>
      <c r="Q135" s="30"/>
    </row>
    <row r="136" ht="24" spans="2:17">
      <c r="B136" s="65" t="s">
        <v>995</v>
      </c>
      <c r="C136" s="7" t="s">
        <v>358</v>
      </c>
      <c r="D136" s="5"/>
      <c r="E136" s="5" t="s">
        <v>1631</v>
      </c>
      <c r="F136" s="17" t="s">
        <v>1694</v>
      </c>
      <c r="G136" s="5"/>
      <c r="H136" s="5"/>
      <c r="I136" s="5"/>
      <c r="J136" s="5"/>
      <c r="K136" s="7"/>
      <c r="L136" s="7" t="s">
        <v>674</v>
      </c>
      <c r="M136" s="153">
        <v>45012</v>
      </c>
      <c r="N136" s="7"/>
      <c r="O136" s="7">
        <v>300</v>
      </c>
      <c r="P136" s="164"/>
      <c r="Q136" s="30"/>
    </row>
    <row r="137" ht="24" spans="2:17">
      <c r="B137" s="65" t="s">
        <v>995</v>
      </c>
      <c r="C137" s="7" t="s">
        <v>1695</v>
      </c>
      <c r="D137" s="5"/>
      <c r="E137" s="5" t="s">
        <v>1696</v>
      </c>
      <c r="F137" s="17" t="s">
        <v>1697</v>
      </c>
      <c r="G137" s="5"/>
      <c r="H137" s="5"/>
      <c r="I137" s="5"/>
      <c r="J137" s="5"/>
      <c r="K137" s="7"/>
      <c r="L137" s="7" t="s">
        <v>674</v>
      </c>
      <c r="M137" s="153">
        <v>44992</v>
      </c>
      <c r="N137" s="7"/>
      <c r="O137" s="7">
        <v>300</v>
      </c>
      <c r="P137" s="164"/>
      <c r="Q137" s="30"/>
    </row>
    <row r="138" ht="24" spans="2:17">
      <c r="B138" s="65" t="s">
        <v>995</v>
      </c>
      <c r="C138" s="7" t="s">
        <v>1695</v>
      </c>
      <c r="D138" s="5"/>
      <c r="E138" s="5" t="s">
        <v>1696</v>
      </c>
      <c r="F138" s="17" t="s">
        <v>1698</v>
      </c>
      <c r="G138" s="5"/>
      <c r="H138" s="5"/>
      <c r="I138" s="5"/>
      <c r="J138" s="5"/>
      <c r="K138" s="7"/>
      <c r="L138" s="7" t="s">
        <v>674</v>
      </c>
      <c r="M138" s="153">
        <v>44992</v>
      </c>
      <c r="N138" s="7"/>
      <c r="O138" s="7">
        <v>300</v>
      </c>
      <c r="P138" s="164"/>
      <c r="Q138" s="30"/>
    </row>
    <row r="139" ht="24" spans="2:17">
      <c r="B139" s="65" t="s">
        <v>995</v>
      </c>
      <c r="C139" s="7" t="s">
        <v>1695</v>
      </c>
      <c r="D139" s="5"/>
      <c r="E139" s="5" t="s">
        <v>1696</v>
      </c>
      <c r="F139" s="17" t="s">
        <v>1699</v>
      </c>
      <c r="G139" s="5"/>
      <c r="H139" s="5"/>
      <c r="I139" s="5"/>
      <c r="J139" s="5"/>
      <c r="K139" s="7"/>
      <c r="L139" s="7" t="s">
        <v>674</v>
      </c>
      <c r="M139" s="153">
        <v>44992</v>
      </c>
      <c r="N139" s="7"/>
      <c r="O139" s="7">
        <v>300</v>
      </c>
      <c r="P139" s="164"/>
      <c r="Q139" s="30"/>
    </row>
    <row r="140" ht="24" spans="2:17">
      <c r="B140" s="65" t="s">
        <v>995</v>
      </c>
      <c r="C140" s="7" t="s">
        <v>1695</v>
      </c>
      <c r="D140" s="5"/>
      <c r="E140" s="5" t="s">
        <v>1696</v>
      </c>
      <c r="F140" s="17" t="s">
        <v>1700</v>
      </c>
      <c r="G140" s="5"/>
      <c r="H140" s="5"/>
      <c r="I140" s="5"/>
      <c r="J140" s="5"/>
      <c r="K140" s="7"/>
      <c r="L140" s="7" t="s">
        <v>674</v>
      </c>
      <c r="M140" s="153">
        <v>44992</v>
      </c>
      <c r="N140" s="7"/>
      <c r="O140" s="7">
        <v>300</v>
      </c>
      <c r="P140" s="164"/>
      <c r="Q140" s="30"/>
    </row>
    <row r="141" ht="24" spans="2:17">
      <c r="B141" s="65" t="s">
        <v>995</v>
      </c>
      <c r="C141" s="7" t="s">
        <v>1695</v>
      </c>
      <c r="D141" s="5"/>
      <c r="E141" s="5" t="s">
        <v>1696</v>
      </c>
      <c r="F141" s="17" t="s">
        <v>1701</v>
      </c>
      <c r="G141" s="5"/>
      <c r="H141" s="5"/>
      <c r="I141" s="5"/>
      <c r="J141" s="5"/>
      <c r="K141" s="7"/>
      <c r="L141" s="7" t="s">
        <v>674</v>
      </c>
      <c r="M141" s="153">
        <v>44992</v>
      </c>
      <c r="N141" s="7"/>
      <c r="O141" s="7">
        <v>300</v>
      </c>
      <c r="P141" s="176"/>
      <c r="Q141" s="30"/>
    </row>
    <row r="142" ht="24" spans="2:18">
      <c r="B142" s="82" t="s">
        <v>995</v>
      </c>
      <c r="C142" s="29" t="s">
        <v>334</v>
      </c>
      <c r="D142" s="31"/>
      <c r="E142" s="31"/>
      <c r="F142" s="119" t="s">
        <v>1702</v>
      </c>
      <c r="G142" s="31"/>
      <c r="H142" s="31"/>
      <c r="I142" s="31"/>
      <c r="J142" s="31"/>
      <c r="K142" s="29"/>
      <c r="L142" s="29" t="s">
        <v>674</v>
      </c>
      <c r="M142" s="177">
        <v>45644</v>
      </c>
      <c r="N142" s="177">
        <v>46008</v>
      </c>
      <c r="O142" s="29"/>
      <c r="P142" s="178" t="s">
        <v>1028</v>
      </c>
      <c r="Q142" s="30" t="s">
        <v>1703</v>
      </c>
      <c r="R142" t="s">
        <v>1704</v>
      </c>
    </row>
    <row r="143" ht="22.5" spans="2:18">
      <c r="B143" s="82" t="s">
        <v>995</v>
      </c>
      <c r="C143" s="29" t="s">
        <v>334</v>
      </c>
      <c r="D143" s="31"/>
      <c r="E143" s="31" t="s">
        <v>1026</v>
      </c>
      <c r="F143" s="119">
        <v>605668</v>
      </c>
      <c r="G143" s="168"/>
      <c r="H143" s="168"/>
      <c r="I143" s="168"/>
      <c r="J143" s="168"/>
      <c r="K143" s="168"/>
      <c r="L143" s="29" t="s">
        <v>674</v>
      </c>
      <c r="M143" s="177">
        <v>45644</v>
      </c>
      <c r="N143" s="177">
        <v>46008</v>
      </c>
      <c r="O143" s="168"/>
      <c r="P143" s="178" t="s">
        <v>1028</v>
      </c>
      <c r="Q143" s="30" t="s">
        <v>1705</v>
      </c>
      <c r="R143" t="s">
        <v>1704</v>
      </c>
    </row>
    <row r="144" ht="22.5" spans="2:18">
      <c r="B144" s="82" t="s">
        <v>995</v>
      </c>
      <c r="C144" s="29" t="s">
        <v>334</v>
      </c>
      <c r="D144" s="31"/>
      <c r="E144" s="31" t="s">
        <v>1026</v>
      </c>
      <c r="F144" s="119" t="s">
        <v>1706</v>
      </c>
      <c r="G144" s="168"/>
      <c r="H144" s="168"/>
      <c r="I144" s="168"/>
      <c r="J144" s="168"/>
      <c r="K144" s="168"/>
      <c r="L144" s="29" t="s">
        <v>674</v>
      </c>
      <c r="M144" s="177">
        <v>45644</v>
      </c>
      <c r="N144" s="177">
        <v>46008</v>
      </c>
      <c r="O144" s="168"/>
      <c r="P144" s="178" t="s">
        <v>1028</v>
      </c>
      <c r="Q144" s="30" t="s">
        <v>1705</v>
      </c>
      <c r="R144" t="s">
        <v>1704</v>
      </c>
    </row>
    <row r="145" spans="2:18">
      <c r="B145" s="169" t="s">
        <v>221</v>
      </c>
      <c r="C145" s="170" t="s">
        <v>1452</v>
      </c>
      <c r="D145" s="171" t="s">
        <v>1707</v>
      </c>
      <c r="E145" s="171" t="s">
        <v>363</v>
      </c>
      <c r="F145" s="171" t="s">
        <v>1708</v>
      </c>
      <c r="G145" s="172" t="s">
        <v>193</v>
      </c>
      <c r="H145" s="171" t="s">
        <v>42</v>
      </c>
      <c r="I145" s="171" t="s">
        <v>42</v>
      </c>
      <c r="J145" s="179">
        <v>45440</v>
      </c>
      <c r="K145" s="180">
        <v>45804</v>
      </c>
      <c r="L145" s="181">
        <v>1200</v>
      </c>
      <c r="M145" s="149" t="s">
        <v>44</v>
      </c>
      <c r="R145" t="s">
        <v>1704</v>
      </c>
    </row>
    <row r="146" spans="2:18">
      <c r="B146" s="173" t="s">
        <v>221</v>
      </c>
      <c r="C146" s="161" t="s">
        <v>1452</v>
      </c>
      <c r="D146" s="31" t="s">
        <v>1709</v>
      </c>
      <c r="E146" s="144" t="s">
        <v>363</v>
      </c>
      <c r="F146" s="144" t="s">
        <v>1710</v>
      </c>
      <c r="G146" s="119" t="s">
        <v>193</v>
      </c>
      <c r="H146" s="31" t="s">
        <v>42</v>
      </c>
      <c r="I146" s="31" t="s">
        <v>42</v>
      </c>
      <c r="J146" s="180">
        <v>45588</v>
      </c>
      <c r="K146" s="180">
        <v>45952</v>
      </c>
      <c r="L146" s="148">
        <v>1200</v>
      </c>
      <c r="M146" s="149" t="s">
        <v>44</v>
      </c>
      <c r="R146" t="s">
        <v>1704</v>
      </c>
    </row>
    <row r="147" spans="2:18">
      <c r="B147" s="173" t="s">
        <v>221</v>
      </c>
      <c r="C147" s="161" t="s">
        <v>1452</v>
      </c>
      <c r="D147" s="31" t="s">
        <v>1711</v>
      </c>
      <c r="E147" s="144" t="s">
        <v>363</v>
      </c>
      <c r="F147" s="144" t="s">
        <v>1712</v>
      </c>
      <c r="G147" s="119" t="s">
        <v>193</v>
      </c>
      <c r="H147" s="31" t="s">
        <v>42</v>
      </c>
      <c r="I147" s="31" t="s">
        <v>42</v>
      </c>
      <c r="J147" s="180">
        <v>45588</v>
      </c>
      <c r="K147" s="180">
        <v>45952</v>
      </c>
      <c r="L147" s="148">
        <v>1200</v>
      </c>
      <c r="M147" s="149" t="s">
        <v>44</v>
      </c>
      <c r="R147" t="s">
        <v>1704</v>
      </c>
    </row>
    <row r="148" spans="2:18">
      <c r="B148" s="117" t="s">
        <v>38</v>
      </c>
      <c r="C148" s="118" t="s">
        <v>1446</v>
      </c>
      <c r="D148" s="31"/>
      <c r="E148" s="31" t="s">
        <v>1713</v>
      </c>
      <c r="F148" s="119" t="s">
        <v>1714</v>
      </c>
      <c r="G148" s="119" t="s">
        <v>1715</v>
      </c>
      <c r="H148" s="31" t="s">
        <v>42</v>
      </c>
      <c r="I148" s="31" t="s">
        <v>42</v>
      </c>
      <c r="J148" s="94">
        <v>45644</v>
      </c>
      <c r="K148" s="180">
        <v>46008</v>
      </c>
      <c r="L148" s="182">
        <v>1500</v>
      </c>
      <c r="M148" s="149" t="s">
        <v>44</v>
      </c>
      <c r="N148" s="82"/>
      <c r="O148" s="82"/>
      <c r="P148" s="82"/>
      <c r="R148" t="s">
        <v>1704</v>
      </c>
    </row>
    <row r="149" spans="2:18">
      <c r="B149" s="117" t="s">
        <v>38</v>
      </c>
      <c r="C149" s="118" t="s">
        <v>1446</v>
      </c>
      <c r="D149" s="31"/>
      <c r="E149" s="31" t="s">
        <v>1713</v>
      </c>
      <c r="F149" s="119" t="s">
        <v>1716</v>
      </c>
      <c r="G149" s="119" t="s">
        <v>1715</v>
      </c>
      <c r="H149" s="31" t="s">
        <v>42</v>
      </c>
      <c r="I149" s="31" t="s">
        <v>42</v>
      </c>
      <c r="J149" s="94">
        <v>45644</v>
      </c>
      <c r="K149" s="180">
        <v>46008</v>
      </c>
      <c r="L149" s="182">
        <v>1500</v>
      </c>
      <c r="M149" s="149" t="s">
        <v>44</v>
      </c>
      <c r="N149" s="82"/>
      <c r="O149" s="82"/>
      <c r="P149" s="82"/>
      <c r="R149" t="s">
        <v>1704</v>
      </c>
    </row>
    <row r="150" spans="2:18">
      <c r="B150" s="117" t="s">
        <v>38</v>
      </c>
      <c r="C150" s="118" t="s">
        <v>1446</v>
      </c>
      <c r="D150" s="31"/>
      <c r="E150" s="31" t="s">
        <v>1713</v>
      </c>
      <c r="F150" s="119" t="s">
        <v>1717</v>
      </c>
      <c r="G150" s="119" t="s">
        <v>1715</v>
      </c>
      <c r="H150" s="31" t="s">
        <v>42</v>
      </c>
      <c r="I150" s="31" t="s">
        <v>42</v>
      </c>
      <c r="J150" s="94">
        <v>45644</v>
      </c>
      <c r="K150" s="180">
        <v>46008</v>
      </c>
      <c r="L150" s="182">
        <v>1500</v>
      </c>
      <c r="M150" s="149" t="s">
        <v>44</v>
      </c>
      <c r="N150" s="82"/>
      <c r="O150" s="82"/>
      <c r="P150" s="82"/>
      <c r="R150" t="s">
        <v>1704</v>
      </c>
    </row>
    <row r="151" ht="24" spans="2:18">
      <c r="B151" s="117" t="s">
        <v>38</v>
      </c>
      <c r="C151" s="118" t="s">
        <v>1446</v>
      </c>
      <c r="D151" s="31" t="s">
        <v>1718</v>
      </c>
      <c r="E151" s="31" t="s">
        <v>1448</v>
      </c>
      <c r="F151" s="119" t="s">
        <v>1719</v>
      </c>
      <c r="G151" s="119" t="s">
        <v>1720</v>
      </c>
      <c r="H151" s="31" t="s">
        <v>42</v>
      </c>
      <c r="I151" s="31" t="s">
        <v>42</v>
      </c>
      <c r="J151" s="94">
        <v>45644</v>
      </c>
      <c r="K151" s="180">
        <v>46008</v>
      </c>
      <c r="L151" s="182">
        <v>1500</v>
      </c>
      <c r="M151" s="149" t="s">
        <v>44</v>
      </c>
      <c r="N151" s="82"/>
      <c r="O151" s="82"/>
      <c r="P151" s="82"/>
      <c r="R151" t="s">
        <v>1704</v>
      </c>
    </row>
    <row r="152" spans="2:13">
      <c r="B152" s="173" t="s">
        <v>468</v>
      </c>
      <c r="C152" s="118" t="s">
        <v>1493</v>
      </c>
      <c r="D152" s="31" t="s">
        <v>1721</v>
      </c>
      <c r="E152" s="31" t="s">
        <v>1508</v>
      </c>
      <c r="F152" s="31" t="s">
        <v>1721</v>
      </c>
      <c r="G152" s="119" t="s">
        <v>49</v>
      </c>
      <c r="H152" s="31" t="s">
        <v>1722</v>
      </c>
      <c r="I152" s="31" t="s">
        <v>1498</v>
      </c>
      <c r="J152" s="94">
        <v>45631</v>
      </c>
      <c r="K152" s="94">
        <v>45995</v>
      </c>
      <c r="L152" s="148">
        <v>250</v>
      </c>
      <c r="M152" s="29" t="s">
        <v>1723</v>
      </c>
    </row>
    <row r="153" spans="2:13">
      <c r="B153" s="173" t="s">
        <v>468</v>
      </c>
      <c r="C153" s="118" t="s">
        <v>1493</v>
      </c>
      <c r="D153" s="31" t="s">
        <v>1724</v>
      </c>
      <c r="E153" s="31" t="s">
        <v>1494</v>
      </c>
      <c r="F153" s="31" t="s">
        <v>1724</v>
      </c>
      <c r="G153" s="119" t="s">
        <v>49</v>
      </c>
      <c r="H153" s="31" t="s">
        <v>1497</v>
      </c>
      <c r="I153" s="31" t="s">
        <v>1498</v>
      </c>
      <c r="J153" s="94">
        <v>45631</v>
      </c>
      <c r="K153" s="94">
        <v>45995</v>
      </c>
      <c r="L153" s="148">
        <v>250</v>
      </c>
      <c r="M153" s="29" t="s">
        <v>1723</v>
      </c>
    </row>
    <row r="154" spans="2:13">
      <c r="B154" s="173" t="s">
        <v>468</v>
      </c>
      <c r="C154" s="118" t="s">
        <v>1493</v>
      </c>
      <c r="D154" s="31" t="s">
        <v>1725</v>
      </c>
      <c r="E154" s="31" t="s">
        <v>1494</v>
      </c>
      <c r="F154" s="31" t="s">
        <v>1725</v>
      </c>
      <c r="G154" s="119" t="s">
        <v>49</v>
      </c>
      <c r="H154" s="31" t="s">
        <v>1497</v>
      </c>
      <c r="I154" s="31" t="s">
        <v>1498</v>
      </c>
      <c r="J154" s="94">
        <v>45631</v>
      </c>
      <c r="K154" s="94">
        <v>45995</v>
      </c>
      <c r="L154" s="148">
        <v>250</v>
      </c>
      <c r="M154" s="29" t="s">
        <v>1723</v>
      </c>
    </row>
    <row r="155" spans="2:13">
      <c r="B155" s="173" t="s">
        <v>83</v>
      </c>
      <c r="C155" s="118" t="s">
        <v>1493</v>
      </c>
      <c r="D155" s="31" t="s">
        <v>1726</v>
      </c>
      <c r="E155" s="31" t="s">
        <v>1508</v>
      </c>
      <c r="F155" s="31" t="s">
        <v>1726</v>
      </c>
      <c r="G155" s="119" t="s">
        <v>193</v>
      </c>
      <c r="H155" s="31" t="s">
        <v>42</v>
      </c>
      <c r="I155" s="31" t="s">
        <v>42</v>
      </c>
      <c r="J155" s="94">
        <v>45631</v>
      </c>
      <c r="K155" s="94">
        <v>45995</v>
      </c>
      <c r="L155" s="148">
        <v>250</v>
      </c>
      <c r="M155" s="29" t="s">
        <v>1723</v>
      </c>
    </row>
    <row r="156" spans="2:13">
      <c r="B156" s="129" t="s">
        <v>86</v>
      </c>
      <c r="C156" s="118" t="s">
        <v>1493</v>
      </c>
      <c r="D156" s="31" t="s">
        <v>1727</v>
      </c>
      <c r="E156" s="31" t="s">
        <v>1508</v>
      </c>
      <c r="F156" s="31" t="s">
        <v>1727</v>
      </c>
      <c r="G156" s="119" t="s">
        <v>66</v>
      </c>
      <c r="H156" s="31" t="s">
        <v>42</v>
      </c>
      <c r="I156" s="31" t="s">
        <v>42</v>
      </c>
      <c r="J156" s="94">
        <v>45631</v>
      </c>
      <c r="K156" s="94">
        <v>45995</v>
      </c>
      <c r="L156" s="148">
        <v>250</v>
      </c>
      <c r="M156" s="29" t="s">
        <v>1723</v>
      </c>
    </row>
    <row r="157" ht="22.5" spans="2:16">
      <c r="B157" s="117" t="s">
        <v>1728</v>
      </c>
      <c r="C157" s="118" t="s">
        <v>334</v>
      </c>
      <c r="D157" s="31" t="s">
        <v>1161</v>
      </c>
      <c r="E157" s="29" t="s">
        <v>1729</v>
      </c>
      <c r="F157" s="29" t="s">
        <v>1730</v>
      </c>
      <c r="G157" s="119"/>
      <c r="H157" s="31" t="s">
        <v>1161</v>
      </c>
      <c r="I157" s="31" t="s">
        <v>1161</v>
      </c>
      <c r="J157" s="94">
        <v>45644</v>
      </c>
      <c r="K157" s="180">
        <v>46008</v>
      </c>
      <c r="L157" s="148">
        <v>250</v>
      </c>
      <c r="M157" s="29" t="s">
        <v>44</v>
      </c>
      <c r="N157" s="183" t="s">
        <v>1731</v>
      </c>
      <c r="O157" s="82"/>
      <c r="P157" s="82"/>
    </row>
    <row r="158" ht="22.5" spans="2:16">
      <c r="B158" s="117" t="s">
        <v>1732</v>
      </c>
      <c r="C158" s="118" t="s">
        <v>334</v>
      </c>
      <c r="D158" s="31" t="s">
        <v>1161</v>
      </c>
      <c r="E158" s="29" t="s">
        <v>1729</v>
      </c>
      <c r="F158" s="29" t="s">
        <v>1733</v>
      </c>
      <c r="G158" s="119"/>
      <c r="H158" s="31" t="s">
        <v>1161</v>
      </c>
      <c r="I158" s="31" t="s">
        <v>1161</v>
      </c>
      <c r="J158" s="94">
        <v>45644</v>
      </c>
      <c r="K158" s="180">
        <v>46008</v>
      </c>
      <c r="L158" s="148">
        <v>250</v>
      </c>
      <c r="M158" s="29" t="s">
        <v>44</v>
      </c>
      <c r="N158" s="183" t="s">
        <v>1731</v>
      </c>
      <c r="O158" s="82"/>
      <c r="P158" s="82"/>
    </row>
    <row r="159" ht="22.5" spans="2:16">
      <c r="B159" s="3" t="s">
        <v>1101</v>
      </c>
      <c r="C159" s="7" t="s">
        <v>1108</v>
      </c>
      <c r="D159" s="5" t="s">
        <v>1734</v>
      </c>
      <c r="E159" s="5" t="s">
        <v>1110</v>
      </c>
      <c r="F159" s="5" t="s">
        <v>1136</v>
      </c>
      <c r="G159" s="17" t="s">
        <v>1112</v>
      </c>
      <c r="H159" s="5" t="s">
        <v>1113</v>
      </c>
      <c r="I159" s="33" t="s">
        <v>1114</v>
      </c>
      <c r="J159" s="7" t="s">
        <v>94</v>
      </c>
      <c r="K159" s="34"/>
      <c r="L159" s="7" t="s">
        <v>674</v>
      </c>
      <c r="M159" s="7" t="s">
        <v>1735</v>
      </c>
      <c r="N159" s="7" t="s">
        <v>1736</v>
      </c>
      <c r="O159" s="29">
        <v>300</v>
      </c>
      <c r="P159" s="52" t="s">
        <v>1218</v>
      </c>
    </row>
    <row r="160" ht="22.5" spans="2:16">
      <c r="B160" s="3" t="s">
        <v>1144</v>
      </c>
      <c r="C160" s="4" t="s">
        <v>1145</v>
      </c>
      <c r="D160" s="5" t="s">
        <v>1737</v>
      </c>
      <c r="E160" s="5" t="s">
        <v>1119</v>
      </c>
      <c r="F160" s="5" t="s">
        <v>1738</v>
      </c>
      <c r="G160" s="17" t="s">
        <v>453</v>
      </c>
      <c r="H160" s="5" t="s">
        <v>1121</v>
      </c>
      <c r="I160" s="33" t="s">
        <v>1122</v>
      </c>
      <c r="J160" s="7" t="s">
        <v>673</v>
      </c>
      <c r="K160" s="7" t="s">
        <v>1739</v>
      </c>
      <c r="L160" s="7" t="s">
        <v>674</v>
      </c>
      <c r="M160" s="7" t="s">
        <v>1735</v>
      </c>
      <c r="N160" s="29" t="s">
        <v>1736</v>
      </c>
      <c r="O160" s="7">
        <v>336</v>
      </c>
      <c r="P160" s="52" t="s">
        <v>1218</v>
      </c>
    </row>
    <row r="161" ht="22.5" spans="1:14">
      <c r="A161" s="52">
        <v>162</v>
      </c>
      <c r="B161" s="174" t="s">
        <v>15</v>
      </c>
      <c r="C161" s="4" t="s">
        <v>334</v>
      </c>
      <c r="D161" s="5" t="s">
        <v>1740</v>
      </c>
      <c r="E161" s="7" t="s">
        <v>1741</v>
      </c>
      <c r="F161" s="7">
        <v>1912010326</v>
      </c>
      <c r="G161" s="17">
        <v>20100304</v>
      </c>
      <c r="H161" s="175" t="s">
        <v>1742</v>
      </c>
      <c r="I161" s="136" t="s">
        <v>339</v>
      </c>
      <c r="J161" s="150">
        <v>45644</v>
      </c>
      <c r="K161" s="184">
        <v>46008</v>
      </c>
      <c r="L161" s="151">
        <v>250</v>
      </c>
      <c r="M161" s="7" t="s">
        <v>44</v>
      </c>
      <c r="N161" s="185" t="s">
        <v>1731</v>
      </c>
    </row>
    <row r="162" ht="22.5" spans="1:14">
      <c r="A162" s="52">
        <v>163</v>
      </c>
      <c r="B162" s="174" t="s">
        <v>13</v>
      </c>
      <c r="C162" s="4" t="s">
        <v>334</v>
      </c>
      <c r="D162" s="5" t="s">
        <v>1743</v>
      </c>
      <c r="E162" s="7" t="s">
        <v>1741</v>
      </c>
      <c r="F162" s="381" t="s">
        <v>1744</v>
      </c>
      <c r="G162" s="17">
        <v>20100304</v>
      </c>
      <c r="H162" s="17" t="s">
        <v>1745</v>
      </c>
      <c r="I162" s="136" t="s">
        <v>339</v>
      </c>
      <c r="J162" s="150">
        <v>45644</v>
      </c>
      <c r="K162" s="184">
        <v>46008</v>
      </c>
      <c r="L162" s="151">
        <v>250</v>
      </c>
      <c r="M162" s="7" t="s">
        <v>44</v>
      </c>
      <c r="N162" s="185" t="s">
        <v>1731</v>
      </c>
    </row>
    <row r="163" ht="22.5" spans="1:14">
      <c r="A163" s="52">
        <v>164</v>
      </c>
      <c r="B163" s="174" t="s">
        <v>14</v>
      </c>
      <c r="C163" s="4" t="s">
        <v>334</v>
      </c>
      <c r="D163" s="5" t="s">
        <v>1746</v>
      </c>
      <c r="E163" s="7" t="s">
        <v>1741</v>
      </c>
      <c r="F163" s="7" t="s">
        <v>1747</v>
      </c>
      <c r="G163" s="17">
        <v>20120909</v>
      </c>
      <c r="H163" s="5" t="s">
        <v>1745</v>
      </c>
      <c r="I163" s="136" t="s">
        <v>339</v>
      </c>
      <c r="J163" s="150">
        <v>45644</v>
      </c>
      <c r="K163" s="184">
        <v>46008</v>
      </c>
      <c r="L163" s="151">
        <v>250</v>
      </c>
      <c r="M163" s="7" t="s">
        <v>44</v>
      </c>
      <c r="N163" s="185" t="s">
        <v>1731</v>
      </c>
    </row>
    <row r="164" ht="22.5" spans="1:14">
      <c r="A164" s="52">
        <v>165</v>
      </c>
      <c r="B164" s="174" t="s">
        <v>1748</v>
      </c>
      <c r="C164" s="4" t="s">
        <v>334</v>
      </c>
      <c r="D164" s="5" t="s">
        <v>1161</v>
      </c>
      <c r="E164" s="7" t="s">
        <v>1749</v>
      </c>
      <c r="F164" s="7" t="s">
        <v>1750</v>
      </c>
      <c r="G164" s="6">
        <v>20220101</v>
      </c>
      <c r="H164" s="5" t="s">
        <v>1161</v>
      </c>
      <c r="I164" s="5" t="s">
        <v>1161</v>
      </c>
      <c r="J164" s="150">
        <v>45644</v>
      </c>
      <c r="K164" s="184">
        <v>46008</v>
      </c>
      <c r="L164" s="151">
        <v>250</v>
      </c>
      <c r="M164" s="7" t="s">
        <v>44</v>
      </c>
      <c r="N164" s="185" t="s">
        <v>1731</v>
      </c>
    </row>
    <row r="165" ht="22.5" spans="1:14">
      <c r="A165" s="52">
        <v>166</v>
      </c>
      <c r="B165" s="174" t="s">
        <v>1751</v>
      </c>
      <c r="C165" s="4" t="s">
        <v>334</v>
      </c>
      <c r="D165" s="5" t="s">
        <v>1161</v>
      </c>
      <c r="E165" s="7" t="s">
        <v>1749</v>
      </c>
      <c r="F165" s="7" t="s">
        <v>1752</v>
      </c>
      <c r="G165" s="6">
        <v>20220101</v>
      </c>
      <c r="H165" s="5" t="s">
        <v>1161</v>
      </c>
      <c r="I165" s="5" t="s">
        <v>1161</v>
      </c>
      <c r="J165" s="150">
        <v>45644</v>
      </c>
      <c r="K165" s="184">
        <v>46008</v>
      </c>
      <c r="L165" s="151">
        <v>250</v>
      </c>
      <c r="M165" s="7" t="s">
        <v>44</v>
      </c>
      <c r="N165" s="185" t="s">
        <v>1731</v>
      </c>
    </row>
    <row r="166" ht="22.5" spans="1:14">
      <c r="A166" s="52">
        <v>167</v>
      </c>
      <c r="B166" s="174" t="s">
        <v>1753</v>
      </c>
      <c r="C166" s="4" t="s">
        <v>334</v>
      </c>
      <c r="D166" s="5" t="s">
        <v>1161</v>
      </c>
      <c r="E166" s="7" t="s">
        <v>1754</v>
      </c>
      <c r="F166" s="7">
        <v>180901579</v>
      </c>
      <c r="G166" s="6">
        <v>20220101</v>
      </c>
      <c r="H166" s="5" t="s">
        <v>1161</v>
      </c>
      <c r="I166" s="5" t="s">
        <v>1161</v>
      </c>
      <c r="J166" s="150">
        <v>45644</v>
      </c>
      <c r="K166" s="184">
        <v>46008</v>
      </c>
      <c r="L166" s="151">
        <v>250</v>
      </c>
      <c r="M166" s="7" t="s">
        <v>44</v>
      </c>
      <c r="N166" s="185" t="s">
        <v>1731</v>
      </c>
    </row>
  </sheetData>
  <autoFilter xmlns:etc="http://www.wps.cn/officeDocument/2017/etCustomData" ref="A1:R166" etc:filterBottomFollowUsedRange="0">
    <extLst/>
  </autoFilter>
  <mergeCells count="8">
    <mergeCell ref="M3:M9"/>
    <mergeCell ref="N51:N52"/>
    <mergeCell ref="N53:N54"/>
    <mergeCell ref="N55:N56"/>
    <mergeCell ref="N57:N69"/>
    <mergeCell ref="P126:P141"/>
    <mergeCell ref="P79:Q87"/>
    <mergeCell ref="P88:Q92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2:P83"/>
  <sheetViews>
    <sheetView workbookViewId="0">
      <selection activeCell="K16" sqref="K16"/>
    </sheetView>
  </sheetViews>
  <sheetFormatPr defaultColWidth="9" defaultRowHeight="13.5"/>
  <sheetData>
    <row r="2" spans="2:15">
      <c r="B2" s="53" t="s">
        <v>21</v>
      </c>
      <c r="C2" s="53" t="s">
        <v>22</v>
      </c>
      <c r="D2" s="53" t="s">
        <v>23</v>
      </c>
      <c r="E2" s="53" t="s">
        <v>24</v>
      </c>
      <c r="F2" s="54" t="s">
        <v>25</v>
      </c>
      <c r="G2" s="53" t="s">
        <v>26</v>
      </c>
      <c r="H2" s="53" t="s">
        <v>27</v>
      </c>
      <c r="I2" s="53" t="s">
        <v>28</v>
      </c>
      <c r="J2" s="53" t="s">
        <v>29</v>
      </c>
      <c r="K2" s="53" t="s">
        <v>1755</v>
      </c>
      <c r="L2" s="53" t="s">
        <v>30</v>
      </c>
      <c r="M2" s="53" t="s">
        <v>31</v>
      </c>
      <c r="N2" s="53" t="s">
        <v>33</v>
      </c>
      <c r="O2" s="53" t="s">
        <v>34</v>
      </c>
    </row>
    <row r="3" ht="22.5" spans="1:15">
      <c r="A3" s="55">
        <v>1</v>
      </c>
      <c r="B3" s="56" t="s">
        <v>330</v>
      </c>
      <c r="C3" s="57" t="s">
        <v>1756</v>
      </c>
      <c r="D3" s="58"/>
      <c r="E3" s="59" t="s">
        <v>1757</v>
      </c>
      <c r="F3" s="58"/>
      <c r="G3" s="60"/>
      <c r="H3" s="58"/>
      <c r="I3" s="58"/>
      <c r="J3" s="57"/>
      <c r="K3" s="67"/>
      <c r="L3" s="57" t="s">
        <v>674</v>
      </c>
      <c r="M3" s="57" t="s">
        <v>1758</v>
      </c>
      <c r="N3" s="57" t="s">
        <v>1759</v>
      </c>
      <c r="O3" s="68" t="s">
        <v>1760</v>
      </c>
    </row>
    <row r="4" ht="22.5" spans="1:15">
      <c r="A4" s="55">
        <v>2</v>
      </c>
      <c r="B4" s="56" t="s">
        <v>330</v>
      </c>
      <c r="C4" s="57" t="s">
        <v>1761</v>
      </c>
      <c r="D4" s="58"/>
      <c r="E4" s="59" t="s">
        <v>1762</v>
      </c>
      <c r="F4" s="58">
        <v>860273</v>
      </c>
      <c r="G4" s="60"/>
      <c r="H4" s="58"/>
      <c r="I4" s="58"/>
      <c r="J4" s="57"/>
      <c r="K4" s="67"/>
      <c r="L4" s="57" t="s">
        <v>674</v>
      </c>
      <c r="M4" s="57" t="s">
        <v>1763</v>
      </c>
      <c r="N4" s="57" t="s">
        <v>1759</v>
      </c>
      <c r="O4" s="68" t="s">
        <v>1760</v>
      </c>
    </row>
    <row r="5" ht="22.5" spans="1:15">
      <c r="A5" s="55">
        <v>3</v>
      </c>
      <c r="B5" s="56" t="s">
        <v>330</v>
      </c>
      <c r="C5" s="57" t="s">
        <v>951</v>
      </c>
      <c r="D5" s="58" t="s">
        <v>1764</v>
      </c>
      <c r="E5" s="58" t="s">
        <v>1765</v>
      </c>
      <c r="F5" s="61">
        <v>8582329</v>
      </c>
      <c r="G5" s="61">
        <v>2010.1</v>
      </c>
      <c r="H5" s="58" t="s">
        <v>1766</v>
      </c>
      <c r="I5" s="58" t="s">
        <v>708</v>
      </c>
      <c r="J5" s="58" t="s">
        <v>667</v>
      </c>
      <c r="K5" s="67" t="s">
        <v>1739</v>
      </c>
      <c r="L5" s="57" t="s">
        <v>674</v>
      </c>
      <c r="M5" s="57" t="s">
        <v>1767</v>
      </c>
      <c r="N5" s="57">
        <v>90</v>
      </c>
      <c r="O5" s="68" t="s">
        <v>1768</v>
      </c>
    </row>
    <row r="6" ht="22.5" spans="1:15">
      <c r="A6" s="55">
        <v>4</v>
      </c>
      <c r="B6" s="56" t="s">
        <v>262</v>
      </c>
      <c r="C6" s="57" t="s">
        <v>951</v>
      </c>
      <c r="D6" s="58" t="s">
        <v>1769</v>
      </c>
      <c r="E6" s="58" t="s">
        <v>1765</v>
      </c>
      <c r="F6" s="61">
        <v>12514750</v>
      </c>
      <c r="G6" s="61">
        <v>2012.08</v>
      </c>
      <c r="H6" s="58" t="s">
        <v>42</v>
      </c>
      <c r="I6" s="58" t="s">
        <v>42</v>
      </c>
      <c r="J6" s="58" t="s">
        <v>667</v>
      </c>
      <c r="K6" s="67" t="s">
        <v>1739</v>
      </c>
      <c r="L6" s="57" t="s">
        <v>674</v>
      </c>
      <c r="M6" s="57" t="s">
        <v>1767</v>
      </c>
      <c r="N6" s="57">
        <v>90</v>
      </c>
      <c r="O6" s="68" t="s">
        <v>1768</v>
      </c>
    </row>
    <row r="7" ht="22.5" spans="1:15">
      <c r="A7" s="55">
        <v>5</v>
      </c>
      <c r="B7" s="56" t="s">
        <v>330</v>
      </c>
      <c r="C7" s="57" t="s">
        <v>823</v>
      </c>
      <c r="D7" s="58" t="s">
        <v>1770</v>
      </c>
      <c r="E7" s="58" t="s">
        <v>1771</v>
      </c>
      <c r="F7" s="61">
        <v>16048001</v>
      </c>
      <c r="G7" s="61">
        <v>2012.01</v>
      </c>
      <c r="H7" s="58" t="s">
        <v>826</v>
      </c>
      <c r="I7" s="58" t="s">
        <v>708</v>
      </c>
      <c r="J7" s="58" t="s">
        <v>667</v>
      </c>
      <c r="K7" s="67" t="s">
        <v>1772</v>
      </c>
      <c r="L7" s="57" t="s">
        <v>674</v>
      </c>
      <c r="M7" s="57" t="s">
        <v>1773</v>
      </c>
      <c r="N7" s="57">
        <v>80</v>
      </c>
      <c r="O7" s="68" t="s">
        <v>1768</v>
      </c>
    </row>
    <row r="8" ht="22.5" spans="1:15">
      <c r="A8" s="55">
        <v>6</v>
      </c>
      <c r="B8" s="56" t="s">
        <v>262</v>
      </c>
      <c r="C8" s="57" t="s">
        <v>823</v>
      </c>
      <c r="D8" s="58" t="s">
        <v>1774</v>
      </c>
      <c r="E8" s="58" t="s">
        <v>825</v>
      </c>
      <c r="F8" s="61">
        <v>86529576</v>
      </c>
      <c r="G8" s="61">
        <v>2010.1</v>
      </c>
      <c r="H8" s="58" t="s">
        <v>826</v>
      </c>
      <c r="I8" s="58" t="s">
        <v>708</v>
      </c>
      <c r="J8" s="58" t="s">
        <v>667</v>
      </c>
      <c r="K8" s="67" t="s">
        <v>1775</v>
      </c>
      <c r="L8" s="57" t="s">
        <v>674</v>
      </c>
      <c r="M8" s="57" t="s">
        <v>1773</v>
      </c>
      <c r="N8" s="57">
        <v>80</v>
      </c>
      <c r="O8" s="68" t="s">
        <v>1768</v>
      </c>
    </row>
    <row r="9" ht="22.5" spans="1:15">
      <c r="A9" s="55">
        <v>7</v>
      </c>
      <c r="B9" s="56" t="s">
        <v>262</v>
      </c>
      <c r="C9" s="57" t="s">
        <v>1776</v>
      </c>
      <c r="D9" s="58" t="s">
        <v>1777</v>
      </c>
      <c r="E9" s="58" t="s">
        <v>715</v>
      </c>
      <c r="F9" s="61">
        <v>11080433</v>
      </c>
      <c r="G9" s="61">
        <v>2012.08</v>
      </c>
      <c r="H9" s="58" t="s">
        <v>715</v>
      </c>
      <c r="I9" s="58" t="s">
        <v>708</v>
      </c>
      <c r="J9" s="58" t="s">
        <v>667</v>
      </c>
      <c r="K9" s="67" t="s">
        <v>1778</v>
      </c>
      <c r="L9" s="57" t="s">
        <v>674</v>
      </c>
      <c r="M9" s="57" t="s">
        <v>1779</v>
      </c>
      <c r="N9" s="57">
        <v>500</v>
      </c>
      <c r="O9" s="68" t="s">
        <v>1768</v>
      </c>
    </row>
    <row r="10" ht="24" spans="1:15">
      <c r="A10" s="55">
        <v>8</v>
      </c>
      <c r="B10" s="56" t="s">
        <v>262</v>
      </c>
      <c r="C10" s="57" t="s">
        <v>1780</v>
      </c>
      <c r="D10" s="62" t="s">
        <v>983</v>
      </c>
      <c r="E10" s="62">
        <v>1260</v>
      </c>
      <c r="F10" s="60" t="s">
        <v>1781</v>
      </c>
      <c r="G10" s="63">
        <v>2012.1</v>
      </c>
      <c r="H10" s="62" t="s">
        <v>42</v>
      </c>
      <c r="I10" s="62" t="s">
        <v>42</v>
      </c>
      <c r="J10" s="69" t="s">
        <v>943</v>
      </c>
      <c r="K10" s="70" t="s">
        <v>1623</v>
      </c>
      <c r="L10" s="71" t="s">
        <v>674</v>
      </c>
      <c r="M10" s="57" t="s">
        <v>1782</v>
      </c>
      <c r="N10" s="57">
        <v>800</v>
      </c>
      <c r="O10" s="72" t="s">
        <v>1783</v>
      </c>
    </row>
    <row r="11" ht="22.5" spans="1:15">
      <c r="A11" s="55">
        <v>9</v>
      </c>
      <c r="B11" s="56" t="s">
        <v>330</v>
      </c>
      <c r="C11" s="57" t="s">
        <v>710</v>
      </c>
      <c r="D11" s="58" t="s">
        <v>1784</v>
      </c>
      <c r="E11" s="58" t="s">
        <v>712</v>
      </c>
      <c r="F11" s="61">
        <v>11067605</v>
      </c>
      <c r="G11" s="61">
        <v>2012.01</v>
      </c>
      <c r="H11" s="58" t="s">
        <v>712</v>
      </c>
      <c r="I11" s="58" t="s">
        <v>708</v>
      </c>
      <c r="J11" s="58" t="s">
        <v>667</v>
      </c>
      <c r="K11" s="67" t="s">
        <v>1772</v>
      </c>
      <c r="L11" s="57" t="s">
        <v>674</v>
      </c>
      <c r="M11" s="57" t="s">
        <v>1785</v>
      </c>
      <c r="N11" s="57">
        <v>200</v>
      </c>
      <c r="O11" s="68" t="s">
        <v>1768</v>
      </c>
    </row>
    <row r="12" ht="24" spans="1:15">
      <c r="A12" s="55">
        <v>10</v>
      </c>
      <c r="B12" s="56" t="s">
        <v>330</v>
      </c>
      <c r="C12" s="57" t="s">
        <v>694</v>
      </c>
      <c r="D12" s="58" t="s">
        <v>1786</v>
      </c>
      <c r="E12" s="58" t="s">
        <v>696</v>
      </c>
      <c r="F12" s="60" t="s">
        <v>1787</v>
      </c>
      <c r="G12" s="61">
        <v>2012.01</v>
      </c>
      <c r="H12" s="64" t="s">
        <v>698</v>
      </c>
      <c r="I12" s="64" t="s">
        <v>699</v>
      </c>
      <c r="J12" s="58" t="s">
        <v>667</v>
      </c>
      <c r="K12" s="67" t="s">
        <v>1772</v>
      </c>
      <c r="L12" s="57" t="s">
        <v>674</v>
      </c>
      <c r="M12" s="57" t="s">
        <v>1785</v>
      </c>
      <c r="N12" s="57">
        <v>400</v>
      </c>
      <c r="O12" s="68" t="s">
        <v>1768</v>
      </c>
    </row>
    <row r="13" ht="24" spans="1:15">
      <c r="A13" s="55">
        <v>11</v>
      </c>
      <c r="B13" s="56" t="s">
        <v>330</v>
      </c>
      <c r="C13" s="57" t="s">
        <v>858</v>
      </c>
      <c r="D13" s="58" t="s">
        <v>42</v>
      </c>
      <c r="E13" s="58" t="s">
        <v>859</v>
      </c>
      <c r="F13" s="60" t="s">
        <v>1788</v>
      </c>
      <c r="G13" s="60">
        <v>2021.6</v>
      </c>
      <c r="H13" s="58" t="s">
        <v>42</v>
      </c>
      <c r="I13" s="58" t="s">
        <v>42</v>
      </c>
      <c r="J13" s="58" t="s">
        <v>667</v>
      </c>
      <c r="K13" s="67" t="s">
        <v>1623</v>
      </c>
      <c r="L13" s="57" t="s">
        <v>674</v>
      </c>
      <c r="M13" s="57" t="s">
        <v>1789</v>
      </c>
      <c r="N13" s="57">
        <v>600</v>
      </c>
      <c r="O13" s="68" t="s">
        <v>1768</v>
      </c>
    </row>
    <row r="14" ht="24" spans="1:15">
      <c r="A14" s="55">
        <v>12</v>
      </c>
      <c r="B14" s="56" t="s">
        <v>675</v>
      </c>
      <c r="C14" s="57" t="s">
        <v>687</v>
      </c>
      <c r="D14" s="58" t="s">
        <v>1790</v>
      </c>
      <c r="E14" s="58" t="s">
        <v>1791</v>
      </c>
      <c r="F14" s="60" t="s">
        <v>1792</v>
      </c>
      <c r="G14" s="61">
        <v>2012.08</v>
      </c>
      <c r="H14" s="64" t="s">
        <v>691</v>
      </c>
      <c r="I14" s="73" t="s">
        <v>692</v>
      </c>
      <c r="J14" s="58" t="s">
        <v>667</v>
      </c>
      <c r="K14" s="67" t="s">
        <v>1793</v>
      </c>
      <c r="L14" s="57" t="s">
        <v>674</v>
      </c>
      <c r="M14" s="57" t="s">
        <v>1794</v>
      </c>
      <c r="N14" s="57">
        <v>500</v>
      </c>
      <c r="O14" s="68" t="s">
        <v>1768</v>
      </c>
    </row>
    <row r="15" ht="22.5" spans="1:15">
      <c r="A15" s="55">
        <v>13</v>
      </c>
      <c r="B15" s="56" t="s">
        <v>262</v>
      </c>
      <c r="C15" s="57" t="s">
        <v>705</v>
      </c>
      <c r="D15" s="58" t="s">
        <v>1795</v>
      </c>
      <c r="E15" s="58" t="s">
        <v>832</v>
      </c>
      <c r="F15" s="61">
        <v>10166012</v>
      </c>
      <c r="G15" s="61">
        <v>2012.08</v>
      </c>
      <c r="H15" s="58" t="s">
        <v>707</v>
      </c>
      <c r="I15" s="58" t="s">
        <v>708</v>
      </c>
      <c r="J15" s="58" t="s">
        <v>667</v>
      </c>
      <c r="K15" s="67" t="s">
        <v>1778</v>
      </c>
      <c r="L15" s="57" t="s">
        <v>674</v>
      </c>
      <c r="M15" s="57" t="s">
        <v>1779</v>
      </c>
      <c r="N15" s="57">
        <v>160</v>
      </c>
      <c r="O15" s="68" t="s">
        <v>1768</v>
      </c>
    </row>
    <row r="16" ht="22.5" spans="1:15">
      <c r="A16" s="55">
        <v>14</v>
      </c>
      <c r="B16" s="56" t="s">
        <v>262</v>
      </c>
      <c r="C16" s="57" t="s">
        <v>710</v>
      </c>
      <c r="D16" s="58" t="s">
        <v>1796</v>
      </c>
      <c r="E16" s="58" t="s">
        <v>712</v>
      </c>
      <c r="F16" s="61">
        <v>11258402</v>
      </c>
      <c r="G16" s="61">
        <v>2012.08</v>
      </c>
      <c r="H16" s="58" t="s">
        <v>712</v>
      </c>
      <c r="I16" s="58" t="s">
        <v>708</v>
      </c>
      <c r="J16" s="58" t="s">
        <v>667</v>
      </c>
      <c r="K16" s="67" t="s">
        <v>1778</v>
      </c>
      <c r="L16" s="57" t="s">
        <v>674</v>
      </c>
      <c r="M16" s="57" t="s">
        <v>1779</v>
      </c>
      <c r="N16" s="57">
        <v>160</v>
      </c>
      <c r="O16" s="68" t="s">
        <v>1768</v>
      </c>
    </row>
    <row r="17" ht="24" spans="1:15">
      <c r="A17" s="55">
        <v>15</v>
      </c>
      <c r="B17" s="56" t="s">
        <v>262</v>
      </c>
      <c r="C17" s="57" t="s">
        <v>694</v>
      </c>
      <c r="D17" s="58" t="s">
        <v>1797</v>
      </c>
      <c r="E17" s="58" t="s">
        <v>696</v>
      </c>
      <c r="F17" s="60" t="s">
        <v>1798</v>
      </c>
      <c r="G17" s="61">
        <v>2012.08</v>
      </c>
      <c r="H17" s="64" t="s">
        <v>698</v>
      </c>
      <c r="I17" s="64" t="s">
        <v>699</v>
      </c>
      <c r="J17" s="58" t="s">
        <v>667</v>
      </c>
      <c r="K17" s="67" t="s">
        <v>1778</v>
      </c>
      <c r="L17" s="57" t="s">
        <v>674</v>
      </c>
      <c r="M17" s="57" t="s">
        <v>1779</v>
      </c>
      <c r="N17" s="57">
        <v>400</v>
      </c>
      <c r="O17" s="68" t="s">
        <v>1768</v>
      </c>
    </row>
    <row r="18" ht="22.5" spans="1:15">
      <c r="A18" s="55">
        <v>16</v>
      </c>
      <c r="B18" s="56" t="s">
        <v>262</v>
      </c>
      <c r="C18" s="57" t="s">
        <v>713</v>
      </c>
      <c r="D18" s="58" t="s">
        <v>1799</v>
      </c>
      <c r="E18" s="58" t="s">
        <v>715</v>
      </c>
      <c r="F18" s="61">
        <v>8154412</v>
      </c>
      <c r="G18" s="61">
        <v>2010.1</v>
      </c>
      <c r="H18" s="58" t="s">
        <v>715</v>
      </c>
      <c r="I18" s="58" t="s">
        <v>708</v>
      </c>
      <c r="J18" s="58" t="s">
        <v>667</v>
      </c>
      <c r="K18" s="67" t="s">
        <v>1778</v>
      </c>
      <c r="L18" s="57" t="s">
        <v>674</v>
      </c>
      <c r="M18" s="57" t="s">
        <v>1779</v>
      </c>
      <c r="N18" s="57">
        <v>160</v>
      </c>
      <c r="O18" s="68" t="s">
        <v>1768</v>
      </c>
    </row>
    <row r="19" ht="22.5" spans="1:15">
      <c r="A19" s="55">
        <v>17</v>
      </c>
      <c r="B19" s="56" t="s">
        <v>330</v>
      </c>
      <c r="C19" s="57" t="s">
        <v>713</v>
      </c>
      <c r="D19" s="58" t="s">
        <v>1800</v>
      </c>
      <c r="E19" s="58" t="s">
        <v>1801</v>
      </c>
      <c r="F19" s="60" t="s">
        <v>1802</v>
      </c>
      <c r="G19" s="61">
        <v>2012.08</v>
      </c>
      <c r="H19" s="58" t="s">
        <v>1803</v>
      </c>
      <c r="I19" s="58" t="s">
        <v>708</v>
      </c>
      <c r="J19" s="58" t="s">
        <v>667</v>
      </c>
      <c r="K19" s="67" t="s">
        <v>1775</v>
      </c>
      <c r="L19" s="57" t="s">
        <v>674</v>
      </c>
      <c r="M19" s="57" t="s">
        <v>1785</v>
      </c>
      <c r="N19" s="57">
        <v>200</v>
      </c>
      <c r="O19" s="68" t="s">
        <v>1768</v>
      </c>
    </row>
    <row r="20" ht="22.5" spans="1:15">
      <c r="A20" s="55">
        <v>18</v>
      </c>
      <c r="B20" s="56" t="s">
        <v>675</v>
      </c>
      <c r="C20" s="57" t="s">
        <v>669</v>
      </c>
      <c r="D20" s="58"/>
      <c r="E20" s="58" t="s">
        <v>670</v>
      </c>
      <c r="F20" s="60" t="s">
        <v>909</v>
      </c>
      <c r="G20" s="61"/>
      <c r="H20" s="58" t="s">
        <v>907</v>
      </c>
      <c r="I20" s="58">
        <v>0.001</v>
      </c>
      <c r="J20" s="58" t="s">
        <v>673</v>
      </c>
      <c r="K20" s="67" t="s">
        <v>1793</v>
      </c>
      <c r="L20" s="57" t="s">
        <v>674</v>
      </c>
      <c r="M20" s="57" t="s">
        <v>1804</v>
      </c>
      <c r="N20" s="57">
        <v>400</v>
      </c>
      <c r="O20" s="68" t="s">
        <v>361</v>
      </c>
    </row>
    <row r="21" ht="22.5" spans="1:15">
      <c r="A21" s="55">
        <v>19</v>
      </c>
      <c r="B21" s="56" t="s">
        <v>675</v>
      </c>
      <c r="C21" s="57" t="s">
        <v>931</v>
      </c>
      <c r="D21" s="58" t="s">
        <v>1805</v>
      </c>
      <c r="E21" s="58" t="s">
        <v>933</v>
      </c>
      <c r="F21" s="60">
        <v>49001</v>
      </c>
      <c r="G21" s="61">
        <v>2012.07</v>
      </c>
      <c r="H21" s="58" t="s">
        <v>934</v>
      </c>
      <c r="I21" s="58">
        <v>0.01</v>
      </c>
      <c r="J21" s="58" t="s">
        <v>673</v>
      </c>
      <c r="K21" s="67" t="s">
        <v>1775</v>
      </c>
      <c r="L21" s="57" t="s">
        <v>674</v>
      </c>
      <c r="M21" s="57" t="s">
        <v>1806</v>
      </c>
      <c r="N21" s="57">
        <v>500</v>
      </c>
      <c r="O21" s="68" t="s">
        <v>1807</v>
      </c>
    </row>
    <row r="22" ht="22.5" spans="1:15">
      <c r="A22" s="55">
        <v>20</v>
      </c>
      <c r="B22" s="56" t="s">
        <v>262</v>
      </c>
      <c r="C22" s="57" t="s">
        <v>931</v>
      </c>
      <c r="D22" s="58"/>
      <c r="E22" s="58" t="s">
        <v>933</v>
      </c>
      <c r="F22" s="60">
        <v>190301077433</v>
      </c>
      <c r="G22" s="61">
        <v>2019.03</v>
      </c>
      <c r="H22" s="58"/>
      <c r="I22" s="58"/>
      <c r="J22" s="58" t="s">
        <v>673</v>
      </c>
      <c r="K22" s="67" t="s">
        <v>1623</v>
      </c>
      <c r="L22" s="57" t="s">
        <v>674</v>
      </c>
      <c r="M22" s="57" t="s">
        <v>1808</v>
      </c>
      <c r="N22" s="57">
        <v>500</v>
      </c>
      <c r="O22" s="68" t="s">
        <v>361</v>
      </c>
    </row>
    <row r="23" ht="24" spans="1:15">
      <c r="A23" s="55">
        <v>21</v>
      </c>
      <c r="B23" s="56" t="s">
        <v>262</v>
      </c>
      <c r="C23" s="57" t="s">
        <v>687</v>
      </c>
      <c r="D23" s="58" t="s">
        <v>1809</v>
      </c>
      <c r="E23" s="58" t="s">
        <v>1791</v>
      </c>
      <c r="F23" s="60" t="s">
        <v>1810</v>
      </c>
      <c r="G23" s="61">
        <v>2012.08</v>
      </c>
      <c r="H23" s="58" t="s">
        <v>1811</v>
      </c>
      <c r="I23" s="58" t="s">
        <v>692</v>
      </c>
      <c r="J23" s="58" t="s">
        <v>673</v>
      </c>
      <c r="K23" s="67" t="s">
        <v>1775</v>
      </c>
      <c r="L23" s="57" t="s">
        <v>674</v>
      </c>
      <c r="M23" s="57" t="s">
        <v>1773</v>
      </c>
      <c r="N23" s="57">
        <v>500</v>
      </c>
      <c r="O23" s="68" t="s">
        <v>1812</v>
      </c>
    </row>
    <row r="24" ht="24" spans="1:15">
      <c r="A24" s="55">
        <v>22</v>
      </c>
      <c r="B24" s="56" t="s">
        <v>330</v>
      </c>
      <c r="C24" s="57" t="s">
        <v>687</v>
      </c>
      <c r="D24" s="58" t="s">
        <v>1813</v>
      </c>
      <c r="E24" s="58" t="s">
        <v>689</v>
      </c>
      <c r="F24" s="60" t="s">
        <v>1814</v>
      </c>
      <c r="G24" s="61">
        <v>2010.1</v>
      </c>
      <c r="H24" s="58" t="s">
        <v>1811</v>
      </c>
      <c r="I24" s="58" t="s">
        <v>692</v>
      </c>
      <c r="J24" s="58" t="s">
        <v>673</v>
      </c>
      <c r="K24" s="67" t="s">
        <v>1775</v>
      </c>
      <c r="L24" s="57" t="s">
        <v>674</v>
      </c>
      <c r="M24" s="57" t="s">
        <v>1773</v>
      </c>
      <c r="N24" s="57">
        <v>500</v>
      </c>
      <c r="O24" s="68" t="s">
        <v>1812</v>
      </c>
    </row>
    <row r="25" ht="22.5" spans="1:15">
      <c r="A25" s="55">
        <v>23</v>
      </c>
      <c r="B25" s="56" t="s">
        <v>675</v>
      </c>
      <c r="C25" s="57" t="s">
        <v>1815</v>
      </c>
      <c r="D25" s="58" t="s">
        <v>1816</v>
      </c>
      <c r="E25" s="58" t="s">
        <v>1817</v>
      </c>
      <c r="F25" s="60">
        <v>2018862</v>
      </c>
      <c r="G25" s="61">
        <v>2010.1</v>
      </c>
      <c r="H25" s="58" t="s">
        <v>1818</v>
      </c>
      <c r="I25" s="58" t="s">
        <v>1819</v>
      </c>
      <c r="J25" s="58" t="s">
        <v>673</v>
      </c>
      <c r="K25" s="67" t="s">
        <v>1739</v>
      </c>
      <c r="L25" s="57" t="s">
        <v>674</v>
      </c>
      <c r="M25" s="57" t="s">
        <v>1820</v>
      </c>
      <c r="N25" s="57">
        <v>300</v>
      </c>
      <c r="O25" s="68" t="s">
        <v>833</v>
      </c>
    </row>
    <row r="26" ht="24" spans="1:15">
      <c r="A26" s="55">
        <v>24</v>
      </c>
      <c r="B26" s="56" t="s">
        <v>675</v>
      </c>
      <c r="C26" s="57" t="s">
        <v>1815</v>
      </c>
      <c r="D26" s="58" t="s">
        <v>1821</v>
      </c>
      <c r="E26" s="58" t="s">
        <v>1817</v>
      </c>
      <c r="F26" s="60" t="s">
        <v>1822</v>
      </c>
      <c r="G26" s="61">
        <v>2012.08</v>
      </c>
      <c r="H26" s="58" t="s">
        <v>1818</v>
      </c>
      <c r="I26" s="58" t="s">
        <v>1819</v>
      </c>
      <c r="J26" s="58" t="s">
        <v>673</v>
      </c>
      <c r="K26" s="67" t="s">
        <v>1778</v>
      </c>
      <c r="L26" s="57" t="s">
        <v>674</v>
      </c>
      <c r="M26" s="57" t="s">
        <v>1823</v>
      </c>
      <c r="N26" s="57">
        <v>300</v>
      </c>
      <c r="O26" s="68" t="s">
        <v>833</v>
      </c>
    </row>
    <row r="27" ht="22.5" spans="1:15">
      <c r="A27" s="55">
        <v>25</v>
      </c>
      <c r="B27" s="56" t="s">
        <v>675</v>
      </c>
      <c r="C27" s="57" t="s">
        <v>669</v>
      </c>
      <c r="D27" s="58" t="s">
        <v>1824</v>
      </c>
      <c r="E27" s="58" t="s">
        <v>670</v>
      </c>
      <c r="F27" s="60" t="s">
        <v>1825</v>
      </c>
      <c r="G27" s="61">
        <v>2010.1</v>
      </c>
      <c r="H27" s="58" t="s">
        <v>907</v>
      </c>
      <c r="I27" s="58">
        <v>0.001</v>
      </c>
      <c r="J27" s="58" t="s">
        <v>673</v>
      </c>
      <c r="K27" s="67" t="s">
        <v>1826</v>
      </c>
      <c r="L27" s="57" t="s">
        <v>674</v>
      </c>
      <c r="M27" s="57" t="s">
        <v>1827</v>
      </c>
      <c r="N27" s="57">
        <v>336</v>
      </c>
      <c r="O27" s="68" t="s">
        <v>361</v>
      </c>
    </row>
    <row r="28" ht="22.5" spans="1:15">
      <c r="A28" s="55">
        <v>26</v>
      </c>
      <c r="B28" s="56" t="s">
        <v>675</v>
      </c>
      <c r="C28" s="57" t="s">
        <v>669</v>
      </c>
      <c r="D28" s="58" t="s">
        <v>1828</v>
      </c>
      <c r="E28" s="58" t="s">
        <v>1829</v>
      </c>
      <c r="F28" s="60" t="s">
        <v>1830</v>
      </c>
      <c r="G28" s="61">
        <v>2010.1</v>
      </c>
      <c r="H28" s="58" t="s">
        <v>1831</v>
      </c>
      <c r="I28" s="58">
        <v>0.001</v>
      </c>
      <c r="J28" s="58" t="s">
        <v>673</v>
      </c>
      <c r="K28" s="67" t="s">
        <v>1826</v>
      </c>
      <c r="L28" s="57" t="s">
        <v>674</v>
      </c>
      <c r="M28" s="57" t="s">
        <v>1832</v>
      </c>
      <c r="N28" s="57">
        <v>336</v>
      </c>
      <c r="O28" s="68" t="s">
        <v>361</v>
      </c>
    </row>
    <row r="29" ht="22.5" spans="1:15">
      <c r="A29" s="55">
        <v>27</v>
      </c>
      <c r="B29" s="56" t="s">
        <v>675</v>
      </c>
      <c r="C29" s="57" t="s">
        <v>669</v>
      </c>
      <c r="D29" s="58" t="s">
        <v>1833</v>
      </c>
      <c r="E29" s="58" t="s">
        <v>1829</v>
      </c>
      <c r="F29" s="60" t="s">
        <v>1834</v>
      </c>
      <c r="G29" s="61">
        <v>2010.1</v>
      </c>
      <c r="H29" s="58" t="s">
        <v>1831</v>
      </c>
      <c r="I29" s="58">
        <v>0.001</v>
      </c>
      <c r="J29" s="58" t="s">
        <v>673</v>
      </c>
      <c r="K29" s="67" t="s">
        <v>1623</v>
      </c>
      <c r="L29" s="57" t="s">
        <v>674</v>
      </c>
      <c r="M29" s="57" t="s">
        <v>1835</v>
      </c>
      <c r="N29" s="57">
        <v>336</v>
      </c>
      <c r="O29" s="68" t="s">
        <v>361</v>
      </c>
    </row>
    <row r="30" ht="22.5" spans="1:15">
      <c r="A30" s="55">
        <v>28</v>
      </c>
      <c r="B30" s="56" t="s">
        <v>675</v>
      </c>
      <c r="C30" s="57" t="s">
        <v>669</v>
      </c>
      <c r="D30" s="58" t="s">
        <v>1836</v>
      </c>
      <c r="E30" s="58" t="s">
        <v>1837</v>
      </c>
      <c r="F30" s="60" t="s">
        <v>1838</v>
      </c>
      <c r="G30" s="61">
        <v>2012.01</v>
      </c>
      <c r="H30" s="58" t="s">
        <v>1839</v>
      </c>
      <c r="I30" s="58">
        <v>0.001</v>
      </c>
      <c r="J30" s="58" t="s">
        <v>673</v>
      </c>
      <c r="K30" s="67" t="s">
        <v>1826</v>
      </c>
      <c r="L30" s="57" t="s">
        <v>674</v>
      </c>
      <c r="M30" s="57" t="s">
        <v>1827</v>
      </c>
      <c r="N30" s="57">
        <v>336</v>
      </c>
      <c r="O30" s="68" t="s">
        <v>361</v>
      </c>
    </row>
    <row r="31" ht="22.5" spans="1:15">
      <c r="A31" s="55">
        <v>29</v>
      </c>
      <c r="B31" s="56" t="s">
        <v>675</v>
      </c>
      <c r="C31" s="57" t="s">
        <v>669</v>
      </c>
      <c r="D31" s="58" t="s">
        <v>1840</v>
      </c>
      <c r="E31" s="58" t="s">
        <v>670</v>
      </c>
      <c r="F31" s="60" t="s">
        <v>1841</v>
      </c>
      <c r="G31" s="61">
        <v>2012.01</v>
      </c>
      <c r="H31" s="58" t="s">
        <v>907</v>
      </c>
      <c r="I31" s="58">
        <v>0.001</v>
      </c>
      <c r="J31" s="58" t="s">
        <v>673</v>
      </c>
      <c r="K31" s="67" t="s">
        <v>1826</v>
      </c>
      <c r="L31" s="57" t="s">
        <v>674</v>
      </c>
      <c r="M31" s="57" t="s">
        <v>1832</v>
      </c>
      <c r="N31" s="57">
        <v>336</v>
      </c>
      <c r="O31" s="68" t="s">
        <v>361</v>
      </c>
    </row>
    <row r="32" ht="22.5" spans="1:15">
      <c r="A32" s="55">
        <v>30</v>
      </c>
      <c r="B32" s="56" t="s">
        <v>675</v>
      </c>
      <c r="C32" s="57" t="s">
        <v>669</v>
      </c>
      <c r="D32" s="58" t="s">
        <v>1842</v>
      </c>
      <c r="E32" s="58" t="s">
        <v>1837</v>
      </c>
      <c r="F32" s="60" t="s">
        <v>1843</v>
      </c>
      <c r="G32" s="61">
        <v>2012.08</v>
      </c>
      <c r="H32" s="58" t="s">
        <v>1839</v>
      </c>
      <c r="I32" s="58">
        <v>0.001</v>
      </c>
      <c r="J32" s="58" t="s">
        <v>673</v>
      </c>
      <c r="K32" s="67" t="s">
        <v>1775</v>
      </c>
      <c r="L32" s="57" t="s">
        <v>674</v>
      </c>
      <c r="M32" s="57" t="s">
        <v>1844</v>
      </c>
      <c r="N32" s="57">
        <v>336</v>
      </c>
      <c r="O32" s="68" t="s">
        <v>361</v>
      </c>
    </row>
    <row r="33" ht="22.5" spans="1:15">
      <c r="A33" s="55">
        <v>31</v>
      </c>
      <c r="B33" s="56" t="s">
        <v>330</v>
      </c>
      <c r="C33" s="57" t="s">
        <v>669</v>
      </c>
      <c r="D33" s="58" t="s">
        <v>1845</v>
      </c>
      <c r="E33" s="58" t="s">
        <v>670</v>
      </c>
      <c r="F33" s="60" t="s">
        <v>1846</v>
      </c>
      <c r="G33" s="61">
        <v>2012.01</v>
      </c>
      <c r="H33" s="58" t="s">
        <v>907</v>
      </c>
      <c r="I33" s="58">
        <v>0.001</v>
      </c>
      <c r="J33" s="58" t="s">
        <v>673</v>
      </c>
      <c r="K33" s="67" t="s">
        <v>1826</v>
      </c>
      <c r="L33" s="57" t="s">
        <v>674</v>
      </c>
      <c r="M33" s="57" t="s">
        <v>1847</v>
      </c>
      <c r="N33" s="57">
        <v>336</v>
      </c>
      <c r="O33" s="68" t="s">
        <v>1848</v>
      </c>
    </row>
    <row r="34" ht="24" spans="1:15">
      <c r="A34" s="55">
        <v>32</v>
      </c>
      <c r="B34" s="56" t="s">
        <v>675</v>
      </c>
      <c r="C34" s="57" t="s">
        <v>70</v>
      </c>
      <c r="D34" s="58" t="s">
        <v>1849</v>
      </c>
      <c r="E34" s="58" t="s">
        <v>839</v>
      </c>
      <c r="F34" s="60">
        <v>1231105274</v>
      </c>
      <c r="G34" s="61">
        <v>2010.1</v>
      </c>
      <c r="H34" s="58" t="s">
        <v>1850</v>
      </c>
      <c r="I34" s="58" t="s">
        <v>74</v>
      </c>
      <c r="J34" s="58" t="s">
        <v>673</v>
      </c>
      <c r="K34" s="67" t="s">
        <v>1775</v>
      </c>
      <c r="L34" s="57" t="s">
        <v>674</v>
      </c>
      <c r="M34" s="57" t="s">
        <v>1851</v>
      </c>
      <c r="N34" s="57">
        <v>240</v>
      </c>
      <c r="O34" s="68" t="s">
        <v>361</v>
      </c>
    </row>
    <row r="35" ht="22.5" spans="1:15">
      <c r="A35" s="55">
        <v>33</v>
      </c>
      <c r="B35" s="56" t="s">
        <v>675</v>
      </c>
      <c r="C35" s="57" t="s">
        <v>70</v>
      </c>
      <c r="D35" s="58" t="s">
        <v>42</v>
      </c>
      <c r="E35" s="58" t="s">
        <v>402</v>
      </c>
      <c r="F35" s="60" t="s">
        <v>1852</v>
      </c>
      <c r="G35" s="61"/>
      <c r="H35" s="58"/>
      <c r="I35" s="58"/>
      <c r="J35" s="58" t="s">
        <v>673</v>
      </c>
      <c r="K35" s="67" t="s">
        <v>1853</v>
      </c>
      <c r="L35" s="57" t="s">
        <v>674</v>
      </c>
      <c r="M35" s="57" t="s">
        <v>1854</v>
      </c>
      <c r="N35" s="57">
        <v>240</v>
      </c>
      <c r="O35" s="68" t="s">
        <v>1855</v>
      </c>
    </row>
    <row r="36" ht="22.5" spans="1:15">
      <c r="A36" s="55">
        <v>34</v>
      </c>
      <c r="B36" s="56" t="s">
        <v>675</v>
      </c>
      <c r="C36" s="57" t="s">
        <v>823</v>
      </c>
      <c r="D36" s="58" t="s">
        <v>1856</v>
      </c>
      <c r="E36" s="58" t="s">
        <v>1771</v>
      </c>
      <c r="F36" s="60">
        <v>16057245</v>
      </c>
      <c r="G36" s="61">
        <v>2012.01</v>
      </c>
      <c r="H36" s="58" t="s">
        <v>1857</v>
      </c>
      <c r="I36" s="58" t="s">
        <v>708</v>
      </c>
      <c r="J36" s="58" t="s">
        <v>673</v>
      </c>
      <c r="K36" s="67" t="s">
        <v>1775</v>
      </c>
      <c r="L36" s="57" t="s">
        <v>674</v>
      </c>
      <c r="M36" s="57" t="s">
        <v>1851</v>
      </c>
      <c r="N36" s="57">
        <v>80</v>
      </c>
      <c r="O36" s="68" t="s">
        <v>1858</v>
      </c>
    </row>
    <row r="37" ht="22.5" spans="1:15">
      <c r="A37" s="55">
        <v>35</v>
      </c>
      <c r="B37" s="56" t="s">
        <v>675</v>
      </c>
      <c r="C37" s="57" t="s">
        <v>713</v>
      </c>
      <c r="D37" s="58" t="s">
        <v>1859</v>
      </c>
      <c r="E37" s="58" t="s">
        <v>1801</v>
      </c>
      <c r="F37" s="60">
        <v>11067613</v>
      </c>
      <c r="G37" s="61">
        <v>2012.01</v>
      </c>
      <c r="H37" s="58" t="s">
        <v>1860</v>
      </c>
      <c r="I37" s="58" t="s">
        <v>708</v>
      </c>
      <c r="J37" s="58" t="s">
        <v>673</v>
      </c>
      <c r="K37" s="67" t="s">
        <v>1775</v>
      </c>
      <c r="L37" s="57" t="s">
        <v>674</v>
      </c>
      <c r="M37" s="57" t="s">
        <v>1851</v>
      </c>
      <c r="N37" s="57">
        <v>200</v>
      </c>
      <c r="O37" s="68" t="s">
        <v>361</v>
      </c>
    </row>
    <row r="38" ht="24" spans="1:15">
      <c r="A38" s="55">
        <v>37</v>
      </c>
      <c r="B38" s="56" t="s">
        <v>675</v>
      </c>
      <c r="C38" s="57" t="s">
        <v>70</v>
      </c>
      <c r="D38" s="58" t="s">
        <v>1861</v>
      </c>
      <c r="E38" s="58" t="s">
        <v>402</v>
      </c>
      <c r="F38" s="60" t="s">
        <v>1862</v>
      </c>
      <c r="G38" s="61">
        <v>2017.3</v>
      </c>
      <c r="H38" s="58" t="s">
        <v>1850</v>
      </c>
      <c r="I38" s="58" t="s">
        <v>1049</v>
      </c>
      <c r="J38" s="58" t="s">
        <v>673</v>
      </c>
      <c r="K38" s="67" t="s">
        <v>1623</v>
      </c>
      <c r="L38" s="57" t="s">
        <v>674</v>
      </c>
      <c r="M38" s="57" t="s">
        <v>1863</v>
      </c>
      <c r="N38" s="57">
        <v>240</v>
      </c>
      <c r="O38" s="68" t="s">
        <v>1864</v>
      </c>
    </row>
    <row r="39" ht="24" spans="1:15">
      <c r="A39" s="55">
        <v>38</v>
      </c>
      <c r="B39" s="56" t="s">
        <v>675</v>
      </c>
      <c r="C39" s="57" t="s">
        <v>880</v>
      </c>
      <c r="D39" s="58" t="s">
        <v>1865</v>
      </c>
      <c r="E39" s="58" t="s">
        <v>882</v>
      </c>
      <c r="F39" s="60" t="s">
        <v>1866</v>
      </c>
      <c r="G39" s="61">
        <v>2010.1</v>
      </c>
      <c r="H39" s="58" t="s">
        <v>42</v>
      </c>
      <c r="I39" s="58" t="s">
        <v>42</v>
      </c>
      <c r="J39" s="58" t="s">
        <v>673</v>
      </c>
      <c r="K39" s="67" t="s">
        <v>1867</v>
      </c>
      <c r="L39" s="57" t="s">
        <v>674</v>
      </c>
      <c r="M39" s="57" t="s">
        <v>1868</v>
      </c>
      <c r="N39" s="57">
        <v>300</v>
      </c>
      <c r="O39" s="68" t="s">
        <v>361</v>
      </c>
    </row>
    <row r="40" ht="24" spans="1:15">
      <c r="A40" s="55">
        <v>39</v>
      </c>
      <c r="B40" s="56" t="s">
        <v>675</v>
      </c>
      <c r="C40" s="57" t="s">
        <v>880</v>
      </c>
      <c r="D40" s="58" t="s">
        <v>1869</v>
      </c>
      <c r="E40" s="58" t="s">
        <v>882</v>
      </c>
      <c r="F40" s="60" t="s">
        <v>1870</v>
      </c>
      <c r="G40" s="61">
        <v>2010.1</v>
      </c>
      <c r="H40" s="58" t="s">
        <v>42</v>
      </c>
      <c r="I40" s="58" t="s">
        <v>42</v>
      </c>
      <c r="J40" s="58" t="s">
        <v>673</v>
      </c>
      <c r="K40" s="67" t="s">
        <v>1867</v>
      </c>
      <c r="L40" s="57" t="s">
        <v>674</v>
      </c>
      <c r="M40" s="57" t="s">
        <v>1868</v>
      </c>
      <c r="N40" s="57">
        <v>300</v>
      </c>
      <c r="O40" s="68" t="s">
        <v>361</v>
      </c>
    </row>
    <row r="41" ht="24" spans="1:15">
      <c r="A41" s="55">
        <v>40</v>
      </c>
      <c r="B41" s="56" t="s">
        <v>675</v>
      </c>
      <c r="C41" s="57" t="s">
        <v>880</v>
      </c>
      <c r="D41" s="58" t="s">
        <v>1871</v>
      </c>
      <c r="E41" s="58" t="s">
        <v>882</v>
      </c>
      <c r="F41" s="60" t="s">
        <v>1872</v>
      </c>
      <c r="G41" s="61">
        <v>2012.01</v>
      </c>
      <c r="H41" s="58" t="s">
        <v>42</v>
      </c>
      <c r="I41" s="58" t="s">
        <v>42</v>
      </c>
      <c r="J41" s="58" t="s">
        <v>673</v>
      </c>
      <c r="K41" s="67" t="s">
        <v>1623</v>
      </c>
      <c r="L41" s="57" t="s">
        <v>674</v>
      </c>
      <c r="M41" s="57" t="s">
        <v>1873</v>
      </c>
      <c r="N41" s="57">
        <v>300</v>
      </c>
      <c r="O41" s="68" t="s">
        <v>361</v>
      </c>
    </row>
    <row r="42" ht="24" spans="1:15">
      <c r="A42" s="55">
        <v>41</v>
      </c>
      <c r="B42" s="56" t="s">
        <v>675</v>
      </c>
      <c r="C42" s="57" t="s">
        <v>880</v>
      </c>
      <c r="D42" s="58" t="s">
        <v>1874</v>
      </c>
      <c r="E42" s="58" t="s">
        <v>882</v>
      </c>
      <c r="F42" s="60" t="s">
        <v>1875</v>
      </c>
      <c r="G42" s="61">
        <v>2012.08</v>
      </c>
      <c r="H42" s="58" t="s">
        <v>42</v>
      </c>
      <c r="I42" s="58" t="s">
        <v>42</v>
      </c>
      <c r="J42" s="58" t="s">
        <v>673</v>
      </c>
      <c r="K42" s="67" t="s">
        <v>1623</v>
      </c>
      <c r="L42" s="57" t="s">
        <v>674</v>
      </c>
      <c r="M42" s="57" t="s">
        <v>1873</v>
      </c>
      <c r="N42" s="57">
        <v>336</v>
      </c>
      <c r="O42" s="68" t="s">
        <v>361</v>
      </c>
    </row>
    <row r="43" ht="22.5" spans="1:15">
      <c r="A43" s="55">
        <v>42</v>
      </c>
      <c r="B43" s="56" t="s">
        <v>675</v>
      </c>
      <c r="C43" s="57" t="s">
        <v>669</v>
      </c>
      <c r="D43" s="58"/>
      <c r="E43" s="58" t="s">
        <v>670</v>
      </c>
      <c r="F43" s="60" t="s">
        <v>930</v>
      </c>
      <c r="G43" s="61">
        <v>2020.5</v>
      </c>
      <c r="H43" s="58" t="s">
        <v>907</v>
      </c>
      <c r="I43" s="58">
        <v>0.001</v>
      </c>
      <c r="J43" s="58" t="s">
        <v>673</v>
      </c>
      <c r="K43" s="67" t="s">
        <v>1826</v>
      </c>
      <c r="L43" s="57" t="s">
        <v>674</v>
      </c>
      <c r="M43" s="57" t="s">
        <v>1876</v>
      </c>
      <c r="N43" s="57">
        <v>336</v>
      </c>
      <c r="O43" s="74" t="s">
        <v>361</v>
      </c>
    </row>
    <row r="44" ht="22.5" spans="1:15">
      <c r="A44" s="55">
        <v>43</v>
      </c>
      <c r="B44" s="56" t="s">
        <v>675</v>
      </c>
      <c r="C44" s="57" t="s">
        <v>669</v>
      </c>
      <c r="D44" s="58"/>
      <c r="E44" s="58" t="s">
        <v>670</v>
      </c>
      <c r="F44" s="60" t="s">
        <v>1877</v>
      </c>
      <c r="G44" s="61"/>
      <c r="H44" s="58" t="s">
        <v>907</v>
      </c>
      <c r="I44" s="58">
        <v>0.001</v>
      </c>
      <c r="J44" s="58" t="s">
        <v>673</v>
      </c>
      <c r="K44" s="67" t="s">
        <v>1826</v>
      </c>
      <c r="L44" s="57" t="s">
        <v>674</v>
      </c>
      <c r="M44" s="57" t="s">
        <v>1876</v>
      </c>
      <c r="N44" s="57">
        <v>336</v>
      </c>
      <c r="O44" s="74" t="s">
        <v>361</v>
      </c>
    </row>
    <row r="45" ht="22.5" spans="1:15">
      <c r="A45" s="55">
        <v>44</v>
      </c>
      <c r="B45" s="56" t="s">
        <v>675</v>
      </c>
      <c r="C45" s="57" t="s">
        <v>710</v>
      </c>
      <c r="D45" s="58" t="s">
        <v>1878</v>
      </c>
      <c r="E45" s="58" t="s">
        <v>1879</v>
      </c>
      <c r="F45" s="60">
        <v>8106740</v>
      </c>
      <c r="G45" s="61">
        <v>2010.1</v>
      </c>
      <c r="H45" s="58" t="s">
        <v>1879</v>
      </c>
      <c r="I45" s="58" t="s">
        <v>708</v>
      </c>
      <c r="J45" s="58" t="s">
        <v>673</v>
      </c>
      <c r="K45" s="67" t="s">
        <v>1775</v>
      </c>
      <c r="L45" s="57" t="s">
        <v>674</v>
      </c>
      <c r="M45" s="57" t="s">
        <v>1880</v>
      </c>
      <c r="N45" s="57">
        <v>200</v>
      </c>
      <c r="O45" s="74" t="s">
        <v>361</v>
      </c>
    </row>
    <row r="46" ht="24" spans="1:15">
      <c r="A46" s="55"/>
      <c r="B46" s="56" t="s">
        <v>675</v>
      </c>
      <c r="C46" s="57" t="s">
        <v>687</v>
      </c>
      <c r="D46" s="58" t="s">
        <v>1881</v>
      </c>
      <c r="E46" s="58" t="s">
        <v>689</v>
      </c>
      <c r="F46" s="60" t="s">
        <v>1882</v>
      </c>
      <c r="G46" s="61">
        <v>2012.01</v>
      </c>
      <c r="H46" s="64" t="s">
        <v>691</v>
      </c>
      <c r="I46" s="73" t="s">
        <v>692</v>
      </c>
      <c r="J46" s="58" t="s">
        <v>667</v>
      </c>
      <c r="K46" s="67" t="s">
        <v>1772</v>
      </c>
      <c r="L46" s="57" t="s">
        <v>674</v>
      </c>
      <c r="M46" s="57" t="s">
        <v>1883</v>
      </c>
      <c r="N46" s="57">
        <v>500</v>
      </c>
      <c r="O46" s="68" t="s">
        <v>1884</v>
      </c>
    </row>
    <row r="47" ht="22.5" spans="1:15">
      <c r="A47" s="55"/>
      <c r="B47" s="65" t="s">
        <v>675</v>
      </c>
      <c r="C47" s="7" t="s">
        <v>1776</v>
      </c>
      <c r="D47" s="5" t="s">
        <v>1885</v>
      </c>
      <c r="E47" s="5" t="s">
        <v>715</v>
      </c>
      <c r="F47" s="17">
        <v>10039515</v>
      </c>
      <c r="G47" s="6">
        <v>2010.1</v>
      </c>
      <c r="H47" s="5" t="s">
        <v>715</v>
      </c>
      <c r="I47" s="5" t="s">
        <v>708</v>
      </c>
      <c r="J47" s="5" t="s">
        <v>667</v>
      </c>
      <c r="K47" s="45" t="s">
        <v>1886</v>
      </c>
      <c r="L47" s="7" t="s">
        <v>674</v>
      </c>
      <c r="M47" s="7" t="s">
        <v>1887</v>
      </c>
      <c r="N47" s="7">
        <v>200</v>
      </c>
      <c r="O47" s="75" t="s">
        <v>1480</v>
      </c>
    </row>
    <row r="48" ht="22.5" spans="1:15">
      <c r="A48" s="55"/>
      <c r="B48" s="65" t="s">
        <v>675</v>
      </c>
      <c r="C48" s="7" t="s">
        <v>1888</v>
      </c>
      <c r="D48" s="5" t="s">
        <v>1889</v>
      </c>
      <c r="E48" s="5" t="s">
        <v>1890</v>
      </c>
      <c r="F48" s="6">
        <v>10031285</v>
      </c>
      <c r="G48" s="6">
        <v>2010.1</v>
      </c>
      <c r="H48" s="5" t="s">
        <v>1890</v>
      </c>
      <c r="I48" s="5" t="s">
        <v>708</v>
      </c>
      <c r="J48" s="5" t="s">
        <v>667</v>
      </c>
      <c r="K48" s="45" t="s">
        <v>1886</v>
      </c>
      <c r="L48" s="7" t="s">
        <v>674</v>
      </c>
      <c r="M48" s="7" t="s">
        <v>1891</v>
      </c>
      <c r="N48" s="7">
        <v>200</v>
      </c>
      <c r="O48" s="75" t="s">
        <v>1480</v>
      </c>
    </row>
    <row r="49" ht="22.5" spans="1:15">
      <c r="A49" s="55"/>
      <c r="B49" s="65" t="s">
        <v>675</v>
      </c>
      <c r="C49" s="7" t="s">
        <v>1888</v>
      </c>
      <c r="D49" s="5" t="s">
        <v>1892</v>
      </c>
      <c r="E49" s="5" t="s">
        <v>1890</v>
      </c>
      <c r="F49" s="6">
        <v>10031331</v>
      </c>
      <c r="G49" s="6">
        <v>2010.1</v>
      </c>
      <c r="H49" s="5" t="s">
        <v>1890</v>
      </c>
      <c r="I49" s="5" t="s">
        <v>708</v>
      </c>
      <c r="J49" s="5" t="s">
        <v>667</v>
      </c>
      <c r="K49" s="45" t="s">
        <v>1886</v>
      </c>
      <c r="L49" s="7" t="s">
        <v>674</v>
      </c>
      <c r="M49" s="7" t="s">
        <v>1891</v>
      </c>
      <c r="N49" s="7">
        <v>200</v>
      </c>
      <c r="O49" s="75" t="s">
        <v>1480</v>
      </c>
    </row>
    <row r="50" ht="22.5" spans="1:15">
      <c r="A50" s="55"/>
      <c r="B50" s="65" t="s">
        <v>675</v>
      </c>
      <c r="C50" s="7" t="s">
        <v>916</v>
      </c>
      <c r="D50" s="5" t="s">
        <v>1893</v>
      </c>
      <c r="E50" s="5" t="s">
        <v>918</v>
      </c>
      <c r="F50" s="6">
        <v>10031282</v>
      </c>
      <c r="G50" s="6">
        <v>2010.1</v>
      </c>
      <c r="H50" s="5" t="s">
        <v>918</v>
      </c>
      <c r="I50" s="5" t="s">
        <v>708</v>
      </c>
      <c r="J50" s="5" t="s">
        <v>667</v>
      </c>
      <c r="K50" s="45" t="s">
        <v>1886</v>
      </c>
      <c r="L50" s="7" t="s">
        <v>674</v>
      </c>
      <c r="M50" s="7" t="s">
        <v>1891</v>
      </c>
      <c r="N50" s="7">
        <v>200</v>
      </c>
      <c r="O50" s="75" t="s">
        <v>1480</v>
      </c>
    </row>
    <row r="51" ht="22.5" spans="1:15">
      <c r="A51" s="55"/>
      <c r="B51" s="65" t="s">
        <v>675</v>
      </c>
      <c r="C51" s="7" t="s">
        <v>916</v>
      </c>
      <c r="D51" s="5" t="s">
        <v>917</v>
      </c>
      <c r="E51" s="5" t="s">
        <v>918</v>
      </c>
      <c r="F51" s="6">
        <v>10043915</v>
      </c>
      <c r="G51" s="6">
        <v>2010.1</v>
      </c>
      <c r="H51" s="5" t="s">
        <v>918</v>
      </c>
      <c r="I51" s="5" t="s">
        <v>708</v>
      </c>
      <c r="J51" s="5" t="s">
        <v>667</v>
      </c>
      <c r="K51" s="45" t="s">
        <v>1886</v>
      </c>
      <c r="L51" s="7" t="s">
        <v>674</v>
      </c>
      <c r="M51" s="7" t="s">
        <v>1891</v>
      </c>
      <c r="N51" s="7">
        <v>200</v>
      </c>
      <c r="O51" s="75" t="s">
        <v>1480</v>
      </c>
    </row>
    <row r="52" ht="22.5" spans="1:15">
      <c r="A52" s="55"/>
      <c r="B52" s="65" t="s">
        <v>675</v>
      </c>
      <c r="C52" s="7" t="s">
        <v>1894</v>
      </c>
      <c r="D52" s="5" t="s">
        <v>1895</v>
      </c>
      <c r="E52" s="7" t="s">
        <v>1896</v>
      </c>
      <c r="F52" s="17" t="s">
        <v>1897</v>
      </c>
      <c r="G52" s="6">
        <v>2010.1</v>
      </c>
      <c r="H52" s="5" t="s">
        <v>42</v>
      </c>
      <c r="I52" s="33" t="s">
        <v>1898</v>
      </c>
      <c r="J52" s="5" t="s">
        <v>667</v>
      </c>
      <c r="K52" s="7" t="s">
        <v>1739</v>
      </c>
      <c r="L52" s="7" t="s">
        <v>674</v>
      </c>
      <c r="M52" s="7" t="s">
        <v>1887</v>
      </c>
      <c r="N52" s="7">
        <v>280</v>
      </c>
      <c r="O52" s="75" t="s">
        <v>1480</v>
      </c>
    </row>
    <row r="53" ht="24" spans="1:15">
      <c r="A53" s="55"/>
      <c r="B53" s="65" t="s">
        <v>675</v>
      </c>
      <c r="C53" s="7" t="s">
        <v>1815</v>
      </c>
      <c r="D53" s="5" t="s">
        <v>1899</v>
      </c>
      <c r="E53" s="5" t="s">
        <v>1817</v>
      </c>
      <c r="F53" s="17" t="s">
        <v>1900</v>
      </c>
      <c r="G53" s="6">
        <v>2012.08</v>
      </c>
      <c r="H53" s="5" t="s">
        <v>1901</v>
      </c>
      <c r="I53" s="5" t="s">
        <v>1819</v>
      </c>
      <c r="J53" s="5" t="s">
        <v>667</v>
      </c>
      <c r="K53" s="45" t="s">
        <v>1778</v>
      </c>
      <c r="L53" s="7" t="s">
        <v>674</v>
      </c>
      <c r="M53" s="7" t="s">
        <v>1902</v>
      </c>
      <c r="N53" s="7">
        <v>300</v>
      </c>
      <c r="O53" s="75" t="s">
        <v>1480</v>
      </c>
    </row>
    <row r="54" ht="22.5" spans="1:15">
      <c r="A54" s="55"/>
      <c r="B54" s="65" t="s">
        <v>675</v>
      </c>
      <c r="C54" s="7" t="s">
        <v>1815</v>
      </c>
      <c r="D54" s="5" t="s">
        <v>1903</v>
      </c>
      <c r="E54" s="5" t="s">
        <v>1817</v>
      </c>
      <c r="F54" s="6">
        <v>2906181701</v>
      </c>
      <c r="G54" s="6">
        <v>2012.01</v>
      </c>
      <c r="H54" s="5" t="s">
        <v>1901</v>
      </c>
      <c r="I54" s="5" t="s">
        <v>1819</v>
      </c>
      <c r="J54" s="5" t="s">
        <v>667</v>
      </c>
      <c r="K54" s="45" t="s">
        <v>1775</v>
      </c>
      <c r="L54" s="7" t="s">
        <v>674</v>
      </c>
      <c r="M54" s="7" t="s">
        <v>1904</v>
      </c>
      <c r="N54" s="7">
        <v>300</v>
      </c>
      <c r="O54" s="75" t="s">
        <v>1480</v>
      </c>
    </row>
    <row r="55" ht="22.5" spans="1:15">
      <c r="A55" s="55"/>
      <c r="B55" s="65" t="s">
        <v>675</v>
      </c>
      <c r="C55" s="7" t="s">
        <v>1776</v>
      </c>
      <c r="D55" s="5" t="s">
        <v>1905</v>
      </c>
      <c r="E55" s="5" t="s">
        <v>715</v>
      </c>
      <c r="F55" s="17">
        <v>10039528</v>
      </c>
      <c r="G55" s="6">
        <v>2010.1</v>
      </c>
      <c r="H55" s="5" t="s">
        <v>715</v>
      </c>
      <c r="I55" s="5" t="s">
        <v>708</v>
      </c>
      <c r="J55" s="5" t="s">
        <v>667</v>
      </c>
      <c r="K55" s="45" t="s">
        <v>1886</v>
      </c>
      <c r="L55" s="7" t="s">
        <v>674</v>
      </c>
      <c r="M55" s="7" t="s">
        <v>1887</v>
      </c>
      <c r="N55" s="7">
        <v>200</v>
      </c>
      <c r="O55" s="75" t="s">
        <v>1480</v>
      </c>
    </row>
    <row r="56" ht="24" spans="1:15">
      <c r="A56" s="55"/>
      <c r="B56" s="65" t="s">
        <v>675</v>
      </c>
      <c r="C56" s="7" t="s">
        <v>1906</v>
      </c>
      <c r="D56" s="5" t="s">
        <v>1907</v>
      </c>
      <c r="E56" s="5" t="s">
        <v>1908</v>
      </c>
      <c r="F56" s="17" t="s">
        <v>1909</v>
      </c>
      <c r="G56" s="5">
        <v>2011.08</v>
      </c>
      <c r="H56" s="66" t="s">
        <v>1910</v>
      </c>
      <c r="I56" s="66">
        <v>0.1</v>
      </c>
      <c r="J56" s="5" t="s">
        <v>667</v>
      </c>
      <c r="K56" s="7" t="s">
        <v>1778</v>
      </c>
      <c r="L56" s="7" t="s">
        <v>674</v>
      </c>
      <c r="M56" s="7" t="s">
        <v>1911</v>
      </c>
      <c r="N56" s="7">
        <v>400</v>
      </c>
      <c r="O56" s="75" t="s">
        <v>1480</v>
      </c>
    </row>
    <row r="57" ht="22.5" spans="1:15">
      <c r="A57" s="55"/>
      <c r="B57" s="65" t="s">
        <v>675</v>
      </c>
      <c r="C57" s="7" t="s">
        <v>1776</v>
      </c>
      <c r="D57" s="5" t="s">
        <v>1885</v>
      </c>
      <c r="E57" s="5" t="s">
        <v>715</v>
      </c>
      <c r="F57" s="17">
        <v>10039515</v>
      </c>
      <c r="G57" s="6">
        <v>2010.1</v>
      </c>
      <c r="H57" s="5" t="s">
        <v>715</v>
      </c>
      <c r="I57" s="5" t="s">
        <v>708</v>
      </c>
      <c r="J57" s="5" t="s">
        <v>667</v>
      </c>
      <c r="K57" s="45" t="s">
        <v>1886</v>
      </c>
      <c r="L57" s="7" t="s">
        <v>674</v>
      </c>
      <c r="M57" s="7" t="s">
        <v>1887</v>
      </c>
      <c r="N57" s="7">
        <v>200</v>
      </c>
      <c r="O57" s="75" t="s">
        <v>1480</v>
      </c>
    </row>
    <row r="58" ht="22.5" spans="1:15">
      <c r="A58" s="55"/>
      <c r="B58" s="65" t="s">
        <v>675</v>
      </c>
      <c r="C58" s="7" t="s">
        <v>1888</v>
      </c>
      <c r="D58" s="5" t="s">
        <v>1889</v>
      </c>
      <c r="E58" s="5" t="s">
        <v>1890</v>
      </c>
      <c r="F58" s="6">
        <v>10031285</v>
      </c>
      <c r="G58" s="6">
        <v>2010.1</v>
      </c>
      <c r="H58" s="5" t="s">
        <v>1890</v>
      </c>
      <c r="I58" s="5" t="s">
        <v>708</v>
      </c>
      <c r="J58" s="5" t="s">
        <v>667</v>
      </c>
      <c r="K58" s="45" t="s">
        <v>1886</v>
      </c>
      <c r="L58" s="7" t="s">
        <v>674</v>
      </c>
      <c r="M58" s="7" t="s">
        <v>1891</v>
      </c>
      <c r="N58" s="7">
        <v>200</v>
      </c>
      <c r="O58" s="75" t="s">
        <v>1480</v>
      </c>
    </row>
    <row r="59" ht="22.5" spans="1:15">
      <c r="A59" s="55"/>
      <c r="B59" s="65" t="s">
        <v>675</v>
      </c>
      <c r="C59" s="7" t="s">
        <v>1888</v>
      </c>
      <c r="D59" s="5" t="s">
        <v>1892</v>
      </c>
      <c r="E59" s="5" t="s">
        <v>1890</v>
      </c>
      <c r="F59" s="6">
        <v>10031331</v>
      </c>
      <c r="G59" s="6">
        <v>2010.1</v>
      </c>
      <c r="H59" s="5" t="s">
        <v>1890</v>
      </c>
      <c r="I59" s="5" t="s">
        <v>708</v>
      </c>
      <c r="J59" s="5" t="s">
        <v>667</v>
      </c>
      <c r="K59" s="45" t="s">
        <v>1886</v>
      </c>
      <c r="L59" s="7" t="s">
        <v>674</v>
      </c>
      <c r="M59" s="7" t="s">
        <v>1891</v>
      </c>
      <c r="N59" s="7">
        <v>200</v>
      </c>
      <c r="O59" s="75" t="s">
        <v>1480</v>
      </c>
    </row>
    <row r="60" ht="22.5" spans="1:15">
      <c r="A60" s="55"/>
      <c r="B60" s="65" t="s">
        <v>675</v>
      </c>
      <c r="C60" s="7" t="s">
        <v>916</v>
      </c>
      <c r="D60" s="5" t="s">
        <v>1893</v>
      </c>
      <c r="E60" s="5" t="s">
        <v>918</v>
      </c>
      <c r="F60" s="6">
        <v>10031282</v>
      </c>
      <c r="G60" s="6">
        <v>2010.1</v>
      </c>
      <c r="H60" s="5" t="s">
        <v>918</v>
      </c>
      <c r="I60" s="5" t="s">
        <v>708</v>
      </c>
      <c r="J60" s="5" t="s">
        <v>667</v>
      </c>
      <c r="K60" s="45" t="s">
        <v>1886</v>
      </c>
      <c r="L60" s="7" t="s">
        <v>674</v>
      </c>
      <c r="M60" s="7" t="s">
        <v>1891</v>
      </c>
      <c r="N60" s="7">
        <v>200</v>
      </c>
      <c r="O60" s="75" t="s">
        <v>1480</v>
      </c>
    </row>
    <row r="61" ht="22.5" spans="1:15">
      <c r="A61" s="55"/>
      <c r="B61" s="65" t="s">
        <v>675</v>
      </c>
      <c r="C61" s="7" t="s">
        <v>1894</v>
      </c>
      <c r="D61" s="5" t="s">
        <v>1895</v>
      </c>
      <c r="E61" s="7" t="s">
        <v>1896</v>
      </c>
      <c r="F61" s="17" t="s">
        <v>1897</v>
      </c>
      <c r="G61" s="6">
        <v>2010.1</v>
      </c>
      <c r="H61" s="5" t="s">
        <v>42</v>
      </c>
      <c r="I61" s="33" t="s">
        <v>1898</v>
      </c>
      <c r="J61" s="5" t="s">
        <v>667</v>
      </c>
      <c r="K61" s="7" t="s">
        <v>1739</v>
      </c>
      <c r="L61" s="7" t="s">
        <v>674</v>
      </c>
      <c r="M61" s="7" t="s">
        <v>1887</v>
      </c>
      <c r="N61" s="7">
        <v>280</v>
      </c>
      <c r="O61" s="75" t="s">
        <v>1480</v>
      </c>
    </row>
    <row r="62" ht="24" spans="1:15">
      <c r="A62" s="55"/>
      <c r="B62" s="65" t="s">
        <v>675</v>
      </c>
      <c r="C62" s="7" t="s">
        <v>1815</v>
      </c>
      <c r="D62" s="5" t="s">
        <v>1899</v>
      </c>
      <c r="E62" s="5" t="s">
        <v>1817</v>
      </c>
      <c r="F62" s="17" t="s">
        <v>1900</v>
      </c>
      <c r="G62" s="6">
        <v>2012.08</v>
      </c>
      <c r="H62" s="5" t="s">
        <v>1901</v>
      </c>
      <c r="I62" s="5" t="s">
        <v>1819</v>
      </c>
      <c r="J62" s="5" t="s">
        <v>667</v>
      </c>
      <c r="K62" s="45" t="s">
        <v>1778</v>
      </c>
      <c r="L62" s="7" t="s">
        <v>674</v>
      </c>
      <c r="M62" s="7" t="s">
        <v>1902</v>
      </c>
      <c r="N62" s="7">
        <v>300</v>
      </c>
      <c r="O62" s="75" t="s">
        <v>1480</v>
      </c>
    </row>
    <row r="63" ht="22.5" spans="1:15">
      <c r="A63" s="55"/>
      <c r="B63" s="65" t="s">
        <v>675</v>
      </c>
      <c r="C63" s="7" t="s">
        <v>1815</v>
      </c>
      <c r="D63" s="5" t="s">
        <v>1903</v>
      </c>
      <c r="E63" s="5" t="s">
        <v>1817</v>
      </c>
      <c r="F63" s="6">
        <v>2906181701</v>
      </c>
      <c r="G63" s="6">
        <v>2012.01</v>
      </c>
      <c r="H63" s="5" t="s">
        <v>1901</v>
      </c>
      <c r="I63" s="5" t="s">
        <v>1819</v>
      </c>
      <c r="J63" s="5" t="s">
        <v>667</v>
      </c>
      <c r="K63" s="45" t="s">
        <v>1775</v>
      </c>
      <c r="L63" s="7" t="s">
        <v>674</v>
      </c>
      <c r="M63" s="7" t="s">
        <v>1904</v>
      </c>
      <c r="N63" s="7">
        <v>300</v>
      </c>
      <c r="O63" s="75" t="s">
        <v>1480</v>
      </c>
    </row>
    <row r="64" ht="22.5" spans="1:15">
      <c r="A64" s="55"/>
      <c r="B64" s="65" t="s">
        <v>675</v>
      </c>
      <c r="C64" s="7" t="s">
        <v>1776</v>
      </c>
      <c r="D64" s="5" t="s">
        <v>1905</v>
      </c>
      <c r="E64" s="5" t="s">
        <v>715</v>
      </c>
      <c r="F64" s="17">
        <v>10039528</v>
      </c>
      <c r="G64" s="6">
        <v>2010.1</v>
      </c>
      <c r="H64" s="5" t="s">
        <v>715</v>
      </c>
      <c r="I64" s="5" t="s">
        <v>708</v>
      </c>
      <c r="J64" s="5" t="s">
        <v>667</v>
      </c>
      <c r="K64" s="45" t="s">
        <v>1886</v>
      </c>
      <c r="L64" s="7" t="s">
        <v>674</v>
      </c>
      <c r="M64" s="7" t="s">
        <v>1887</v>
      </c>
      <c r="N64" s="7">
        <v>200</v>
      </c>
      <c r="O64" s="75" t="s">
        <v>1480</v>
      </c>
    </row>
    <row r="65" ht="24" spans="1:15">
      <c r="A65" s="55"/>
      <c r="B65" s="65" t="s">
        <v>675</v>
      </c>
      <c r="C65" s="7" t="s">
        <v>1906</v>
      </c>
      <c r="D65" s="5" t="s">
        <v>1907</v>
      </c>
      <c r="E65" s="5" t="s">
        <v>1908</v>
      </c>
      <c r="F65" s="17" t="s">
        <v>1909</v>
      </c>
      <c r="G65" s="5">
        <v>2011.08</v>
      </c>
      <c r="H65" s="66" t="s">
        <v>1910</v>
      </c>
      <c r="I65" s="66">
        <v>0.1</v>
      </c>
      <c r="J65" s="5" t="s">
        <v>667</v>
      </c>
      <c r="K65" s="7" t="s">
        <v>1778</v>
      </c>
      <c r="L65" s="7" t="s">
        <v>674</v>
      </c>
      <c r="M65" s="7" t="s">
        <v>1911</v>
      </c>
      <c r="N65" s="7">
        <v>400</v>
      </c>
      <c r="O65" s="75" t="s">
        <v>1480</v>
      </c>
    </row>
    <row r="66" ht="22.5" spans="1:15">
      <c r="A66" s="55"/>
      <c r="B66" s="65" t="s">
        <v>262</v>
      </c>
      <c r="C66" s="7" t="s">
        <v>801</v>
      </c>
      <c r="D66" s="5" t="s">
        <v>42</v>
      </c>
      <c r="E66" s="5" t="s">
        <v>802</v>
      </c>
      <c r="F66" s="17" t="s">
        <v>1912</v>
      </c>
      <c r="G66" s="6">
        <v>2012.1</v>
      </c>
      <c r="H66" s="5" t="s">
        <v>802</v>
      </c>
      <c r="I66" s="5" t="s">
        <v>42</v>
      </c>
      <c r="J66" s="5" t="s">
        <v>667</v>
      </c>
      <c r="K66" s="45" t="s">
        <v>1867</v>
      </c>
      <c r="L66" s="7" t="s">
        <v>674</v>
      </c>
      <c r="M66" s="22" t="s">
        <v>1913</v>
      </c>
      <c r="N66" s="7">
        <v>200</v>
      </c>
      <c r="O66" s="83"/>
    </row>
    <row r="67" ht="22.5" spans="1:15">
      <c r="A67" s="55"/>
      <c r="B67" s="65" t="s">
        <v>675</v>
      </c>
      <c r="C67" s="7" t="s">
        <v>951</v>
      </c>
      <c r="D67" s="5" t="s">
        <v>1914</v>
      </c>
      <c r="E67" s="5" t="s">
        <v>1765</v>
      </c>
      <c r="F67" s="6">
        <v>12071259</v>
      </c>
      <c r="G67" s="6">
        <v>2010.1</v>
      </c>
      <c r="H67" s="5" t="s">
        <v>1766</v>
      </c>
      <c r="I67" s="33" t="s">
        <v>708</v>
      </c>
      <c r="J67" s="5" t="s">
        <v>667</v>
      </c>
      <c r="K67" s="7" t="s">
        <v>1915</v>
      </c>
      <c r="L67" s="7" t="s">
        <v>674</v>
      </c>
      <c r="M67" s="7" t="s">
        <v>1806</v>
      </c>
      <c r="N67" s="7">
        <v>90</v>
      </c>
      <c r="O67" s="75" t="s">
        <v>1916</v>
      </c>
    </row>
    <row r="68" ht="22.5" spans="1:15">
      <c r="A68" s="55"/>
      <c r="B68" s="16" t="s">
        <v>675</v>
      </c>
      <c r="C68" s="7" t="s">
        <v>1776</v>
      </c>
      <c r="D68" s="5" t="s">
        <v>1917</v>
      </c>
      <c r="E68" s="5" t="s">
        <v>1918</v>
      </c>
      <c r="F68" s="6">
        <v>11072439</v>
      </c>
      <c r="G68" s="6">
        <v>2012.01</v>
      </c>
      <c r="H68" s="5" t="s">
        <v>715</v>
      </c>
      <c r="I68" s="5" t="s">
        <v>708</v>
      </c>
      <c r="J68" s="5" t="s">
        <v>667</v>
      </c>
      <c r="K68" s="45" t="s">
        <v>1772</v>
      </c>
      <c r="L68" s="7" t="s">
        <v>674</v>
      </c>
      <c r="M68" s="7" t="s">
        <v>1919</v>
      </c>
      <c r="N68" s="7">
        <v>200</v>
      </c>
      <c r="O68" s="84" t="s">
        <v>1920</v>
      </c>
    </row>
    <row r="69" ht="24" spans="1:15">
      <c r="A69" s="55"/>
      <c r="B69" s="65" t="s">
        <v>675</v>
      </c>
      <c r="C69" s="7" t="s">
        <v>1815</v>
      </c>
      <c r="D69" s="5" t="s">
        <v>1899</v>
      </c>
      <c r="E69" s="5" t="s">
        <v>1817</v>
      </c>
      <c r="F69" s="17" t="s">
        <v>1900</v>
      </c>
      <c r="G69" s="6">
        <v>2012.08</v>
      </c>
      <c r="H69" s="5" t="s">
        <v>1901</v>
      </c>
      <c r="I69" s="5" t="s">
        <v>1819</v>
      </c>
      <c r="J69" s="5" t="s">
        <v>667</v>
      </c>
      <c r="K69" s="45" t="s">
        <v>1778</v>
      </c>
      <c r="L69" s="7" t="s">
        <v>674</v>
      </c>
      <c r="M69" s="7" t="s">
        <v>1902</v>
      </c>
      <c r="N69" s="7"/>
      <c r="O69" s="49" t="s">
        <v>833</v>
      </c>
    </row>
    <row r="70" ht="22.5" spans="1:15">
      <c r="A70" s="55"/>
      <c r="B70" s="65" t="s">
        <v>330</v>
      </c>
      <c r="C70" s="7" t="s">
        <v>720</v>
      </c>
      <c r="D70" s="5" t="s">
        <v>1921</v>
      </c>
      <c r="E70" s="5" t="s">
        <v>722</v>
      </c>
      <c r="F70" s="5" t="s">
        <v>1922</v>
      </c>
      <c r="G70" s="6">
        <v>2012.08</v>
      </c>
      <c r="H70" s="5" t="s">
        <v>42</v>
      </c>
      <c r="I70" s="5" t="s">
        <v>42</v>
      </c>
      <c r="J70" s="5" t="s">
        <v>667</v>
      </c>
      <c r="K70" s="45" t="s">
        <v>1778</v>
      </c>
      <c r="L70" s="7" t="s">
        <v>674</v>
      </c>
      <c r="M70" s="7" t="s">
        <v>1923</v>
      </c>
      <c r="N70" s="7">
        <v>400</v>
      </c>
      <c r="O70" s="85" t="s">
        <v>1218</v>
      </c>
    </row>
    <row r="71" ht="22.5" spans="1:15">
      <c r="A71" s="55"/>
      <c r="B71" s="65" t="s">
        <v>330</v>
      </c>
      <c r="C71" s="7" t="s">
        <v>720</v>
      </c>
      <c r="D71" s="5" t="s">
        <v>1924</v>
      </c>
      <c r="E71" s="5" t="s">
        <v>722</v>
      </c>
      <c r="F71" s="17" t="s">
        <v>1925</v>
      </c>
      <c r="G71" s="6">
        <v>2012.07</v>
      </c>
      <c r="H71" s="5" t="s">
        <v>42</v>
      </c>
      <c r="I71" s="5" t="s">
        <v>42</v>
      </c>
      <c r="J71" s="5" t="s">
        <v>667</v>
      </c>
      <c r="K71" s="45" t="s">
        <v>1778</v>
      </c>
      <c r="L71" s="7" t="s">
        <v>674</v>
      </c>
      <c r="M71" s="7" t="s">
        <v>1923</v>
      </c>
      <c r="N71" s="7">
        <v>400</v>
      </c>
      <c r="O71" s="85" t="s">
        <v>1218</v>
      </c>
    </row>
    <row r="72" ht="24" spans="1:15">
      <c r="A72" s="55"/>
      <c r="B72" s="65" t="s">
        <v>675</v>
      </c>
      <c r="C72" s="7" t="s">
        <v>687</v>
      </c>
      <c r="D72" s="5" t="s">
        <v>1926</v>
      </c>
      <c r="E72" s="5" t="s">
        <v>689</v>
      </c>
      <c r="F72" s="17" t="s">
        <v>1927</v>
      </c>
      <c r="G72" s="6">
        <v>2010.1</v>
      </c>
      <c r="H72" s="76" t="s">
        <v>691</v>
      </c>
      <c r="I72" s="86" t="s">
        <v>692</v>
      </c>
      <c r="J72" s="5" t="s">
        <v>667</v>
      </c>
      <c r="K72" s="45" t="s">
        <v>1886</v>
      </c>
      <c r="L72" s="7" t="s">
        <v>674</v>
      </c>
      <c r="M72" s="7" t="s">
        <v>1794</v>
      </c>
      <c r="N72" s="7">
        <v>500</v>
      </c>
      <c r="O72" s="75" t="s">
        <v>1928</v>
      </c>
    </row>
    <row r="73" ht="24" spans="1:15">
      <c r="A73" s="55"/>
      <c r="B73" s="65" t="s">
        <v>675</v>
      </c>
      <c r="C73" s="7" t="s">
        <v>912</v>
      </c>
      <c r="D73" s="5" t="s">
        <v>1929</v>
      </c>
      <c r="E73" s="5" t="s">
        <v>913</v>
      </c>
      <c r="F73" s="6">
        <v>3000143</v>
      </c>
      <c r="G73" s="6">
        <v>2012.08</v>
      </c>
      <c r="H73" s="5" t="s">
        <v>914</v>
      </c>
      <c r="I73" s="5" t="s">
        <v>915</v>
      </c>
      <c r="J73" s="5" t="s">
        <v>667</v>
      </c>
      <c r="K73" s="7" t="s">
        <v>1826</v>
      </c>
      <c r="L73" s="7" t="s">
        <v>674</v>
      </c>
      <c r="M73" s="7" t="s">
        <v>1930</v>
      </c>
      <c r="N73" s="7">
        <v>1000</v>
      </c>
      <c r="O73" s="85" t="s">
        <v>1931</v>
      </c>
    </row>
    <row r="74" ht="24" spans="1:15">
      <c r="A74" s="55"/>
      <c r="B74" s="65" t="s">
        <v>330</v>
      </c>
      <c r="C74" s="7" t="s">
        <v>678</v>
      </c>
      <c r="D74" s="5" t="s">
        <v>804</v>
      </c>
      <c r="E74" s="5" t="s">
        <v>681</v>
      </c>
      <c r="F74" s="17" t="s">
        <v>991</v>
      </c>
      <c r="G74" s="6">
        <v>2012.01</v>
      </c>
      <c r="H74" s="17" t="s">
        <v>682</v>
      </c>
      <c r="I74" s="5" t="s">
        <v>683</v>
      </c>
      <c r="J74" s="5" t="s">
        <v>667</v>
      </c>
      <c r="K74" s="45" t="s">
        <v>1772</v>
      </c>
      <c r="L74" s="7" t="s">
        <v>674</v>
      </c>
      <c r="M74" s="7" t="s">
        <v>1773</v>
      </c>
      <c r="N74" s="7">
        <v>300</v>
      </c>
      <c r="O74" s="75" t="s">
        <v>686</v>
      </c>
    </row>
    <row r="75" ht="22.5" spans="1:15">
      <c r="A75" s="55"/>
      <c r="B75" s="65" t="s">
        <v>262</v>
      </c>
      <c r="C75" s="7" t="s">
        <v>801</v>
      </c>
      <c r="D75" s="5" t="s">
        <v>1932</v>
      </c>
      <c r="E75" s="5" t="s">
        <v>968</v>
      </c>
      <c r="F75" s="17" t="s">
        <v>1933</v>
      </c>
      <c r="G75" s="6">
        <v>2012.1</v>
      </c>
      <c r="H75" s="5" t="s">
        <v>1934</v>
      </c>
      <c r="I75" s="5" t="s">
        <v>42</v>
      </c>
      <c r="J75" s="5" t="s">
        <v>667</v>
      </c>
      <c r="K75" s="45" t="s">
        <v>1867</v>
      </c>
      <c r="L75" s="7" t="s">
        <v>674</v>
      </c>
      <c r="M75" s="7" t="s">
        <v>1935</v>
      </c>
      <c r="N75" s="7">
        <v>200</v>
      </c>
      <c r="O75" s="87" t="s">
        <v>1936</v>
      </c>
    </row>
    <row r="76" ht="22.5" spans="2:16">
      <c r="B76" s="77" t="s">
        <v>262</v>
      </c>
      <c r="C76" s="7" t="s">
        <v>139</v>
      </c>
      <c r="D76" s="5" t="s">
        <v>42</v>
      </c>
      <c r="E76" s="5" t="s">
        <v>163</v>
      </c>
      <c r="F76" s="17" t="s">
        <v>1937</v>
      </c>
      <c r="G76" s="6" t="s">
        <v>42</v>
      </c>
      <c r="H76" s="5" t="s">
        <v>849</v>
      </c>
      <c r="I76" s="5" t="s">
        <v>1938</v>
      </c>
      <c r="J76" s="5" t="s">
        <v>667</v>
      </c>
      <c r="K76" s="88"/>
      <c r="L76" s="7" t="s">
        <v>44</v>
      </c>
      <c r="M76" s="7" t="s">
        <v>1939</v>
      </c>
      <c r="N76" s="45"/>
      <c r="O76" s="89">
        <v>100</v>
      </c>
      <c r="P76" s="90" t="s">
        <v>1218</v>
      </c>
    </row>
    <row r="77" ht="24" spans="2:15">
      <c r="B77" s="56" t="s">
        <v>330</v>
      </c>
      <c r="C77" s="57" t="s">
        <v>678</v>
      </c>
      <c r="D77" s="58" t="s">
        <v>1940</v>
      </c>
      <c r="E77" s="58" t="s">
        <v>681</v>
      </c>
      <c r="F77" s="60" t="s">
        <v>1941</v>
      </c>
      <c r="G77" s="60" t="s">
        <v>439</v>
      </c>
      <c r="H77" s="58" t="s">
        <v>1942</v>
      </c>
      <c r="I77" s="58" t="s">
        <v>683</v>
      </c>
      <c r="J77" s="58" t="s">
        <v>667</v>
      </c>
      <c r="K77" s="67" t="s">
        <v>1826</v>
      </c>
      <c r="L77" s="57" t="s">
        <v>674</v>
      </c>
      <c r="M77" s="57" t="s">
        <v>1794</v>
      </c>
      <c r="N77" s="57">
        <v>300</v>
      </c>
      <c r="O77" s="91" t="s">
        <v>361</v>
      </c>
    </row>
    <row r="78" ht="24" spans="2:15">
      <c r="B78" s="56" t="s">
        <v>675</v>
      </c>
      <c r="C78" s="57" t="s">
        <v>1078</v>
      </c>
      <c r="D78" s="58"/>
      <c r="E78" s="58" t="s">
        <v>1079</v>
      </c>
      <c r="F78" s="60" t="s">
        <v>1943</v>
      </c>
      <c r="G78" s="60">
        <v>2019.03</v>
      </c>
      <c r="H78" s="58"/>
      <c r="I78" s="58"/>
      <c r="J78" s="58" t="s">
        <v>673</v>
      </c>
      <c r="K78" s="67" t="s">
        <v>1623</v>
      </c>
      <c r="L78" s="57" t="s">
        <v>674</v>
      </c>
      <c r="M78" s="57" t="s">
        <v>1794</v>
      </c>
      <c r="N78" s="57">
        <v>500</v>
      </c>
      <c r="O78" s="92" t="s">
        <v>1944</v>
      </c>
    </row>
    <row r="79" ht="22.5" spans="2:15">
      <c r="B79" s="78">
        <v>10</v>
      </c>
      <c r="C79" s="16" t="s">
        <v>1101</v>
      </c>
      <c r="D79" s="7" t="s">
        <v>10</v>
      </c>
      <c r="E79" s="5" t="s">
        <v>42</v>
      </c>
      <c r="F79" s="7" t="s">
        <v>1945</v>
      </c>
      <c r="G79" s="45" t="s">
        <v>1331</v>
      </c>
      <c r="H79" s="17" t="s">
        <v>1946</v>
      </c>
      <c r="I79" s="5" t="s">
        <v>42</v>
      </c>
      <c r="J79" s="5" t="s">
        <v>42</v>
      </c>
      <c r="K79" s="5" t="s">
        <v>667</v>
      </c>
      <c r="L79" s="7" t="s">
        <v>674</v>
      </c>
      <c r="M79" s="7" t="s">
        <v>1947</v>
      </c>
      <c r="N79" s="7">
        <v>120</v>
      </c>
      <c r="O79" s="93" t="s">
        <v>1948</v>
      </c>
    </row>
    <row r="80" ht="33.75" spans="2:15">
      <c r="B80" s="43">
        <v>20</v>
      </c>
      <c r="C80" s="65" t="s">
        <v>55</v>
      </c>
      <c r="D80" s="7" t="s">
        <v>10</v>
      </c>
      <c r="E80" s="5" t="s">
        <v>1949</v>
      </c>
      <c r="F80" s="7">
        <v>9010</v>
      </c>
      <c r="G80" s="17" t="s">
        <v>1950</v>
      </c>
      <c r="H80" s="17" t="s">
        <v>439</v>
      </c>
      <c r="I80" s="5" t="s">
        <v>42</v>
      </c>
      <c r="J80" s="5" t="s">
        <v>42</v>
      </c>
      <c r="K80" s="5" t="s">
        <v>667</v>
      </c>
      <c r="L80" s="7" t="s">
        <v>674</v>
      </c>
      <c r="M80" s="7" t="s">
        <v>1951</v>
      </c>
      <c r="N80" s="7">
        <v>120</v>
      </c>
      <c r="O80" s="7" t="s">
        <v>1952</v>
      </c>
    </row>
    <row r="81" ht="27" spans="2:15">
      <c r="B81" s="30"/>
      <c r="C81" s="79" t="s">
        <v>86</v>
      </c>
      <c r="D81" s="80" t="s">
        <v>10</v>
      </c>
      <c r="E81" s="79" t="s">
        <v>1364</v>
      </c>
      <c r="F81" s="79">
        <v>9010</v>
      </c>
      <c r="G81" s="81" t="s">
        <v>1417</v>
      </c>
      <c r="H81" s="80" t="s">
        <v>673</v>
      </c>
      <c r="I81" s="80" t="s">
        <v>429</v>
      </c>
      <c r="J81" s="80" t="s">
        <v>1953</v>
      </c>
      <c r="K81" s="78" t="s">
        <v>1218</v>
      </c>
      <c r="L81" s="30"/>
      <c r="M81" s="30"/>
      <c r="N81" s="30"/>
      <c r="O81" s="30"/>
    </row>
    <row r="82" ht="22.5" spans="3:15">
      <c r="C82" s="82" t="s">
        <v>330</v>
      </c>
      <c r="D82" s="29" t="s">
        <v>720</v>
      </c>
      <c r="E82" s="31" t="s">
        <v>1954</v>
      </c>
      <c r="F82" s="31" t="s">
        <v>722</v>
      </c>
      <c r="G82" s="31">
        <v>131404</v>
      </c>
      <c r="H82" s="32">
        <v>2012.01</v>
      </c>
      <c r="I82" s="31" t="s">
        <v>42</v>
      </c>
      <c r="J82" s="31" t="s">
        <v>42</v>
      </c>
      <c r="K82" s="31" t="s">
        <v>667</v>
      </c>
      <c r="L82" s="29" t="s">
        <v>674</v>
      </c>
      <c r="M82" s="94">
        <v>45574</v>
      </c>
      <c r="N82" s="94">
        <v>45938</v>
      </c>
      <c r="O82" s="29">
        <v>400</v>
      </c>
    </row>
    <row r="83" ht="22.5" spans="3:15">
      <c r="C83" s="82" t="s">
        <v>330</v>
      </c>
      <c r="D83" s="29" t="s">
        <v>720</v>
      </c>
      <c r="E83" s="31" t="s">
        <v>1955</v>
      </c>
      <c r="F83" s="31" t="s">
        <v>722</v>
      </c>
      <c r="G83" s="377" t="s">
        <v>1956</v>
      </c>
      <c r="H83" s="32">
        <v>2010.1</v>
      </c>
      <c r="I83" s="31" t="s">
        <v>42</v>
      </c>
      <c r="J83" s="31" t="s">
        <v>42</v>
      </c>
      <c r="K83" s="31" t="s">
        <v>667</v>
      </c>
      <c r="L83" s="29" t="s">
        <v>674</v>
      </c>
      <c r="M83" s="94">
        <v>45574</v>
      </c>
      <c r="N83" s="94">
        <v>45938</v>
      </c>
      <c r="O83" s="29">
        <v>400</v>
      </c>
    </row>
  </sheetData>
  <autoFilter xmlns:etc="http://www.wps.cn/officeDocument/2017/etCustomData" ref="A2:P83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P24"/>
  <sheetViews>
    <sheetView topLeftCell="A10" workbookViewId="0">
      <selection activeCell="G31" sqref="G31"/>
    </sheetView>
  </sheetViews>
  <sheetFormatPr defaultColWidth="9" defaultRowHeight="13.5"/>
  <cols>
    <col min="2" max="2" width="20.25" customWidth="1"/>
  </cols>
  <sheetData>
    <row r="1" ht="22.5" spans="2:16">
      <c r="B1" s="1" t="s">
        <v>21</v>
      </c>
      <c r="C1" s="1" t="s">
        <v>22</v>
      </c>
      <c r="D1" s="1" t="s">
        <v>23</v>
      </c>
      <c r="E1" s="1" t="s">
        <v>24</v>
      </c>
      <c r="F1" s="2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1755</v>
      </c>
      <c r="L1" s="1" t="s">
        <v>30</v>
      </c>
      <c r="M1" s="1" t="s">
        <v>31</v>
      </c>
      <c r="N1" s="1" t="s">
        <v>1100</v>
      </c>
      <c r="O1" s="1" t="s">
        <v>33</v>
      </c>
      <c r="P1" s="1" t="s">
        <v>34</v>
      </c>
    </row>
    <row r="2" ht="21" spans="2:16">
      <c r="B2" s="3" t="s">
        <v>1230</v>
      </c>
      <c r="C2" s="4" t="s">
        <v>1108</v>
      </c>
      <c r="D2" s="5" t="s">
        <v>1957</v>
      </c>
      <c r="E2" s="5" t="s">
        <v>1133</v>
      </c>
      <c r="F2" s="5">
        <v>1231351886</v>
      </c>
      <c r="G2" s="6">
        <v>2012.01</v>
      </c>
      <c r="H2" s="5" t="s">
        <v>1134</v>
      </c>
      <c r="I2" s="33" t="s">
        <v>1135</v>
      </c>
      <c r="J2" s="7" t="s">
        <v>94</v>
      </c>
      <c r="K2" s="34" t="s">
        <v>1958</v>
      </c>
      <c r="L2" s="7" t="s">
        <v>429</v>
      </c>
      <c r="M2" s="7" t="s">
        <v>1959</v>
      </c>
      <c r="N2" s="7" t="s">
        <v>1960</v>
      </c>
      <c r="O2" s="7"/>
      <c r="P2" s="35" t="s">
        <v>1961</v>
      </c>
    </row>
    <row r="3" ht="21" spans="2:16">
      <c r="B3" s="3" t="s">
        <v>1230</v>
      </c>
      <c r="C3" s="7" t="s">
        <v>1108</v>
      </c>
      <c r="D3" s="5" t="s">
        <v>1305</v>
      </c>
      <c r="E3" s="5" t="s">
        <v>1133</v>
      </c>
      <c r="F3" s="5">
        <v>1232080278</v>
      </c>
      <c r="G3" s="6">
        <v>2012.08</v>
      </c>
      <c r="H3" s="5" t="s">
        <v>1134</v>
      </c>
      <c r="I3" s="33" t="s">
        <v>1135</v>
      </c>
      <c r="J3" s="7" t="s">
        <v>94</v>
      </c>
      <c r="K3" s="34" t="s">
        <v>1958</v>
      </c>
      <c r="L3" s="7" t="s">
        <v>429</v>
      </c>
      <c r="M3" s="7" t="s">
        <v>1959</v>
      </c>
      <c r="N3" s="7" t="s">
        <v>1960</v>
      </c>
      <c r="O3" s="7"/>
      <c r="P3" s="35" t="s">
        <v>1961</v>
      </c>
    </row>
    <row r="4" ht="21" spans="2:16">
      <c r="B4" s="3" t="s">
        <v>1230</v>
      </c>
      <c r="C4" s="7" t="s">
        <v>1108</v>
      </c>
      <c r="D4" s="5" t="s">
        <v>1962</v>
      </c>
      <c r="E4" s="5" t="s">
        <v>1170</v>
      </c>
      <c r="F4" s="6">
        <v>1232270213</v>
      </c>
      <c r="G4" s="6">
        <v>2012.01</v>
      </c>
      <c r="H4" s="5" t="s">
        <v>1172</v>
      </c>
      <c r="I4" s="33" t="s">
        <v>1135</v>
      </c>
      <c r="J4" s="7" t="s">
        <v>94</v>
      </c>
      <c r="K4" s="34" t="s">
        <v>1958</v>
      </c>
      <c r="L4" s="7" t="s">
        <v>429</v>
      </c>
      <c r="M4" s="7" t="s">
        <v>1963</v>
      </c>
      <c r="N4" s="7" t="s">
        <v>1964</v>
      </c>
      <c r="O4" s="7" t="s">
        <v>1965</v>
      </c>
      <c r="P4" s="35" t="s">
        <v>1961</v>
      </c>
    </row>
    <row r="5" ht="21" spans="2:16">
      <c r="B5" s="3" t="s">
        <v>1230</v>
      </c>
      <c r="C5" s="7" t="s">
        <v>1108</v>
      </c>
      <c r="D5" s="5" t="s">
        <v>1966</v>
      </c>
      <c r="E5" s="5" t="s">
        <v>1170</v>
      </c>
      <c r="F5" s="5">
        <v>1232260334</v>
      </c>
      <c r="G5" s="6">
        <v>2012.01</v>
      </c>
      <c r="H5" s="5" t="s">
        <v>1172</v>
      </c>
      <c r="I5" s="33" t="s">
        <v>1135</v>
      </c>
      <c r="J5" s="7" t="s">
        <v>94</v>
      </c>
      <c r="K5" s="34" t="s">
        <v>1958</v>
      </c>
      <c r="L5" s="7" t="s">
        <v>429</v>
      </c>
      <c r="M5" s="7" t="s">
        <v>1963</v>
      </c>
      <c r="N5" s="7" t="s">
        <v>1964</v>
      </c>
      <c r="O5" s="7" t="s">
        <v>1965</v>
      </c>
      <c r="P5" s="35" t="s">
        <v>1961</v>
      </c>
    </row>
    <row r="6" ht="33.75" spans="2:16">
      <c r="B6" s="8" t="s">
        <v>1967</v>
      </c>
      <c r="C6" s="9" t="s">
        <v>1145</v>
      </c>
      <c r="D6" s="10" t="s">
        <v>1968</v>
      </c>
      <c r="E6" s="10" t="s">
        <v>1119</v>
      </c>
      <c r="F6" s="10" t="s">
        <v>1969</v>
      </c>
      <c r="G6" s="11">
        <v>2010.1</v>
      </c>
      <c r="H6" s="10" t="s">
        <v>1121</v>
      </c>
      <c r="I6" s="36" t="s">
        <v>1122</v>
      </c>
      <c r="J6" s="12" t="s">
        <v>673</v>
      </c>
      <c r="K6" s="12" t="s">
        <v>1739</v>
      </c>
      <c r="L6" s="12" t="s">
        <v>674</v>
      </c>
      <c r="M6" s="12" t="s">
        <v>1923</v>
      </c>
      <c r="N6" s="29" t="s">
        <v>1960</v>
      </c>
      <c r="O6" s="12">
        <v>336</v>
      </c>
      <c r="P6" s="12" t="s">
        <v>1970</v>
      </c>
    </row>
    <row r="7" ht="24" spans="2:16">
      <c r="B7" s="8" t="s">
        <v>1967</v>
      </c>
      <c r="C7" s="12" t="s">
        <v>1102</v>
      </c>
      <c r="D7" s="13" t="s">
        <v>1161</v>
      </c>
      <c r="E7" s="10" t="s">
        <v>1971</v>
      </c>
      <c r="F7" s="10">
        <v>2111072907</v>
      </c>
      <c r="G7" s="14"/>
      <c r="H7" s="10" t="s">
        <v>1311</v>
      </c>
      <c r="I7" s="36" t="s">
        <v>1264</v>
      </c>
      <c r="J7" s="10" t="s">
        <v>667</v>
      </c>
      <c r="K7" s="12" t="s">
        <v>1739</v>
      </c>
      <c r="L7" s="12" t="s">
        <v>674</v>
      </c>
      <c r="M7" s="12" t="s">
        <v>1923</v>
      </c>
      <c r="N7" s="29" t="s">
        <v>1960</v>
      </c>
      <c r="O7" s="12">
        <v>336</v>
      </c>
      <c r="P7" s="37" t="s">
        <v>1970</v>
      </c>
    </row>
    <row r="8" ht="33.75" spans="2:16">
      <c r="B8" s="8" t="s">
        <v>1967</v>
      </c>
      <c r="C8" s="12" t="s">
        <v>1102</v>
      </c>
      <c r="D8" s="13" t="s">
        <v>1161</v>
      </c>
      <c r="E8" s="15" t="s">
        <v>1246</v>
      </c>
      <c r="F8" s="14" t="s">
        <v>1268</v>
      </c>
      <c r="G8" s="12"/>
      <c r="H8" s="10" t="s">
        <v>1248</v>
      </c>
      <c r="I8" s="36" t="s">
        <v>1122</v>
      </c>
      <c r="J8" s="12" t="s">
        <v>673</v>
      </c>
      <c r="K8" s="12" t="s">
        <v>1739</v>
      </c>
      <c r="L8" s="12" t="s">
        <v>674</v>
      </c>
      <c r="M8" s="12" t="s">
        <v>1923</v>
      </c>
      <c r="N8" s="29" t="s">
        <v>1960</v>
      </c>
      <c r="O8" s="13">
        <v>336</v>
      </c>
      <c r="P8" s="38"/>
    </row>
    <row r="9" ht="33.75" spans="2:16">
      <c r="B9" s="8" t="s">
        <v>1967</v>
      </c>
      <c r="C9" s="12" t="s">
        <v>1102</v>
      </c>
      <c r="D9" s="13" t="s">
        <v>1161</v>
      </c>
      <c r="E9" s="10" t="s">
        <v>1119</v>
      </c>
      <c r="F9" s="10" t="s">
        <v>1972</v>
      </c>
      <c r="G9" s="14">
        <v>2021.9</v>
      </c>
      <c r="H9" s="10" t="s">
        <v>1248</v>
      </c>
      <c r="I9" s="36" t="s">
        <v>1122</v>
      </c>
      <c r="J9" s="12" t="s">
        <v>673</v>
      </c>
      <c r="K9" s="12" t="s">
        <v>1739</v>
      </c>
      <c r="L9" s="12" t="s">
        <v>674</v>
      </c>
      <c r="M9" s="12" t="s">
        <v>1923</v>
      </c>
      <c r="N9" s="29" t="s">
        <v>1960</v>
      </c>
      <c r="O9" s="13">
        <v>336</v>
      </c>
      <c r="P9" s="12" t="s">
        <v>1970</v>
      </c>
    </row>
    <row r="10" ht="21" spans="2:16">
      <c r="B10" s="16" t="s">
        <v>675</v>
      </c>
      <c r="C10" s="7" t="s">
        <v>1102</v>
      </c>
      <c r="D10" s="5" t="s">
        <v>1973</v>
      </c>
      <c r="E10" s="5" t="s">
        <v>1271</v>
      </c>
      <c r="F10" s="17" t="s">
        <v>1290</v>
      </c>
      <c r="G10" s="17" t="s">
        <v>1288</v>
      </c>
      <c r="H10" s="5" t="s">
        <v>1274</v>
      </c>
      <c r="I10" s="39" t="s">
        <v>1275</v>
      </c>
      <c r="J10" s="7" t="s">
        <v>94</v>
      </c>
      <c r="K10" s="34" t="s">
        <v>1958</v>
      </c>
      <c r="L10" s="7" t="s">
        <v>429</v>
      </c>
      <c r="M10" s="7" t="s">
        <v>1959</v>
      </c>
      <c r="N10" s="7" t="s">
        <v>1960</v>
      </c>
      <c r="O10" s="16"/>
      <c r="P10" s="40" t="s">
        <v>1974</v>
      </c>
    </row>
    <row r="11" ht="24" spans="2:16">
      <c r="B11" s="16" t="s">
        <v>675</v>
      </c>
      <c r="C11" s="7" t="s">
        <v>1229</v>
      </c>
      <c r="D11" s="16" t="s">
        <v>1161</v>
      </c>
      <c r="E11" s="5" t="s">
        <v>1119</v>
      </c>
      <c r="F11" s="18" t="s">
        <v>1975</v>
      </c>
      <c r="G11" s="17" t="s">
        <v>453</v>
      </c>
      <c r="H11" s="17" t="s">
        <v>1121</v>
      </c>
      <c r="I11" s="33" t="s">
        <v>1122</v>
      </c>
      <c r="J11" s="7" t="s">
        <v>673</v>
      </c>
      <c r="K11" s="34" t="s">
        <v>1958</v>
      </c>
      <c r="L11" s="7"/>
      <c r="M11" s="7" t="s">
        <v>1976</v>
      </c>
      <c r="N11" s="7" t="s">
        <v>1964</v>
      </c>
      <c r="O11" s="7"/>
      <c r="P11" s="40" t="s">
        <v>1974</v>
      </c>
    </row>
    <row r="12" spans="2:16">
      <c r="B12" s="16" t="s">
        <v>675</v>
      </c>
      <c r="C12" s="7"/>
      <c r="D12" s="5"/>
      <c r="E12" s="17" t="s">
        <v>1977</v>
      </c>
      <c r="F12" s="19" t="s">
        <v>1978</v>
      </c>
      <c r="G12" s="17"/>
      <c r="H12" s="17"/>
      <c r="I12" s="17"/>
      <c r="J12" s="7"/>
      <c r="K12" s="7"/>
      <c r="L12" s="7"/>
      <c r="M12" s="7"/>
      <c r="N12" s="7"/>
      <c r="O12" s="41"/>
      <c r="P12" s="40" t="s">
        <v>1974</v>
      </c>
    </row>
    <row r="13" spans="2:16">
      <c r="B13" s="16" t="s">
        <v>675</v>
      </c>
      <c r="C13" s="7"/>
      <c r="D13" s="5"/>
      <c r="E13" s="5" t="s">
        <v>1977</v>
      </c>
      <c r="F13" s="19" t="s">
        <v>1979</v>
      </c>
      <c r="G13" s="17"/>
      <c r="H13" s="5"/>
      <c r="I13" s="33"/>
      <c r="J13" s="7"/>
      <c r="K13" s="7"/>
      <c r="L13" s="7"/>
      <c r="M13" s="7"/>
      <c r="N13" s="7"/>
      <c r="O13" s="41"/>
      <c r="P13" s="40" t="s">
        <v>1974</v>
      </c>
    </row>
    <row r="14" spans="2:16">
      <c r="B14" s="16" t="s">
        <v>958</v>
      </c>
      <c r="C14" s="7" t="s">
        <v>1108</v>
      </c>
      <c r="D14" s="5" t="s">
        <v>1980</v>
      </c>
      <c r="E14" s="5" t="s">
        <v>1133</v>
      </c>
      <c r="F14" s="5">
        <v>1232271645</v>
      </c>
      <c r="G14" s="17" t="s">
        <v>460</v>
      </c>
      <c r="H14" s="5" t="s">
        <v>1134</v>
      </c>
      <c r="I14" s="33" t="s">
        <v>1135</v>
      </c>
      <c r="J14" s="5" t="s">
        <v>667</v>
      </c>
      <c r="K14" s="7" t="s">
        <v>1739</v>
      </c>
      <c r="L14" s="7"/>
      <c r="M14" s="7" t="s">
        <v>1981</v>
      </c>
      <c r="N14" s="7"/>
      <c r="O14" s="42" t="s">
        <v>1982</v>
      </c>
      <c r="P14" s="43" t="s">
        <v>1983</v>
      </c>
    </row>
    <row r="15" spans="2:16">
      <c r="B15" s="16" t="s">
        <v>1984</v>
      </c>
      <c r="C15" s="7" t="s">
        <v>1229</v>
      </c>
      <c r="D15" s="5"/>
      <c r="E15" s="5"/>
      <c r="F15" s="17" t="s">
        <v>1985</v>
      </c>
      <c r="G15" s="17"/>
      <c r="H15" s="17"/>
      <c r="I15" s="17"/>
      <c r="J15" s="7"/>
      <c r="K15" s="7"/>
      <c r="L15" s="7"/>
      <c r="M15" s="7"/>
      <c r="N15" s="7"/>
      <c r="O15" s="7"/>
      <c r="P15" s="40" t="s">
        <v>1974</v>
      </c>
    </row>
    <row r="16" ht="22.5" spans="2:16">
      <c r="B16" s="20" t="s">
        <v>1986</v>
      </c>
      <c r="C16" s="7" t="s">
        <v>1229</v>
      </c>
      <c r="D16" s="5"/>
      <c r="E16" s="21" t="s">
        <v>1261</v>
      </c>
      <c r="F16" s="17" t="s">
        <v>1987</v>
      </c>
      <c r="G16" s="17"/>
      <c r="H16" s="17"/>
      <c r="I16" s="17"/>
      <c r="J16" s="7"/>
      <c r="K16" s="7"/>
      <c r="L16" s="7"/>
      <c r="M16" s="7"/>
      <c r="N16" s="7"/>
      <c r="O16" s="7"/>
      <c r="P16" s="44" t="s">
        <v>1988</v>
      </c>
    </row>
    <row r="17" ht="21" spans="2:16">
      <c r="B17" s="3" t="s">
        <v>1144</v>
      </c>
      <c r="C17" s="4" t="s">
        <v>1102</v>
      </c>
      <c r="D17" s="5" t="s">
        <v>1989</v>
      </c>
      <c r="E17" s="5" t="s">
        <v>1119</v>
      </c>
      <c r="F17" s="17" t="s">
        <v>1990</v>
      </c>
      <c r="G17" s="17" t="s">
        <v>453</v>
      </c>
      <c r="H17" s="17" t="s">
        <v>1121</v>
      </c>
      <c r="I17" s="33" t="s">
        <v>1122</v>
      </c>
      <c r="J17" s="7" t="s">
        <v>673</v>
      </c>
      <c r="K17" s="34" t="s">
        <v>1958</v>
      </c>
      <c r="L17" s="7"/>
      <c r="M17" s="7" t="s">
        <v>1976</v>
      </c>
      <c r="N17" s="7" t="s">
        <v>1964</v>
      </c>
      <c r="O17" s="7"/>
      <c r="P17" s="44" t="s">
        <v>1991</v>
      </c>
    </row>
    <row r="18" ht="21" spans="2:16">
      <c r="B18" s="16" t="s">
        <v>1175</v>
      </c>
      <c r="C18" s="7" t="s">
        <v>1145</v>
      </c>
      <c r="D18" s="5" t="s">
        <v>1257</v>
      </c>
      <c r="E18" s="5" t="s">
        <v>1119</v>
      </c>
      <c r="F18" s="5" t="s">
        <v>1992</v>
      </c>
      <c r="G18" s="17" t="s">
        <v>460</v>
      </c>
      <c r="H18" s="5" t="s">
        <v>1121</v>
      </c>
      <c r="I18" s="33" t="s">
        <v>1122</v>
      </c>
      <c r="J18" s="5" t="s">
        <v>667</v>
      </c>
      <c r="K18" s="34" t="s">
        <v>1958</v>
      </c>
      <c r="L18" s="7"/>
      <c r="M18" s="7" t="s">
        <v>1976</v>
      </c>
      <c r="N18" s="7" t="s">
        <v>1964</v>
      </c>
      <c r="O18" s="7"/>
      <c r="P18" s="44" t="s">
        <v>1988</v>
      </c>
    </row>
    <row r="19" ht="22.5" spans="2:16">
      <c r="B19" s="3" t="s">
        <v>1101</v>
      </c>
      <c r="C19" s="4" t="s">
        <v>1108</v>
      </c>
      <c r="D19" s="5" t="s">
        <v>1993</v>
      </c>
      <c r="E19" s="17" t="s">
        <v>1170</v>
      </c>
      <c r="F19" s="17" t="s">
        <v>1994</v>
      </c>
      <c r="G19" s="17" t="s">
        <v>453</v>
      </c>
      <c r="H19" s="17" t="s">
        <v>1172</v>
      </c>
      <c r="I19" s="17" t="s">
        <v>1135</v>
      </c>
      <c r="J19" s="7" t="s">
        <v>673</v>
      </c>
      <c r="K19" s="45" t="s">
        <v>1739</v>
      </c>
      <c r="L19" s="7" t="s">
        <v>674</v>
      </c>
      <c r="M19" s="7" t="s">
        <v>1923</v>
      </c>
      <c r="N19" s="7" t="s">
        <v>1964</v>
      </c>
      <c r="O19" s="7">
        <v>300</v>
      </c>
      <c r="P19" s="16" t="s">
        <v>1995</v>
      </c>
    </row>
    <row r="20" ht="22.5" spans="2:16">
      <c r="B20" s="20" t="s">
        <v>1996</v>
      </c>
      <c r="C20" s="4" t="s">
        <v>1108</v>
      </c>
      <c r="D20" s="5"/>
      <c r="E20" s="17" t="s">
        <v>1170</v>
      </c>
      <c r="F20" s="17" t="s">
        <v>1997</v>
      </c>
      <c r="G20" s="17" t="s">
        <v>453</v>
      </c>
      <c r="H20" s="17" t="s">
        <v>1172</v>
      </c>
      <c r="I20" s="17" t="s">
        <v>1135</v>
      </c>
      <c r="J20" s="7" t="s">
        <v>673</v>
      </c>
      <c r="K20" s="45"/>
      <c r="L20" s="7" t="s">
        <v>674</v>
      </c>
      <c r="M20" s="7"/>
      <c r="N20" s="7"/>
      <c r="O20" s="7"/>
      <c r="P20" s="46" t="s">
        <v>1998</v>
      </c>
    </row>
    <row r="21" ht="22.5" spans="2:16">
      <c r="B21" s="20" t="s">
        <v>1996</v>
      </c>
      <c r="C21" s="4" t="s">
        <v>1108</v>
      </c>
      <c r="D21" s="5"/>
      <c r="E21" s="17" t="s">
        <v>1170</v>
      </c>
      <c r="F21" s="17" t="s">
        <v>1999</v>
      </c>
      <c r="G21" s="17" t="s">
        <v>453</v>
      </c>
      <c r="H21" s="17" t="s">
        <v>1172</v>
      </c>
      <c r="I21" s="17" t="s">
        <v>1135</v>
      </c>
      <c r="J21" s="7" t="s">
        <v>673</v>
      </c>
      <c r="K21" s="45"/>
      <c r="L21" s="7" t="s">
        <v>674</v>
      </c>
      <c r="M21" s="7"/>
      <c r="N21" s="7"/>
      <c r="O21" s="7"/>
      <c r="P21" s="47"/>
    </row>
    <row r="22" ht="22.5" spans="2:16">
      <c r="B22" s="22" t="s">
        <v>958</v>
      </c>
      <c r="C22" s="22" t="s">
        <v>8</v>
      </c>
      <c r="D22" s="23" t="s">
        <v>42</v>
      </c>
      <c r="E22" s="23" t="s">
        <v>2000</v>
      </c>
      <c r="F22" s="24" t="s">
        <v>2001</v>
      </c>
      <c r="G22" s="24"/>
      <c r="H22" s="23" t="s">
        <v>42</v>
      </c>
      <c r="I22" s="23" t="s">
        <v>42</v>
      </c>
      <c r="J22" s="23"/>
      <c r="K22" s="48" t="s">
        <v>1778</v>
      </c>
      <c r="L22" s="22" t="s">
        <v>674</v>
      </c>
      <c r="M22" s="22" t="s">
        <v>2002</v>
      </c>
      <c r="N22" s="22"/>
      <c r="O22" s="22"/>
      <c r="P22" s="49" t="s">
        <v>2003</v>
      </c>
    </row>
    <row r="23" ht="21" spans="2:16">
      <c r="B23" s="16" t="s">
        <v>67</v>
      </c>
      <c r="C23" s="7" t="s">
        <v>1108</v>
      </c>
      <c r="D23" s="16" t="s">
        <v>1161</v>
      </c>
      <c r="E23" s="25" t="s">
        <v>1293</v>
      </c>
      <c r="F23" s="25" t="s">
        <v>2004</v>
      </c>
      <c r="G23" s="26">
        <v>2020.1</v>
      </c>
      <c r="H23" s="26" t="s">
        <v>1294</v>
      </c>
      <c r="I23" s="50" t="s">
        <v>1114</v>
      </c>
      <c r="J23" s="7" t="s">
        <v>94</v>
      </c>
      <c r="K23" s="34" t="s">
        <v>1958</v>
      </c>
      <c r="L23" s="7" t="s">
        <v>429</v>
      </c>
      <c r="M23" s="29" t="s">
        <v>1736</v>
      </c>
      <c r="N23" s="29" t="s">
        <v>1736</v>
      </c>
      <c r="O23" s="29">
        <v>300</v>
      </c>
      <c r="P23" s="29" t="s">
        <v>1218</v>
      </c>
    </row>
    <row r="24" spans="2:14">
      <c r="B24" s="27" t="s">
        <v>15</v>
      </c>
      <c r="C24" s="28" t="s">
        <v>1295</v>
      </c>
      <c r="D24" s="29" t="s">
        <v>1108</v>
      </c>
      <c r="E24" s="30"/>
      <c r="F24" s="31" t="s">
        <v>1170</v>
      </c>
      <c r="G24" s="31">
        <v>1232260331</v>
      </c>
      <c r="H24" s="32">
        <v>2012.08</v>
      </c>
      <c r="I24" s="31" t="s">
        <v>1172</v>
      </c>
      <c r="J24" s="51" t="s">
        <v>1135</v>
      </c>
      <c r="K24" s="29" t="s">
        <v>1220</v>
      </c>
      <c r="L24" s="29" t="s">
        <v>1221</v>
      </c>
      <c r="M24" s="52"/>
      <c r="N24" t="s">
        <v>429</v>
      </c>
    </row>
  </sheetData>
  <mergeCells count="2">
    <mergeCell ref="P7:P8"/>
    <mergeCell ref="P20:P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导出计数_车间</vt:lpstr>
      <vt:lpstr>1-生产外检</vt:lpstr>
      <vt:lpstr>1-生产内检</vt:lpstr>
      <vt:lpstr>2-化验室</vt:lpstr>
      <vt:lpstr>3-液体糖</vt:lpstr>
      <vt:lpstr>4-战马</vt:lpstr>
      <vt:lpstr>5-电子天平、电子秤、砝码</vt:lpstr>
      <vt:lpstr>5-内检电子天平、电子称</vt:lpstr>
      <vt:lpstr>6-温湿度计</vt:lpstr>
      <vt:lpstr>6-内校温湿度计</vt:lpstr>
      <vt:lpstr>1-生产坏或者不用</vt:lpstr>
      <vt:lpstr>2-化验室备用和坏</vt:lpstr>
      <vt:lpstr>3-电子天平、坏备用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品管统计</dc:creator>
  <cp:lastModifiedBy>ʚ林ɞ</cp:lastModifiedBy>
  <dcterms:created xsi:type="dcterms:W3CDTF">2025-03-27T00:59:00Z</dcterms:created>
  <dcterms:modified xsi:type="dcterms:W3CDTF">2025-10-13T06:24:21Z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7253672315FE412D8F66D890BF0F4B47_12</vt:lpwstr>
  </property>
</Properties>
</file>