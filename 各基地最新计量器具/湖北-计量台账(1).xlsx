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计划" sheetId="1" r:id="rId1"/>
    <sheet name="计划 (2)" sheetId="4" state="hidden" r:id="rId2"/>
    <sheet name="清单" sheetId="3" state="hidden" r:id="rId3"/>
  </sheets>
  <definedNames>
    <definedName name="_xlnm._FilterDatabase" localSheetId="0" hidden="1">计划!$A$3:$Q$301</definedName>
    <definedName name="_xlnm._FilterDatabase" localSheetId="1" hidden="1">'计划 (2)'!$B$3:$G$424</definedName>
    <definedName name="_xlnm._FilterDatabase" localSheetId="2" hidden="1">清单!$A$3:$K$409</definedName>
    <definedName name="_xlnm.Print_Area" localSheetId="1">'计划 (2)'!$A$1:$G$433</definedName>
    <definedName name="_xlnm.Print_Titles" localSheetId="0">计划!$1:$3</definedName>
    <definedName name="_xlnm.Print_Titles" localSheetId="1">'计划 (2)'!$1:$3</definedName>
    <definedName name="_xlnm.Print_Titles" localSheetId="2">清单!$1:$3</definedName>
    <definedName name="_xlnm.Print_Area" localSheetId="0">计划!$A$1:$Q$301</definedName>
    <definedName name="_xlnm.Print_Area" localSheetId="2">清单!$A$1:$K$409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<sst xmlns="http://schemas.openxmlformats.org/spreadsheetml/2006/main" count="10055" uniqueCount="1198">
  <si>
    <t>计量器具检校计划</t>
  </si>
  <si>
    <t>注：自检频次及记录见各岗位自检记录</t>
  </si>
  <si>
    <t>序号</t>
  </si>
  <si>
    <t>证书编号</t>
  </si>
  <si>
    <t>数量</t>
  </si>
  <si>
    <t>器具名称</t>
  </si>
  <si>
    <t>型号规格</t>
  </si>
  <si>
    <t>出厂编号</t>
  </si>
  <si>
    <t>类型</t>
  </si>
  <si>
    <t>检定日期</t>
  </si>
  <si>
    <t>有效日期</t>
  </si>
  <si>
    <t>拟送检日期</t>
  </si>
  <si>
    <t>拟送检月份</t>
  </si>
  <si>
    <t>状态</t>
  </si>
  <si>
    <t>外检频次 （月/次）</t>
  </si>
  <si>
    <t>测试类型</t>
  </si>
  <si>
    <t>测试机构</t>
  </si>
  <si>
    <t>使用位置</t>
  </si>
  <si>
    <t>备注</t>
  </si>
  <si>
    <t>2025RG029800241</t>
  </si>
  <si>
    <t>1</t>
  </si>
  <si>
    <t>工作用玻璃液体温度计</t>
  </si>
  <si>
    <t>棒式、全浸</t>
  </si>
  <si>
    <t>1997</t>
  </si>
  <si>
    <t>热工</t>
  </si>
  <si>
    <t>2025-02-13</t>
  </si>
  <si>
    <t>2026-02-12</t>
  </si>
  <si>
    <t>合格</t>
  </si>
  <si>
    <t>12</t>
  </si>
  <si>
    <t>检定</t>
  </si>
  <si>
    <t>省计量院</t>
  </si>
  <si>
    <t>二车间-在线化验室</t>
  </si>
  <si>
    <t>2025HX045600185</t>
  </si>
  <si>
    <t>多分度量瓶</t>
  </si>
  <si>
    <t>260mL</t>
  </si>
  <si>
    <t>8777</t>
  </si>
  <si>
    <t>化学</t>
  </si>
  <si>
    <t>2025-02-14</t>
  </si>
  <si>
    <t>2026-02-13</t>
  </si>
  <si>
    <t>校准</t>
  </si>
  <si>
    <t>2024YD050200931</t>
  </si>
  <si>
    <t>尘埃粒子计数器</t>
  </si>
  <si>
    <t>CW-HPC300</t>
  </si>
  <si>
    <t>3000508</t>
  </si>
  <si>
    <t>医学</t>
  </si>
  <si>
    <t>2024-10-17</t>
  </si>
  <si>
    <t>2025-10-16</t>
  </si>
  <si>
    <t>2024PH042505</t>
  </si>
  <si>
    <t>pH计</t>
  </si>
  <si>
    <t>S210</t>
  </si>
  <si>
    <t>B504520463</t>
  </si>
  <si>
    <t>市计量所</t>
  </si>
  <si>
    <t>2024HX043800531</t>
  </si>
  <si>
    <t>数显糖度计</t>
  </si>
  <si>
    <t>PR-101α</t>
  </si>
  <si>
    <t>D12248</t>
  </si>
  <si>
    <t>2024-10-23</t>
  </si>
  <si>
    <t>2025-10-22</t>
  </si>
  <si>
    <t>2024PH042501</t>
  </si>
  <si>
    <t>Sevencompact</t>
  </si>
  <si>
    <t>B512732832</t>
  </si>
  <si>
    <t>一车间-在线化验室</t>
  </si>
  <si>
    <t>2024HX043800526</t>
  </si>
  <si>
    <t>便携式糖量计</t>
  </si>
  <si>
    <t>A98342</t>
  </si>
  <si>
    <t>2025YD045100041</t>
  </si>
  <si>
    <t>X γ辐射报警仪</t>
  </si>
  <si>
    <t>GM-1200</t>
  </si>
  <si>
    <t>YFRL25A11413</t>
  </si>
  <si>
    <t>2025-01-23</t>
  </si>
  <si>
    <t>2026-01-22</t>
  </si>
  <si>
    <t>三车间-生产区域</t>
  </si>
  <si>
    <t>六线打码</t>
  </si>
  <si>
    <t>力衡字第20240425006号</t>
  </si>
  <si>
    <t>电子台秤</t>
  </si>
  <si>
    <t>TCS-150</t>
  </si>
  <si>
    <t>Y0746736HL</t>
  </si>
  <si>
    <t>力学</t>
  </si>
  <si>
    <t>力衡字第20240425003号</t>
  </si>
  <si>
    <t>B844688247</t>
  </si>
  <si>
    <t>三车间-仓库</t>
  </si>
  <si>
    <t>2025YD026300151</t>
  </si>
  <si>
    <t>3000507</t>
  </si>
  <si>
    <t>2025-03-13</t>
  </si>
  <si>
    <t>2026-03-12</t>
  </si>
  <si>
    <t>2024PH042509</t>
  </si>
  <si>
    <t>1232225784</t>
  </si>
  <si>
    <t>三车间-在线化验室</t>
  </si>
  <si>
    <t>2025CD038200656</t>
  </si>
  <si>
    <t>数显卡尺</t>
  </si>
  <si>
    <t>（0-150）mm</t>
  </si>
  <si>
    <t>11511756</t>
  </si>
  <si>
    <t>长度</t>
  </si>
  <si>
    <t>2025-03-18</t>
  </si>
  <si>
    <t>2026-03-17</t>
  </si>
  <si>
    <t>2024YD050200982</t>
  </si>
  <si>
    <t>30612012080149</t>
  </si>
  <si>
    <t>2024-10-29</t>
  </si>
  <si>
    <t>2025-10-28</t>
  </si>
  <si>
    <t>2024TP0425007</t>
  </si>
  <si>
    <t>电子天平</t>
  </si>
  <si>
    <t>ME3002E102</t>
  </si>
  <si>
    <t>B402181336</t>
  </si>
  <si>
    <t>五线打码</t>
  </si>
  <si>
    <t>2025YD045100040</t>
  </si>
  <si>
    <t>YFRL25A11412</t>
  </si>
  <si>
    <t>2024RG040400540</t>
  </si>
  <si>
    <t>红外测温仪</t>
  </si>
  <si>
    <t>MT4 MAX</t>
  </si>
  <si>
    <t>49116968WS</t>
  </si>
  <si>
    <t>2025CD033902444</t>
  </si>
  <si>
    <t>校准块</t>
  </si>
  <si>
    <t>1.00mm/2.00mm</t>
  </si>
  <si>
    <t>VSMCAL18034</t>
  </si>
  <si>
    <t>2024HX049602485</t>
  </si>
  <si>
    <t xml:space="preserve">  多分度量瓶 </t>
  </si>
  <si>
    <t>270mL</t>
  </si>
  <si>
    <t>7760</t>
  </si>
  <si>
    <t>2024HX043800528</t>
  </si>
  <si>
    <t>A76272</t>
  </si>
  <si>
    <t>2024HX027200242</t>
  </si>
  <si>
    <t xml:space="preserve">定量灌装机 </t>
  </si>
  <si>
    <t xml:space="preserve">VOCG1440-36（250mL） </t>
  </si>
  <si>
    <t>K221143</t>
  </si>
  <si>
    <t>二车间-三线灌装间</t>
  </si>
  <si>
    <t>2024HX027200243</t>
  </si>
  <si>
    <t>定量灌装机</t>
  </si>
  <si>
    <t xml:space="preserve"> VOCG1440-36（250mL）  </t>
  </si>
  <si>
    <t>K221144</t>
  </si>
  <si>
    <t>二车间-四线灌装间</t>
  </si>
  <si>
    <t>2024HX027200244</t>
  </si>
  <si>
    <t xml:space="preserve">VOLUMETIC（250mL） </t>
  </si>
  <si>
    <t>K221165</t>
  </si>
  <si>
    <t>三车间-六线灌装间</t>
  </si>
  <si>
    <t>2024HX027200245</t>
  </si>
  <si>
    <t>K221166</t>
  </si>
  <si>
    <t>三车间-五线灌装间</t>
  </si>
  <si>
    <t>2024HX043001301</t>
  </si>
  <si>
    <t>单道可调式移液器</t>
  </si>
  <si>
    <t>(0.5~5)mL</t>
  </si>
  <si>
    <t>22E81512</t>
  </si>
  <si>
    <t>2024-10-18</t>
  </si>
  <si>
    <t>2025-10-17</t>
  </si>
  <si>
    <t>一车间-定量</t>
  </si>
  <si>
    <t>2024RG0425328</t>
  </si>
  <si>
    <t>电热恒温鼓风干燥箱</t>
  </si>
  <si>
    <t>DGG-9123AD</t>
  </si>
  <si>
    <t>21010302</t>
  </si>
  <si>
    <t>2025LX029900353</t>
  </si>
  <si>
    <t>MS105DU/A</t>
  </si>
  <si>
    <t>C145916707</t>
  </si>
  <si>
    <t>2024HX043001299</t>
  </si>
  <si>
    <t>（100～1000）μL</t>
  </si>
  <si>
    <t>20C38076</t>
  </si>
  <si>
    <t>2024HX027200240</t>
  </si>
  <si>
    <t xml:space="preserve">K221-127 </t>
  </si>
  <si>
    <t>一车间-一线灌装间</t>
  </si>
  <si>
    <t>2024HX027200241</t>
  </si>
  <si>
    <t xml:space="preserve">定量灌装机  </t>
  </si>
  <si>
    <t xml:space="preserve"> VOCG1440-36（250mL）</t>
  </si>
  <si>
    <t>K221-128</t>
  </si>
  <si>
    <t>一车间-二线灌装间</t>
  </si>
  <si>
    <t>2024RG043500893</t>
  </si>
  <si>
    <t>恒温培养箱</t>
  </si>
  <si>
    <t>BD 240</t>
  </si>
  <si>
    <t>09-06075</t>
  </si>
  <si>
    <t>三车间-化验室</t>
  </si>
  <si>
    <t>2024RG0425332</t>
  </si>
  <si>
    <t>BD240</t>
  </si>
  <si>
    <t>05-89566</t>
  </si>
  <si>
    <t>2025CD033902445</t>
  </si>
  <si>
    <t>VSMCAL23116</t>
  </si>
  <si>
    <t>2024HX043001302</t>
  </si>
  <si>
    <t>(100～1000 )μL</t>
  </si>
  <si>
    <t>24D73604</t>
  </si>
  <si>
    <t>2024LX042101205</t>
  </si>
  <si>
    <t>AL204</t>
  </si>
  <si>
    <t>1227161055</t>
  </si>
  <si>
    <t>2024-10-28</t>
  </si>
  <si>
    <t>2025-10-27</t>
  </si>
  <si>
    <t>2024RG0425337</t>
  </si>
  <si>
    <t>21070828</t>
  </si>
  <si>
    <t>2024RG0425340</t>
  </si>
  <si>
    <t>BF400</t>
  </si>
  <si>
    <t>20170000016059</t>
  </si>
  <si>
    <t>2024RG0425342</t>
  </si>
  <si>
    <t>20170000016058</t>
  </si>
  <si>
    <t>2024HX043001300</t>
  </si>
  <si>
    <t>(20～200)μL</t>
  </si>
  <si>
    <t>19F79679</t>
  </si>
  <si>
    <t>2024LX042101201</t>
  </si>
  <si>
    <t>1227161004</t>
  </si>
  <si>
    <t>2024RG0425329</t>
  </si>
  <si>
    <t>DGG-9023A</t>
  </si>
  <si>
    <t>06030582</t>
  </si>
  <si>
    <t>2024RG0425341</t>
  </si>
  <si>
    <t>12-00593</t>
  </si>
  <si>
    <t>2024RG0425334</t>
  </si>
  <si>
    <t>12-00629</t>
  </si>
  <si>
    <t>2024HX027200638</t>
  </si>
  <si>
    <t>紫外可见分光光度计</t>
  </si>
  <si>
    <t>U-2900</t>
  </si>
  <si>
    <t>23E57-018</t>
  </si>
  <si>
    <t>2024-10-24</t>
  </si>
  <si>
    <t>2025-10-23</t>
  </si>
  <si>
    <t>2024HX043800537</t>
  </si>
  <si>
    <t>总酸滴定仪</t>
  </si>
  <si>
    <t>T5</t>
  </si>
  <si>
    <t>B733540182</t>
  </si>
  <si>
    <t>2024RG0425336</t>
  </si>
  <si>
    <t>低温恒温培养箱</t>
  </si>
  <si>
    <t>MIR-254</t>
  </si>
  <si>
    <t>11110395</t>
  </si>
  <si>
    <t>2024RG0425339</t>
  </si>
  <si>
    <t>MIR-253</t>
  </si>
  <si>
    <t>51116014</t>
  </si>
  <si>
    <t>2024HX043800535</t>
  </si>
  <si>
    <t>余氯测试仪</t>
  </si>
  <si>
    <t>ClO2+</t>
  </si>
  <si>
    <t>PT0460813120</t>
  </si>
  <si>
    <t>2024HX043001338</t>
  </si>
  <si>
    <t>（100~1000）μL</t>
  </si>
  <si>
    <t>20E81688</t>
  </si>
  <si>
    <t>2024-10-25</t>
  </si>
  <si>
    <t>2025-10-24</t>
  </si>
  <si>
    <t>2024HX049602484</t>
  </si>
  <si>
    <t>7759</t>
  </si>
  <si>
    <t>2024HX049602483</t>
  </si>
  <si>
    <t xml:space="preserve">  多分度量瓶</t>
  </si>
  <si>
    <t>7758</t>
  </si>
  <si>
    <t>2024PH042511</t>
  </si>
  <si>
    <t>1232185808</t>
  </si>
  <si>
    <t>2024HX043800529</t>
  </si>
  <si>
    <t>PR-301α</t>
  </si>
  <si>
    <t>A81448</t>
  </si>
  <si>
    <t>2024HX043800530</t>
  </si>
  <si>
    <t>A62225</t>
  </si>
  <si>
    <t>2024HX043800532</t>
  </si>
  <si>
    <t>多参数测定仪（pH/糖量）</t>
  </si>
  <si>
    <t>Seven Excellence/R4</t>
  </si>
  <si>
    <t>C028665451/C028676783</t>
  </si>
  <si>
    <t>2025HX045600192</t>
  </si>
  <si>
    <t>多参数便携式比色计</t>
  </si>
  <si>
    <t>PM3008；消解器型号：PXJ-D15</t>
  </si>
  <si>
    <t>083207031005；消解器编号：0613221114</t>
  </si>
  <si>
    <t>2025-02-12</t>
  </si>
  <si>
    <t>2026-02-11</t>
  </si>
  <si>
    <t>其他</t>
  </si>
  <si>
    <t>污水</t>
  </si>
  <si>
    <t>2024HX027200641</t>
  </si>
  <si>
    <t>UV-5</t>
  </si>
  <si>
    <t>C047569674</t>
  </si>
  <si>
    <t>2024HX030900680</t>
  </si>
  <si>
    <t>在线pH计</t>
  </si>
  <si>
    <t>1-9900-1P</t>
  </si>
  <si>
    <t>61902090054</t>
  </si>
  <si>
    <t>制水</t>
  </si>
  <si>
    <t>2024RG043500891</t>
  </si>
  <si>
    <t>高压灭菌锅</t>
  </si>
  <si>
    <t>MLS-3781L-PC</t>
  </si>
  <si>
    <t>PC6Y1320</t>
  </si>
  <si>
    <t>三车间-化验室备用</t>
  </si>
  <si>
    <t>2024RG043500892</t>
  </si>
  <si>
    <t>PC6Y1322</t>
  </si>
  <si>
    <t>2024HX027200640</t>
  </si>
  <si>
    <t>B923777910</t>
  </si>
  <si>
    <t>2024HX027200642</t>
  </si>
  <si>
    <t>台式密度计</t>
  </si>
  <si>
    <t>DM40</t>
  </si>
  <si>
    <t>B643206630</t>
  </si>
  <si>
    <t>2024HX030900674</t>
  </si>
  <si>
    <t>在线电导率仪</t>
  </si>
  <si>
    <t>DDG-33</t>
  </si>
  <si>
    <t>710214N0016100008</t>
  </si>
  <si>
    <t>2024TP0425003</t>
  </si>
  <si>
    <t>PL4002</t>
  </si>
  <si>
    <t>1232111062</t>
  </si>
  <si>
    <t>2024HX030900675</t>
  </si>
  <si>
    <t>DDG-403B</t>
  </si>
  <si>
    <t>1011940011864</t>
  </si>
  <si>
    <t>2024HX030900676</t>
  </si>
  <si>
    <t>1011940011178</t>
  </si>
  <si>
    <t>2024-10-26</t>
  </si>
  <si>
    <t>2025-10-25</t>
  </si>
  <si>
    <t>2024HX030900678</t>
  </si>
  <si>
    <t>61902090065</t>
  </si>
  <si>
    <t>2024HX030900679</t>
  </si>
  <si>
    <t>61902090045</t>
  </si>
  <si>
    <t>力衡字第20241127005号</t>
  </si>
  <si>
    <t>ICS429</t>
  </si>
  <si>
    <t>C435666392</t>
  </si>
  <si>
    <t>2024-11-27</t>
  </si>
  <si>
    <t>2025-11-26</t>
  </si>
  <si>
    <t>称料岗位</t>
  </si>
  <si>
    <t>2025LX042100455</t>
  </si>
  <si>
    <t>砝码</t>
  </si>
  <si>
    <t>（10～200）g</t>
  </si>
  <si>
    <t>无</t>
  </si>
  <si>
    <t>2025-03-19</t>
  </si>
  <si>
    <t>2026-03-18</t>
  </si>
  <si>
    <t>2024HX030900673</t>
  </si>
  <si>
    <t>710214N0016050016</t>
  </si>
  <si>
    <t>2024HX030900677</t>
  </si>
  <si>
    <t>1011940011208</t>
  </si>
  <si>
    <t>2024RG043500894</t>
  </si>
  <si>
    <t>霉菌恒温培养箱</t>
  </si>
  <si>
    <t>MJP-250S</t>
  </si>
  <si>
    <t>23080806</t>
  </si>
  <si>
    <t>力衡字第20241127001号</t>
  </si>
  <si>
    <t>TCS-15</t>
  </si>
  <si>
    <t>C435666449</t>
  </si>
  <si>
    <t>2024LL043700227</t>
  </si>
  <si>
    <t>电磁流量计</t>
  </si>
  <si>
    <t>HXLDE-100-11300-1.6-140</t>
  </si>
  <si>
    <t>1205118</t>
  </si>
  <si>
    <t>流量</t>
  </si>
  <si>
    <t>2024HX030900669</t>
  </si>
  <si>
    <t>酶标仪</t>
  </si>
  <si>
    <t>SUNRISE</t>
  </si>
  <si>
    <t>1506004028</t>
  </si>
  <si>
    <t>2025RG033200733</t>
  </si>
  <si>
    <t>高温高压灭菌锅</t>
  </si>
  <si>
    <t>TOMY-SX-700</t>
  </si>
  <si>
    <t>59150051</t>
  </si>
  <si>
    <t>2025-03-21</t>
  </si>
  <si>
    <t>2026-03-20</t>
  </si>
  <si>
    <t>2025RG033200734</t>
  </si>
  <si>
    <t>59150052</t>
  </si>
  <si>
    <t>力衡字第20241127002号</t>
  </si>
  <si>
    <t>C435666447</t>
  </si>
  <si>
    <t>力衡字第20240827003号</t>
  </si>
  <si>
    <t>C435666448</t>
  </si>
  <si>
    <t>力衡字第20240827004号</t>
  </si>
  <si>
    <t>C435666450</t>
  </si>
  <si>
    <t>2024RG0425327</t>
  </si>
  <si>
    <t>磁力搅拌水浴锅</t>
  </si>
  <si>
    <t>LC-WB-4</t>
  </si>
  <si>
    <t>D06423100222</t>
  </si>
  <si>
    <t>力衡字第20240425015号</t>
  </si>
  <si>
    <t>磅秤</t>
  </si>
  <si>
    <t>SCS-2</t>
  </si>
  <si>
    <t>2209003114</t>
  </si>
  <si>
    <t>香精库房</t>
  </si>
  <si>
    <t>2024LL043700229</t>
  </si>
  <si>
    <t>电磁水表</t>
  </si>
  <si>
    <t>MAG-CY/DN100</t>
  </si>
  <si>
    <t>井水</t>
  </si>
  <si>
    <t>2024LL043700230</t>
  </si>
  <si>
    <t>2024LL043700231</t>
  </si>
  <si>
    <t>MAG-CY/DN200</t>
  </si>
  <si>
    <t>2024HX030900670</t>
  </si>
  <si>
    <t>氨基酸分析仪</t>
  </si>
  <si>
    <t>L-8900</t>
  </si>
  <si>
    <t>2601-003</t>
  </si>
  <si>
    <t>2024-11-19</t>
  </si>
  <si>
    <t>2025-11-18</t>
  </si>
  <si>
    <t>2024PH042504</t>
  </si>
  <si>
    <t>1230025172</t>
  </si>
  <si>
    <t>二车间-化验室</t>
  </si>
  <si>
    <t>2024TP0425001</t>
  </si>
  <si>
    <t>1232340792</t>
  </si>
  <si>
    <t>2024PH042503</t>
  </si>
  <si>
    <t>Seven Easy</t>
  </si>
  <si>
    <t>1227126157</t>
  </si>
  <si>
    <t>一车间-化验室</t>
  </si>
  <si>
    <t>2024PH042502</t>
  </si>
  <si>
    <t>SevenEasy</t>
  </si>
  <si>
    <t>1230025169</t>
  </si>
  <si>
    <t>2024TP0425015</t>
  </si>
  <si>
    <t>MS12001L1/01</t>
  </si>
  <si>
    <t>B213806219</t>
  </si>
  <si>
    <t>2024PH042507</t>
  </si>
  <si>
    <t>B512732831</t>
  </si>
  <si>
    <t>2024TP0425017</t>
  </si>
  <si>
    <t>B210756992</t>
  </si>
  <si>
    <t>车间</t>
  </si>
  <si>
    <t>2024TP0425014</t>
  </si>
  <si>
    <t>SB8000</t>
  </si>
  <si>
    <t>1127171433</t>
  </si>
  <si>
    <t>2024TP0425013</t>
  </si>
  <si>
    <t>1129470894</t>
  </si>
  <si>
    <t>B421627171</t>
  </si>
  <si>
    <t>2024TP0425019</t>
  </si>
  <si>
    <t>JTS-15LW</t>
  </si>
  <si>
    <t>H01212181121</t>
  </si>
  <si>
    <t>2024TP0425018</t>
  </si>
  <si>
    <t>H01212181122</t>
  </si>
  <si>
    <t>2024TP0425009</t>
  </si>
  <si>
    <t>PL3002</t>
  </si>
  <si>
    <t>1232120030</t>
  </si>
  <si>
    <t>2024TP0425005</t>
  </si>
  <si>
    <t>ME3002E/02</t>
  </si>
  <si>
    <t>C131296785</t>
  </si>
  <si>
    <t>2024TP0425004</t>
  </si>
  <si>
    <t>ME3002E</t>
  </si>
  <si>
    <t>B946608567</t>
  </si>
  <si>
    <t>二车间-生产区域</t>
  </si>
  <si>
    <t>三线打码</t>
  </si>
  <si>
    <t>2024TP0425012</t>
  </si>
  <si>
    <t>PL2002</t>
  </si>
  <si>
    <t>1232270147</t>
  </si>
  <si>
    <t>四线打码</t>
  </si>
  <si>
    <t>2024TP0425006</t>
  </si>
  <si>
    <t>B810525896</t>
  </si>
  <si>
    <t>2024TP0425016</t>
  </si>
  <si>
    <t>1232270218</t>
  </si>
  <si>
    <t>六线灌装</t>
  </si>
  <si>
    <t>2024RG0425330</t>
  </si>
  <si>
    <t>电热恒温水浴锅</t>
  </si>
  <si>
    <t>HH-600</t>
  </si>
  <si>
    <t>212863</t>
  </si>
  <si>
    <t>力衡字第20240425013号</t>
  </si>
  <si>
    <t>TCS-60</t>
  </si>
  <si>
    <t>C305648826</t>
  </si>
  <si>
    <t>力衡字第20240425014号</t>
  </si>
  <si>
    <t>C145939236</t>
  </si>
  <si>
    <t>2024TP0425008</t>
  </si>
  <si>
    <t>B939349015</t>
  </si>
  <si>
    <t>2024TP04250010</t>
  </si>
  <si>
    <t>1232120000</t>
  </si>
  <si>
    <t>一车间-生产区域</t>
  </si>
  <si>
    <t>力衡字第20240425010号</t>
  </si>
  <si>
    <t>21090461</t>
  </si>
  <si>
    <t>2024RG0425335</t>
  </si>
  <si>
    <t>09040114</t>
  </si>
  <si>
    <t>力衡字第20240425011号</t>
  </si>
  <si>
    <t>21090202</t>
  </si>
  <si>
    <t>力衡字第20240425012号</t>
  </si>
  <si>
    <t>B18093155</t>
  </si>
  <si>
    <t>力衡字第20240425007号</t>
  </si>
  <si>
    <t>Y0473076FL</t>
  </si>
  <si>
    <t>一车间-配料</t>
  </si>
  <si>
    <t>力衡字第20240129001号</t>
  </si>
  <si>
    <t>23591011</t>
  </si>
  <si>
    <t>力衡字第20240425001号</t>
  </si>
  <si>
    <t>23590268</t>
  </si>
  <si>
    <t>2024TP0428021</t>
  </si>
  <si>
    <t>B404238032</t>
  </si>
  <si>
    <t>力衡字第20240425008号</t>
  </si>
  <si>
    <t>Y0472986FL</t>
  </si>
  <si>
    <t>二车间-配料</t>
  </si>
  <si>
    <t>2024TP0425002</t>
  </si>
  <si>
    <t>1229530202</t>
  </si>
  <si>
    <t>力衡字第20240425009号</t>
  </si>
  <si>
    <t>536637</t>
  </si>
  <si>
    <t>一车间-仓库</t>
  </si>
  <si>
    <t>2024TP0425011</t>
  </si>
  <si>
    <t>1229070196</t>
  </si>
  <si>
    <t>力衡字第20240425002号</t>
  </si>
  <si>
    <t>Y0304126DL</t>
  </si>
  <si>
    <t>力衡字第20240425004号</t>
  </si>
  <si>
    <t>C304611728</t>
  </si>
  <si>
    <t>三车间-配料</t>
  </si>
  <si>
    <t>力衡字第20240425005号</t>
  </si>
  <si>
    <t>B210764505</t>
  </si>
  <si>
    <t>2024TP0428023</t>
  </si>
  <si>
    <t>19935</t>
  </si>
  <si>
    <t>2024TP0428022</t>
  </si>
  <si>
    <t>6877</t>
  </si>
  <si>
    <t>2024RG011802371</t>
  </si>
  <si>
    <t>温湿度计</t>
  </si>
  <si>
    <t>MC501</t>
  </si>
  <si>
    <t>18474</t>
  </si>
  <si>
    <t>2024RG011802370</t>
  </si>
  <si>
    <t>18789</t>
  </si>
  <si>
    <t>2024HX030900672</t>
  </si>
  <si>
    <t>便携式电导率仪</t>
  </si>
  <si>
    <t>SG3</t>
  </si>
  <si>
    <t>1233355000</t>
  </si>
  <si>
    <t>2024HX030900671</t>
  </si>
  <si>
    <t>原子荧光光度计</t>
  </si>
  <si>
    <t>AFS-9700</t>
  </si>
  <si>
    <t>9700/213415</t>
  </si>
  <si>
    <t>2024HX043800543</t>
  </si>
  <si>
    <t>DR6000</t>
  </si>
  <si>
    <t>1641745</t>
  </si>
  <si>
    <t>2024RG0425333</t>
  </si>
  <si>
    <t>2024DW023101178</t>
  </si>
  <si>
    <t>罐盖内涂膜完整性测定仪</t>
  </si>
  <si>
    <t>DER-3</t>
  </si>
  <si>
    <t>DER20100701</t>
  </si>
  <si>
    <t>电学</t>
  </si>
  <si>
    <t>2024-10-22</t>
  </si>
  <si>
    <t>2025-10-21</t>
  </si>
  <si>
    <t>2024DW023101177</t>
  </si>
  <si>
    <t>内涂膜完整性测定仪</t>
  </si>
  <si>
    <t>DER-4</t>
  </si>
  <si>
    <t>DER20120417HZY</t>
  </si>
  <si>
    <t>2024LX042101115</t>
  </si>
  <si>
    <t>200g</t>
  </si>
  <si>
    <t>I-LX-01</t>
  </si>
  <si>
    <t>2024-10-21</t>
  </si>
  <si>
    <t>2025-10-20</t>
  </si>
  <si>
    <t>2024DW022500590</t>
  </si>
  <si>
    <t>标准电阻器</t>
  </si>
  <si>
    <t>DER-CAL 1K</t>
  </si>
  <si>
    <t>线1-3</t>
  </si>
  <si>
    <t>2024HX043800527</t>
  </si>
  <si>
    <t>便携数显糖度计</t>
  </si>
  <si>
    <t>A81430</t>
  </si>
  <si>
    <t>2024HX043800525</t>
  </si>
  <si>
    <t>Sension7</t>
  </si>
  <si>
    <t>5450060</t>
  </si>
  <si>
    <t>2024HX043800524</t>
  </si>
  <si>
    <t>DDB-303A</t>
  </si>
  <si>
    <t>610320N0021060174</t>
  </si>
  <si>
    <t>2024HX043800521</t>
  </si>
  <si>
    <t>B942448684</t>
  </si>
  <si>
    <t>2024HX043800515</t>
  </si>
  <si>
    <t>实验室pH计</t>
  </si>
  <si>
    <t>FE20</t>
  </si>
  <si>
    <t>B424706829</t>
  </si>
  <si>
    <t>不合格</t>
  </si>
  <si>
    <t>2024HX043800536</t>
  </si>
  <si>
    <t>Kemio</t>
  </si>
  <si>
    <t>10D08220031</t>
  </si>
  <si>
    <t>2024HX043800534</t>
  </si>
  <si>
    <t>Lumiso</t>
  </si>
  <si>
    <t>LU25101220013</t>
  </si>
  <si>
    <t>2024HX043800533</t>
  </si>
  <si>
    <t>04604180033</t>
  </si>
  <si>
    <t>2024RG043500890</t>
  </si>
  <si>
    <t>49150216</t>
  </si>
  <si>
    <t>2024RG043500889</t>
  </si>
  <si>
    <t>49150240</t>
  </si>
  <si>
    <t>2024RG043500888</t>
  </si>
  <si>
    <t>MLS-3750</t>
  </si>
  <si>
    <t>890713</t>
  </si>
  <si>
    <t>2024RG043500887</t>
  </si>
  <si>
    <t>MLS-3780</t>
  </si>
  <si>
    <t>920623</t>
  </si>
  <si>
    <t>2024HX043800544</t>
  </si>
  <si>
    <t>1912497</t>
  </si>
  <si>
    <t>2024HX027200639</t>
  </si>
  <si>
    <t>24E58-015</t>
  </si>
  <si>
    <t>二车间-化验室备用</t>
  </si>
  <si>
    <t>2024RG039505632</t>
  </si>
  <si>
    <t>差压表</t>
  </si>
  <si>
    <t>（-60～60）Pa</t>
  </si>
  <si>
    <t>B15126947</t>
  </si>
  <si>
    <t>2024HX045600466</t>
  </si>
  <si>
    <t>便携式色度仪</t>
  </si>
  <si>
    <t>XZ-BS</t>
  </si>
  <si>
    <t>230814091097</t>
  </si>
  <si>
    <t>2024LX042101204</t>
  </si>
  <si>
    <t>1227200564</t>
  </si>
  <si>
    <t>2024LX042101203</t>
  </si>
  <si>
    <t>1227130663</t>
  </si>
  <si>
    <t>2024CD033901503</t>
  </si>
  <si>
    <t>卷封投影仪校准块</t>
  </si>
  <si>
    <t>1.999mm</t>
  </si>
  <si>
    <t>3#</t>
  </si>
  <si>
    <t>2024HX049602482</t>
  </si>
  <si>
    <t>7757</t>
  </si>
  <si>
    <t>2024LX048601238</t>
  </si>
  <si>
    <t>III-LX-01</t>
  </si>
  <si>
    <t>2024-10-30</t>
  </si>
  <si>
    <t>2025-10-29</t>
  </si>
  <si>
    <t>2024LX042101483</t>
  </si>
  <si>
    <t>PBK989APW-B60</t>
  </si>
  <si>
    <t>C434638513</t>
  </si>
  <si>
    <t>2024-12-02</t>
  </si>
  <si>
    <t>2025-12-01</t>
  </si>
  <si>
    <t>2024LX042101482</t>
  </si>
  <si>
    <t>PBK989APW-A6</t>
  </si>
  <si>
    <t>C434638508</t>
  </si>
  <si>
    <t>2024LX042101481</t>
  </si>
  <si>
    <t>C434638509</t>
  </si>
  <si>
    <t>2024LX042101480</t>
  </si>
  <si>
    <t>C434638510</t>
  </si>
  <si>
    <t>2024LX042101479</t>
  </si>
  <si>
    <t>C434638511</t>
  </si>
  <si>
    <t>2024YD039601818</t>
  </si>
  <si>
    <t>X-γ辐射个人报警仪</t>
  </si>
  <si>
    <t>JB4020</t>
  </si>
  <si>
    <t>120820D</t>
  </si>
  <si>
    <t>2024-12-05</t>
  </si>
  <si>
    <t>2025-12-04</t>
  </si>
  <si>
    <t>二车间-生产备用</t>
  </si>
  <si>
    <t>备用</t>
  </si>
  <si>
    <t>2024YD045100602</t>
  </si>
  <si>
    <t>JB4020型</t>
  </si>
  <si>
    <t>114386D</t>
  </si>
  <si>
    <t>2024YD039601821</t>
  </si>
  <si>
    <t>114387D</t>
  </si>
  <si>
    <t>2024YD039601820</t>
  </si>
  <si>
    <t>114385D</t>
  </si>
  <si>
    <t>2024YD039601819</t>
  </si>
  <si>
    <t>114338D</t>
  </si>
  <si>
    <t>2024RG011802733</t>
  </si>
  <si>
    <t>QCII231002</t>
  </si>
  <si>
    <t>2024-12-06</t>
  </si>
  <si>
    <t>2025-12-05</t>
  </si>
  <si>
    <t>2024RG011802732</t>
  </si>
  <si>
    <t>QCII231001</t>
  </si>
  <si>
    <t>2024CD052001439</t>
  </si>
  <si>
    <t>校准环规</t>
  </si>
  <si>
    <t>D=65mm/H=6mm</t>
  </si>
  <si>
    <t>EMS-CAL65</t>
  </si>
  <si>
    <t>2024-12-12</t>
  </si>
  <si>
    <t>2025-12-11</t>
  </si>
  <si>
    <t>2024RG011802747</t>
  </si>
  <si>
    <t>温湿度记录仪</t>
  </si>
  <si>
    <t>GS1-A</t>
  </si>
  <si>
    <t>X68GBA7GS1A</t>
  </si>
  <si>
    <t>2024RG011802734</t>
  </si>
  <si>
    <t>QCII231003</t>
  </si>
  <si>
    <t>2024CD052001405</t>
  </si>
  <si>
    <t>2.00mm</t>
  </si>
  <si>
    <t>VSMCAL 232</t>
  </si>
  <si>
    <t>2024-12-04</t>
  </si>
  <si>
    <t>2025-12-03</t>
  </si>
  <si>
    <t>2024LX042101484</t>
  </si>
  <si>
    <t>C434638512</t>
  </si>
  <si>
    <t>2025RG039500608</t>
  </si>
  <si>
    <t>压差表</t>
  </si>
  <si>
    <t>（-30～30）Pa</t>
  </si>
  <si>
    <t>2401MC9354</t>
  </si>
  <si>
    <t>2024RG040400539</t>
  </si>
  <si>
    <t>49116258WS</t>
  </si>
  <si>
    <t>2024RG040400538</t>
  </si>
  <si>
    <t>45720259WS</t>
  </si>
  <si>
    <t>2025HX043000074</t>
  </si>
  <si>
    <t>20C38178</t>
  </si>
  <si>
    <t>2025-02-10</t>
  </si>
  <si>
    <t>2026-02-09</t>
  </si>
  <si>
    <t>2024HX043001298</t>
  </si>
  <si>
    <t>19G91520</t>
  </si>
  <si>
    <t>2025RG039500598</t>
  </si>
  <si>
    <t>(﹣60～60)Pa</t>
  </si>
  <si>
    <t>B17010088</t>
  </si>
  <si>
    <t>2025RG039500607</t>
  </si>
  <si>
    <t>2401MC9490</t>
  </si>
  <si>
    <t>2025HX045600168</t>
  </si>
  <si>
    <t xml:space="preserve"> 多分度量瓶  </t>
  </si>
  <si>
    <t>5090</t>
  </si>
  <si>
    <t>2025-02-07</t>
  </si>
  <si>
    <t>2026-02-06</t>
  </si>
  <si>
    <t>2024RG040400534</t>
  </si>
  <si>
    <t>45540848WS</t>
  </si>
  <si>
    <t>2025YD045100043</t>
  </si>
  <si>
    <t>YFRL25A11415</t>
  </si>
  <si>
    <t>2024LX029700570</t>
  </si>
  <si>
    <t>数字式推拉力计</t>
  </si>
  <si>
    <t>WDF-50</t>
  </si>
  <si>
    <t>SD13129204</t>
  </si>
  <si>
    <t>2025YD045100042</t>
  </si>
  <si>
    <t>YFRL25A11414</t>
  </si>
  <si>
    <t>2024RG040400537</t>
  </si>
  <si>
    <t>49043010WS</t>
  </si>
  <si>
    <t>2025RG029800221</t>
  </si>
  <si>
    <t>0239</t>
  </si>
  <si>
    <t>2025-02-08</t>
  </si>
  <si>
    <t>2026-02-07</t>
  </si>
  <si>
    <t>2024RG040400536</t>
  </si>
  <si>
    <t>56181284WS</t>
  </si>
  <si>
    <t>2025RG029800220</t>
  </si>
  <si>
    <t>0238</t>
  </si>
  <si>
    <t>2024RG040400535</t>
  </si>
  <si>
    <t>57371213WS</t>
  </si>
  <si>
    <t>2025RG039500595</t>
  </si>
  <si>
    <t>HJ2010C0990</t>
  </si>
  <si>
    <t>2024RG011802361</t>
  </si>
  <si>
    <t>16766</t>
  </si>
  <si>
    <t>2025RG039500597</t>
  </si>
  <si>
    <t>HJ2010D2014</t>
  </si>
  <si>
    <t>2025RG039500596</t>
  </si>
  <si>
    <t>HJ2010C0987</t>
  </si>
  <si>
    <t>2025RG039500605</t>
  </si>
  <si>
    <t>B22090140</t>
  </si>
  <si>
    <t>2025RG039500604</t>
  </si>
  <si>
    <t>HJ2010C0984</t>
  </si>
  <si>
    <t>2025RG039500603</t>
  </si>
  <si>
    <t>B22090299</t>
  </si>
  <si>
    <t>2024RG011802360</t>
  </si>
  <si>
    <t>18791</t>
  </si>
  <si>
    <t>2024RG011802359</t>
  </si>
  <si>
    <t>16776</t>
  </si>
  <si>
    <t>2024RG011802358</t>
  </si>
  <si>
    <t>17964</t>
  </si>
  <si>
    <t>2024RG011802366</t>
  </si>
  <si>
    <t>17968</t>
  </si>
  <si>
    <t>2024RG011802365</t>
  </si>
  <si>
    <t>18472</t>
  </si>
  <si>
    <t>2024RG011802364</t>
  </si>
  <si>
    <t>18471</t>
  </si>
  <si>
    <t>2024RG011802363</t>
  </si>
  <si>
    <t>18796</t>
  </si>
  <si>
    <t>2024RG011802362</t>
  </si>
  <si>
    <t>17961</t>
  </si>
  <si>
    <t>2024RG011802369</t>
  </si>
  <si>
    <t>18795</t>
  </si>
  <si>
    <t>2025RG039500601</t>
  </si>
  <si>
    <t>B22090141</t>
  </si>
  <si>
    <t>2024RG011802368</t>
  </si>
  <si>
    <t>18790</t>
  </si>
  <si>
    <t>2025RG039500599</t>
  </si>
  <si>
    <t>B15126948</t>
  </si>
  <si>
    <t>2024RG011802367</t>
  </si>
  <si>
    <t>17846</t>
  </si>
  <si>
    <t>2025HX045600186</t>
  </si>
  <si>
    <t>8776</t>
  </si>
  <si>
    <t>2025DW022500065</t>
  </si>
  <si>
    <t>电阻</t>
  </si>
  <si>
    <t>2025RG039500600</t>
  </si>
  <si>
    <t>HJ2010D2031</t>
  </si>
  <si>
    <t>2025RG039500602</t>
  </si>
  <si>
    <t>HJ2010D2018</t>
  </si>
  <si>
    <t>2025LX029700345</t>
  </si>
  <si>
    <t>411129126</t>
  </si>
  <si>
    <t>2025-03-12</t>
  </si>
  <si>
    <t>2026-03-11</t>
  </si>
  <si>
    <t>2025HX014400170</t>
  </si>
  <si>
    <t>糖度计</t>
  </si>
  <si>
    <t>PR-101a</t>
  </si>
  <si>
    <t>AA14389</t>
  </si>
  <si>
    <t>2025-03-11</t>
  </si>
  <si>
    <t>2026-03-10</t>
  </si>
  <si>
    <t>一车间-化验室备用</t>
  </si>
  <si>
    <t>2025HX014400169</t>
  </si>
  <si>
    <t>电导率仪</t>
  </si>
  <si>
    <t>1233355146</t>
  </si>
  <si>
    <t>2025CD033902369</t>
  </si>
  <si>
    <t>VSM-CAL</t>
  </si>
  <si>
    <t>VSMCAL18032</t>
  </si>
  <si>
    <t>2025RG040400089</t>
  </si>
  <si>
    <t>MT4MAX</t>
  </si>
  <si>
    <t>57371217WS</t>
  </si>
  <si>
    <t>2025-03-04</t>
  </si>
  <si>
    <t>2026-03-03</t>
  </si>
  <si>
    <t>2025RG031800377</t>
  </si>
  <si>
    <t>温度变送器</t>
  </si>
  <si>
    <t>SBWZ-2480-258</t>
  </si>
  <si>
    <t>5402</t>
  </si>
  <si>
    <t>2025-03-17</t>
  </si>
  <si>
    <t>2026-03-16</t>
  </si>
  <si>
    <t>2025RG031800376</t>
  </si>
  <si>
    <t>5401</t>
  </si>
  <si>
    <t>2025RG031800375</t>
  </si>
  <si>
    <t>5403</t>
  </si>
  <si>
    <t>2025RG011800439</t>
  </si>
  <si>
    <t>/</t>
  </si>
  <si>
    <t>230411RG05</t>
  </si>
  <si>
    <t>2025RG040400088</t>
  </si>
  <si>
    <t>57371210WS</t>
  </si>
  <si>
    <t>2025CD042000173</t>
  </si>
  <si>
    <t>校验棒</t>
  </si>
  <si>
    <t>132.924mm</t>
  </si>
  <si>
    <t>2025-02-27</t>
  </si>
  <si>
    <t>2026-02-26</t>
  </si>
  <si>
    <t>2025HX032300188</t>
  </si>
  <si>
    <t>烟气分析仪</t>
  </si>
  <si>
    <t>testo 310</t>
  </si>
  <si>
    <t>42844447</t>
  </si>
  <si>
    <t>2025-02-19</t>
  </si>
  <si>
    <t>2026-02-18</t>
  </si>
  <si>
    <t>锅炉</t>
  </si>
  <si>
    <t>2025YD045100046</t>
  </si>
  <si>
    <t>个人辐射报警仪</t>
  </si>
  <si>
    <t>YF20240321-09</t>
  </si>
  <si>
    <t>2025-02-17</t>
  </si>
  <si>
    <t>2026-02-16</t>
  </si>
  <si>
    <t>2025HX045600187</t>
  </si>
  <si>
    <t xml:space="preserve">多分度量瓶 </t>
  </si>
  <si>
    <t>3340</t>
  </si>
  <si>
    <t>2025RG011800437</t>
  </si>
  <si>
    <t>VC231A</t>
  </si>
  <si>
    <t>092876720</t>
  </si>
  <si>
    <t>2025RG011800436</t>
  </si>
  <si>
    <t>VC230A</t>
  </si>
  <si>
    <t>094148027</t>
  </si>
  <si>
    <t>2025RG011800435</t>
  </si>
  <si>
    <t>095338831</t>
  </si>
  <si>
    <t>2025LL046002631</t>
  </si>
  <si>
    <t>浮游菌采样仪</t>
  </si>
  <si>
    <t>AirPort MD8</t>
  </si>
  <si>
    <t>16757</t>
  </si>
  <si>
    <t>2025LL046002621</t>
  </si>
  <si>
    <t>热式风速仪</t>
  </si>
  <si>
    <t>TES 1341N</t>
  </si>
  <si>
    <t>241002443</t>
  </si>
  <si>
    <t>2025CD033902478</t>
  </si>
  <si>
    <t>校准棒</t>
  </si>
  <si>
    <t>91.486mm</t>
  </si>
  <si>
    <t>2025CD033902477</t>
  </si>
  <si>
    <t>91.38mm</t>
  </si>
  <si>
    <t>2025LX042100471</t>
  </si>
  <si>
    <t>500g、500g、500g、500g</t>
  </si>
  <si>
    <t>DD-Ⅱ-01、DD-Ⅱ-02、DD-Ⅱ-04、DD-Ⅱ-05</t>
  </si>
  <si>
    <t>2025-03-20</t>
  </si>
  <si>
    <t>2026-03-19</t>
  </si>
  <si>
    <t>二车间：DD-Ⅱ-1、DD-Ⅱ-2作备用
三车间：DD-Ⅱ-5
一车间：DD-Ⅱ-4</t>
  </si>
  <si>
    <t>2025HX045600531</t>
  </si>
  <si>
    <t xml:space="preserve"> 多分度量瓶 </t>
  </si>
  <si>
    <t>8936</t>
  </si>
  <si>
    <t>2025-03-24</t>
  </si>
  <si>
    <t>2026-03-23</t>
  </si>
  <si>
    <t>2025HX045600530</t>
  </si>
  <si>
    <t>8940</t>
  </si>
  <si>
    <t>2025HX045600529</t>
  </si>
  <si>
    <t xml:space="preserve"> 多分度量瓶</t>
  </si>
  <si>
    <t>6849</t>
  </si>
  <si>
    <t>2025RG035900836</t>
  </si>
  <si>
    <t>2405MC7264</t>
  </si>
  <si>
    <t>2025HX045600169</t>
  </si>
  <si>
    <t xml:space="preserve">单标线容量瓶  </t>
  </si>
  <si>
    <t>50mL</t>
  </si>
  <si>
    <t>见内页</t>
  </si>
  <si>
    <t>2028-02-06</t>
  </si>
  <si>
    <t>36</t>
  </si>
  <si>
    <t>编号：8863~8772</t>
  </si>
  <si>
    <t>2024HX049600736</t>
  </si>
  <si>
    <t>单标线容量瓶</t>
  </si>
  <si>
    <t>20mL</t>
  </si>
  <si>
    <t>3246</t>
  </si>
  <si>
    <t>2024-04-03</t>
  </si>
  <si>
    <t>2027-04-02</t>
  </si>
  <si>
    <t>2024HX049600471</t>
  </si>
  <si>
    <t>-</t>
  </si>
  <si>
    <t>2024-03-07</t>
  </si>
  <si>
    <t>2027-03-06</t>
  </si>
  <si>
    <t>2023HX049601917</t>
  </si>
  <si>
    <t>2023-11-27</t>
  </si>
  <si>
    <t>2026-11-26</t>
  </si>
  <si>
    <t>2023HX049601617</t>
  </si>
  <si>
    <t>25mL</t>
  </si>
  <si>
    <t>P2501</t>
  </si>
  <si>
    <t>2023-10-17</t>
  </si>
  <si>
    <t>2026-10-16</t>
  </si>
  <si>
    <t>2023HX049601616</t>
  </si>
  <si>
    <t>3250</t>
  </si>
  <si>
    <t>2023HX049601918</t>
  </si>
  <si>
    <t>分度吸量管</t>
  </si>
  <si>
    <t>1mL</t>
  </si>
  <si>
    <t>3198</t>
  </si>
  <si>
    <t>2023HX030900764</t>
  </si>
  <si>
    <t>高效液相色谱仪</t>
  </si>
  <si>
    <t>1260 Infinity</t>
  </si>
  <si>
    <t>DEAB810011</t>
  </si>
  <si>
    <t>2023-11-01</t>
  </si>
  <si>
    <t>2025-10-31</t>
  </si>
  <si>
    <t>24</t>
  </si>
  <si>
    <t>2023HX049601615</t>
  </si>
  <si>
    <t>10mL</t>
  </si>
  <si>
    <t>3241</t>
  </si>
  <si>
    <t>2023HX049601614</t>
  </si>
  <si>
    <t>5091</t>
  </si>
  <si>
    <t>2023HX030900766</t>
  </si>
  <si>
    <t>气相色谱仪</t>
  </si>
  <si>
    <t>7890A</t>
  </si>
  <si>
    <t>CN13171053</t>
  </si>
  <si>
    <t>2024PH042506</t>
  </si>
  <si>
    <t>SEVENCOMPACT</t>
  </si>
  <si>
    <t>B42162171</t>
  </si>
  <si>
    <t>2024RG0425331</t>
  </si>
  <si>
    <t>05-89579</t>
  </si>
  <si>
    <t>长字第2024BFB1022002号</t>
  </si>
  <si>
    <t>数显百分表</t>
  </si>
  <si>
    <t>（0~10）mm</t>
  </si>
  <si>
    <t>11072419</t>
  </si>
  <si>
    <t>长字第2024BFB1022001号</t>
  </si>
  <si>
    <t>11239205</t>
  </si>
  <si>
    <t>长字第2024BFB1017001号</t>
  </si>
  <si>
    <t>11144805</t>
  </si>
  <si>
    <t>长字第2024KC1022001号</t>
  </si>
  <si>
    <t>（0~150）mm</t>
  </si>
  <si>
    <t>8226971</t>
  </si>
  <si>
    <t>长字第2024QFC0415001号</t>
  </si>
  <si>
    <t>千分尺</t>
  </si>
  <si>
    <t>（0~25）mm</t>
  </si>
  <si>
    <t>4705044</t>
  </si>
  <si>
    <t>化学第2024BJQ0802006号</t>
  </si>
  <si>
    <t>可燃气体报警器</t>
  </si>
  <si>
    <t>HST-11</t>
  </si>
  <si>
    <t>202210184</t>
  </si>
  <si>
    <t>锅炉2#</t>
  </si>
  <si>
    <t>RB-TTY</t>
  </si>
  <si>
    <t>160813910</t>
  </si>
  <si>
    <t>锅炉4#</t>
  </si>
  <si>
    <t>化学第2024BJQ0802004号</t>
  </si>
  <si>
    <t>202403452</t>
  </si>
  <si>
    <t>化学第2024BJQ0802010号</t>
  </si>
  <si>
    <t>GTY-EV21S</t>
  </si>
  <si>
    <t>T41S2303373</t>
  </si>
  <si>
    <t>食堂1#</t>
  </si>
  <si>
    <t>202106085</t>
  </si>
  <si>
    <t>锅炉3#</t>
  </si>
  <si>
    <t>化学第2024BJQ0802009号</t>
  </si>
  <si>
    <t>T41S2303495</t>
  </si>
  <si>
    <t>食堂2#</t>
  </si>
  <si>
    <t>化学第2024BJQ0802003号</t>
  </si>
  <si>
    <t>202403453</t>
  </si>
  <si>
    <t>202210185</t>
  </si>
  <si>
    <t>2024-8-2</t>
  </si>
  <si>
    <t>锅炉1#</t>
  </si>
  <si>
    <t>力质字第2024FM0607001号</t>
  </si>
  <si>
    <t>M1</t>
  </si>
  <si>
    <t>待补充</t>
  </si>
  <si>
    <t>（20～200）μL</t>
  </si>
  <si>
    <t>19E63643</t>
  </si>
  <si>
    <t>2025-4-11</t>
  </si>
  <si>
    <t>2026-4-10</t>
  </si>
  <si>
    <t>（1～10）mL</t>
  </si>
  <si>
    <t>21M93622</t>
  </si>
  <si>
    <t>2024DW022500535</t>
  </si>
  <si>
    <t>2024-08-25</t>
  </si>
  <si>
    <t>2025-8-24</t>
  </si>
  <si>
    <t>2025-8-25</t>
  </si>
  <si>
    <t>2025YD045000149</t>
  </si>
  <si>
    <t>YF20240321-11</t>
  </si>
  <si>
    <t>2025-4-7</t>
  </si>
  <si>
    <t>2026-4-6</t>
  </si>
  <si>
    <t>2025YD045000148</t>
  </si>
  <si>
    <t>YF20240321-10</t>
  </si>
  <si>
    <t>温度计</t>
  </si>
  <si>
    <t>0~100℃</t>
  </si>
  <si>
    <t>2502-QC</t>
  </si>
  <si>
    <t>2025-03-27</t>
  </si>
  <si>
    <t>2026-03-26</t>
  </si>
  <si>
    <t>2501-QC</t>
  </si>
  <si>
    <t>0~50℃</t>
  </si>
  <si>
    <t>1938</t>
  </si>
  <si>
    <t>1902</t>
  </si>
  <si>
    <t>热工字2025RG0327011号</t>
  </si>
  <si>
    <t>数字式温湿度计</t>
  </si>
  <si>
    <t>16775</t>
  </si>
  <si>
    <t>热工字2025RG0327004号</t>
  </si>
  <si>
    <t>VICTOR230</t>
  </si>
  <si>
    <t>100392970</t>
  </si>
  <si>
    <t>备件库</t>
  </si>
  <si>
    <t>热工字2025RG0327006号</t>
  </si>
  <si>
    <t>100392874</t>
  </si>
  <si>
    <t>热工字2025RG0327007号</t>
  </si>
  <si>
    <t>100392932</t>
  </si>
  <si>
    <t>2053</t>
  </si>
  <si>
    <t>热工字2025RG0327010号</t>
  </si>
  <si>
    <t>QC-III-01</t>
  </si>
  <si>
    <t>热工字2025RG0327012号</t>
  </si>
  <si>
    <t>16780</t>
  </si>
  <si>
    <t>热工字2025RG0327008号</t>
  </si>
  <si>
    <t>100392684</t>
  </si>
  <si>
    <t>热工字2025RG0327009号</t>
  </si>
  <si>
    <t>100392668</t>
  </si>
  <si>
    <t>热工字2025RG0327005号</t>
  </si>
  <si>
    <t>100392944</t>
  </si>
  <si>
    <t>2025SZ024900296</t>
  </si>
  <si>
    <t>声级计</t>
  </si>
  <si>
    <t>AWA5636</t>
  </si>
  <si>
    <t>922174</t>
  </si>
  <si>
    <t>2025/4/1</t>
  </si>
  <si>
    <t>2026/3/31</t>
  </si>
  <si>
    <t>24SL824009128-001</t>
  </si>
  <si>
    <t>气体罗茨(瓷)流量计</t>
  </si>
  <si>
    <t>LLQZ-50AZ</t>
  </si>
  <si>
    <t>121202008330</t>
  </si>
  <si>
    <t>2024-5-8</t>
  </si>
  <si>
    <t>2027-5-7</t>
  </si>
  <si>
    <t>武汉市计量测试检定所</t>
  </si>
  <si>
    <t>食堂</t>
  </si>
  <si>
    <t>23SL823051916-001</t>
  </si>
  <si>
    <t>气体涡轮流量计</t>
  </si>
  <si>
    <t>LWQZ-80Z-G160+EVC300</t>
  </si>
  <si>
    <t>210701002145</t>
  </si>
  <si>
    <t>2023-9-11</t>
  </si>
  <si>
    <t>2025-9-10</t>
  </si>
  <si>
    <t>送检中</t>
  </si>
  <si>
    <t>23SL823040646-001</t>
  </si>
  <si>
    <t>气体罗茨流量计</t>
  </si>
  <si>
    <t>16M175FCM-IC</t>
  </si>
  <si>
    <t>110312001</t>
  </si>
  <si>
    <t>2023-3-23</t>
  </si>
  <si>
    <t>2026-3-22</t>
  </si>
  <si>
    <t>2022LL039900395</t>
  </si>
  <si>
    <t>LLQ-100Z-G520+EVC300</t>
  </si>
  <si>
    <t>2204020711</t>
  </si>
  <si>
    <t>23SL823037636-001</t>
  </si>
  <si>
    <t>60412229</t>
  </si>
  <si>
    <t>2023-4-26</t>
  </si>
  <si>
    <t>2026-4-25</t>
  </si>
  <si>
    <t>4月24日在线检校清单</t>
  </si>
  <si>
    <t>投影仪校准块</t>
  </si>
  <si>
    <t>VSMCAL 21061</t>
  </si>
  <si>
    <t>数显温度计</t>
  </si>
  <si>
    <t>T-115</t>
  </si>
  <si>
    <t>0073</t>
  </si>
  <si>
    <t>压差计</t>
  </si>
  <si>
    <t>A2/Z-120Pa（-60～60）Pa</t>
  </si>
  <si>
    <t>B11125248</t>
  </si>
  <si>
    <t>0094</t>
  </si>
  <si>
    <t>膜盒压力表</t>
  </si>
  <si>
    <t>(-50～50)kPa</t>
  </si>
  <si>
    <t>D250220041</t>
  </si>
  <si>
    <t>5085</t>
  </si>
  <si>
    <t>20362</t>
  </si>
  <si>
    <t>17847</t>
  </si>
  <si>
    <t>0074</t>
  </si>
  <si>
    <t>B15123359</t>
  </si>
  <si>
    <t>47920018WS</t>
  </si>
  <si>
    <t>(100~1000)μL</t>
  </si>
  <si>
    <t>22K75433</t>
  </si>
  <si>
    <t>（-50～50）kPa</t>
  </si>
  <si>
    <t>D240821095</t>
  </si>
  <si>
    <t xml:space="preserve"> 定量灌装机</t>
  </si>
  <si>
    <t>20365</t>
  </si>
  <si>
    <t>S3</t>
  </si>
  <si>
    <t>C226335321</t>
  </si>
  <si>
    <t>HJ2010C0966</t>
  </si>
  <si>
    <t>testo 110</t>
  </si>
  <si>
    <t>33939855/104</t>
  </si>
  <si>
    <t>S3（Seven2Go）</t>
  </si>
  <si>
    <t>C428393467</t>
  </si>
  <si>
    <t>2325941</t>
  </si>
  <si>
    <t>E230200501</t>
  </si>
  <si>
    <t>溶解氧测定仪</t>
  </si>
  <si>
    <t>PMI800-FDO</t>
  </si>
  <si>
    <t>SY392304077016</t>
  </si>
  <si>
    <t>电接点压力表</t>
  </si>
  <si>
    <t>（0～2.5）MPa</t>
  </si>
  <si>
    <t>HC71620314067</t>
  </si>
  <si>
    <t>HC71620314079</t>
  </si>
  <si>
    <t>高精度色度仪</t>
  </si>
  <si>
    <t>GXS-3A</t>
  </si>
  <si>
    <t>230928091406</t>
  </si>
  <si>
    <t>冷水水表</t>
  </si>
  <si>
    <t>LXL-100</t>
  </si>
  <si>
    <t>21112549</t>
  </si>
  <si>
    <t>LXL-200</t>
  </si>
  <si>
    <t>210600248982</t>
  </si>
  <si>
    <t>21112547</t>
  </si>
  <si>
    <t>恒温加热台</t>
  </si>
  <si>
    <t>HPA-5040</t>
  </si>
  <si>
    <t>QA023</t>
  </si>
  <si>
    <t>液相色谱仪</t>
  </si>
  <si>
    <t>095338630</t>
  </si>
  <si>
    <t>095338626</t>
  </si>
  <si>
    <t>095338623</t>
  </si>
  <si>
    <t>095338611</t>
  </si>
  <si>
    <t>094148421</t>
  </si>
  <si>
    <t>温湿度仪</t>
  </si>
  <si>
    <t>YB870YBGSIA</t>
  </si>
  <si>
    <t>四线灌装</t>
  </si>
  <si>
    <t>FD803RVGSIA</t>
  </si>
  <si>
    <t>三线灌装</t>
  </si>
  <si>
    <t>095338839</t>
  </si>
  <si>
    <t>095338835</t>
  </si>
  <si>
    <t>095338832</t>
  </si>
  <si>
    <t>QQYCREIGSIA</t>
  </si>
  <si>
    <t>20001</t>
  </si>
  <si>
    <t>20000</t>
  </si>
  <si>
    <t>1mg</t>
  </si>
  <si>
    <t>149462</t>
  </si>
  <si>
    <t>20mg</t>
  </si>
  <si>
    <t>149453</t>
  </si>
  <si>
    <t>S75Q81MGSIA</t>
  </si>
  <si>
    <t>D230200500</t>
  </si>
  <si>
    <t>TNC6X2SGSIA</t>
  </si>
  <si>
    <t>HQ96D62GSIA</t>
  </si>
  <si>
    <t>GSP4980GSIA</t>
  </si>
  <si>
    <t>SDG217OGSIA</t>
  </si>
  <si>
    <t>其他-车间</t>
  </si>
  <si>
    <t>24585941</t>
  </si>
  <si>
    <t>二车间-仓库</t>
  </si>
  <si>
    <r>
      <rPr>
        <sz val="9"/>
        <color theme="1"/>
        <rFont val="等线"/>
        <charset val="134"/>
        <scheme val="minor"/>
      </rPr>
      <t>三车间-生产区域</t>
    </r>
    <r>
      <rPr>
        <sz val="9"/>
        <color theme="1"/>
        <rFont val="等线"/>
        <charset val="134"/>
        <scheme val="minor"/>
      </rPr>
      <t>-五线打码</t>
    </r>
  </si>
  <si>
    <r>
      <rPr>
        <sz val="9"/>
        <color theme="1"/>
        <rFont val="等线"/>
        <charset val="134"/>
        <scheme val="minor"/>
      </rPr>
      <t>二车间-生产区域</t>
    </r>
    <r>
      <rPr>
        <sz val="9"/>
        <color theme="1"/>
        <rFont val="等线"/>
        <charset val="134"/>
        <scheme val="minor"/>
      </rPr>
      <t>-三线打码</t>
    </r>
  </si>
  <si>
    <r>
      <rPr>
        <sz val="9"/>
        <color theme="1"/>
        <rFont val="等线"/>
        <charset val="134"/>
        <scheme val="minor"/>
      </rPr>
      <t>二车间-生产区域</t>
    </r>
    <r>
      <rPr>
        <sz val="9"/>
        <color theme="1"/>
        <rFont val="等线"/>
        <charset val="134"/>
        <scheme val="minor"/>
      </rPr>
      <t>-四线打码</t>
    </r>
  </si>
  <si>
    <t>复合式气体检测报警器</t>
  </si>
  <si>
    <t>M40 Pro</t>
  </si>
  <si>
    <t>22050KJ-018</t>
  </si>
  <si>
    <t>可燃气体检测报警器</t>
  </si>
  <si>
    <t>GT series</t>
  </si>
  <si>
    <t>623446</t>
  </si>
  <si>
    <r>
      <rPr>
        <sz val="9"/>
        <color theme="1"/>
        <rFont val="等线"/>
        <charset val="134"/>
        <scheme val="minor"/>
      </rPr>
      <t>三车间-生产区域</t>
    </r>
    <r>
      <rPr>
        <sz val="9"/>
        <color theme="1"/>
        <rFont val="等线"/>
        <charset val="134"/>
        <scheme val="minor"/>
      </rPr>
      <t>-六线灌装</t>
    </r>
  </si>
  <si>
    <t>AA03212</t>
  </si>
  <si>
    <t>49042491WS</t>
  </si>
  <si>
    <t>6856</t>
  </si>
  <si>
    <t>3408</t>
  </si>
  <si>
    <t xml:space="preserve">多分度量瓶  </t>
  </si>
  <si>
    <t>6851</t>
  </si>
  <si>
    <t>6850</t>
  </si>
  <si>
    <t>6853</t>
  </si>
  <si>
    <t>6855</t>
  </si>
  <si>
    <t>6852</t>
  </si>
  <si>
    <t>20212</t>
  </si>
  <si>
    <t>095338619</t>
  </si>
  <si>
    <t>095338631</t>
  </si>
  <si>
    <t>6854</t>
  </si>
  <si>
    <t>SC05</t>
  </si>
  <si>
    <t>车间备用</t>
  </si>
  <si>
    <t>SC01</t>
  </si>
  <si>
    <t>20216</t>
  </si>
  <si>
    <t>20213</t>
  </si>
  <si>
    <t xml:space="preserve">棒式、全浸 </t>
  </si>
  <si>
    <t>4955</t>
  </si>
  <si>
    <t>5553</t>
  </si>
  <si>
    <t>7376</t>
  </si>
  <si>
    <t>4954</t>
  </si>
  <si>
    <t>5050</t>
  </si>
  <si>
    <t>18251</t>
  </si>
  <si>
    <t>17856</t>
  </si>
  <si>
    <t>五线灌装</t>
  </si>
  <si>
    <t>17855</t>
  </si>
  <si>
    <t>17853</t>
  </si>
  <si>
    <t>5438</t>
  </si>
  <si>
    <t>2414</t>
  </si>
  <si>
    <t>2</t>
  </si>
  <si>
    <t>4956</t>
  </si>
  <si>
    <t>5557</t>
  </si>
  <si>
    <t>6237</t>
  </si>
  <si>
    <t>41622021WS</t>
  </si>
  <si>
    <t>一线打码</t>
  </si>
  <si>
    <t>（0～60）Pa</t>
  </si>
  <si>
    <t>0511</t>
  </si>
  <si>
    <t>HJ2010H3204</t>
  </si>
  <si>
    <t>5559</t>
  </si>
  <si>
    <t>33918693/710</t>
  </si>
  <si>
    <t>57371209WS</t>
  </si>
  <si>
    <t>二线打码</t>
  </si>
  <si>
    <t>8283139478702067</t>
  </si>
  <si>
    <t>3065939446253752</t>
  </si>
  <si>
    <t>4961</t>
  </si>
  <si>
    <t>4957</t>
  </si>
  <si>
    <t>0274</t>
  </si>
  <si>
    <t>6989</t>
  </si>
  <si>
    <t>5558</t>
  </si>
  <si>
    <t>3776135365514528</t>
  </si>
  <si>
    <t>6114510179582464</t>
  </si>
  <si>
    <t>0805240084760647</t>
  </si>
  <si>
    <t>D240726326</t>
  </si>
  <si>
    <t>0477323396540833</t>
  </si>
  <si>
    <t>D240726325</t>
  </si>
  <si>
    <t>1741515284245503</t>
  </si>
  <si>
    <t>D230928099</t>
  </si>
  <si>
    <t>D240821102</t>
  </si>
  <si>
    <t>D240726327</t>
  </si>
  <si>
    <t>4391553972304672</t>
  </si>
  <si>
    <t>20337</t>
  </si>
  <si>
    <t>18723</t>
  </si>
  <si>
    <t>17962</t>
  </si>
  <si>
    <t>灌装</t>
  </si>
  <si>
    <t>D240821100</t>
  </si>
  <si>
    <t>0096</t>
  </si>
  <si>
    <t>0097</t>
  </si>
  <si>
    <t>3737</t>
  </si>
  <si>
    <t>TH702C</t>
  </si>
  <si>
    <t>18721</t>
  </si>
  <si>
    <t>18720</t>
  </si>
  <si>
    <t>22D59995</t>
  </si>
  <si>
    <t>22F01795</t>
  </si>
  <si>
    <t>0072</t>
  </si>
  <si>
    <t>E230200500</t>
  </si>
  <si>
    <t>D240821101</t>
  </si>
  <si>
    <t>5087</t>
  </si>
  <si>
    <t>0093</t>
  </si>
  <si>
    <t>0095</t>
  </si>
  <si>
    <t>D240821096</t>
  </si>
  <si>
    <t>D240821091</t>
  </si>
  <si>
    <t>D240821104</t>
  </si>
  <si>
    <t>20364</t>
  </si>
  <si>
    <t>20363</t>
  </si>
  <si>
    <t>0076</t>
  </si>
  <si>
    <t>0075</t>
  </si>
  <si>
    <t>24D73393</t>
  </si>
  <si>
    <t>（20~200）μL</t>
  </si>
  <si>
    <t>24C58537</t>
  </si>
  <si>
    <t>B15123358</t>
  </si>
  <si>
    <t>B15123357</t>
  </si>
  <si>
    <t>B22090159</t>
  </si>
  <si>
    <t>HJ2010H3206</t>
  </si>
  <si>
    <t>B11125195</t>
  </si>
  <si>
    <t>B22090162</t>
  </si>
  <si>
    <t>D04440</t>
  </si>
  <si>
    <t>5083</t>
  </si>
  <si>
    <t>VSMCAL 21041</t>
  </si>
  <si>
    <t>132.95mm</t>
  </si>
  <si>
    <t xml:space="preserve"> 数显密度计 </t>
  </si>
  <si>
    <t>Densito 30PX</t>
  </si>
  <si>
    <t xml:space="preserve">LWE54475 </t>
  </si>
  <si>
    <t>17966</t>
  </si>
  <si>
    <t>B16125439</t>
  </si>
  <si>
    <t>16779</t>
  </si>
  <si>
    <t>编号：8773~8774</t>
  </si>
  <si>
    <t>10kg</t>
  </si>
  <si>
    <t>CL-01、CL-02、CL-03</t>
  </si>
  <si>
    <t>计量器具清单</t>
  </si>
  <si>
    <t>6</t>
  </si>
  <si>
    <t>33957356/402</t>
  </si>
  <si>
    <t>47054044</t>
  </si>
  <si>
    <t>A21144266</t>
  </si>
  <si>
    <t>A21144265</t>
  </si>
  <si>
    <t>3</t>
  </si>
  <si>
    <t>4</t>
  </si>
  <si>
    <t>F2</t>
  </si>
  <si>
    <t>4kg、2kg（127283）、2kg（127282）、500g</t>
  </si>
  <si>
    <t>25kg；</t>
  </si>
  <si>
    <t>环规</t>
  </si>
  <si>
    <t>标准环规</t>
  </si>
  <si>
    <t>2kg、5kg</t>
  </si>
  <si>
    <t>PD-CL-01、PD-CL-02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</si>
</sst>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409]yyyy\-mm\-dd;@"/>
  </numFmts>
  <fonts count="36">
    <font>
      <sz val="10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22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8"/>
      <name val="宋体"/>
      <charset val="134"/>
    </font>
    <font>
      <b/>
      <sz val="10"/>
      <color theme="1"/>
      <name val="等线"/>
      <charset val="134"/>
      <scheme val="minor"/>
    </font>
    <font>
      <sz val="9"/>
      <name val="宋体"/>
      <charset val="134"/>
    </font>
    <font>
      <sz val="9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26"/>
      <color theme="1"/>
      <name val="等线"/>
      <charset val="134"/>
      <scheme val="minor"/>
    </font>
    <font>
      <sz val="26"/>
      <name val="宋体"/>
      <charset val="134"/>
    </font>
    <font>
      <sz val="26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6" borderId="9" applyNumberFormat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 applyFill="1">
      <alignment vertical="center"/>
    </xf>
    <xf numFmtId="0" fontId="0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76" fontId="0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right" vertical="center"/>
    </xf>
    <xf numFmtId="176" fontId="11" fillId="2" borderId="1" xfId="0" applyNumberFormat="1" applyFont="1" applyFill="1" applyBorder="1" applyAlignment="1">
      <alignment horizontal="left" vertical="center"/>
    </xf>
    <xf numFmtId="176" fontId="14" fillId="0" borderId="1" xfId="0" applyNumberFormat="1" applyFont="1" applyBorder="1" applyAlignment="1">
      <alignment horizontal="left" vertical="center"/>
    </xf>
    <xf numFmtId="177" fontId="14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left" vertical="center"/>
    </xf>
    <xf numFmtId="177" fontId="1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01"/>
  <sheetViews>
    <sheetView tabSelected="1" view="pageBreakPreview" zoomScale="25" zoomScaleNormal="85" workbookViewId="0">
      <pane ySplit="3" topLeftCell="A4" activePane="bottomLeft" state="frozen"/>
      <selection/>
      <selection pane="bottomLeft" activeCell="H16" sqref="H16"/>
    </sheetView>
  </sheetViews>
  <sheetFormatPr defaultColWidth="10.2857142857143" defaultRowHeight="12.75"/>
  <cols>
    <col min="1" max="1" width="35.4285714285714" style="3" customWidth="1"/>
    <col min="2" max="2" width="71.0666666666667" style="3" customWidth="1"/>
    <col min="3" max="3" width="7.71428571428571" style="3" customWidth="1"/>
    <col min="4" max="4" width="60.7142857142857" style="3" customWidth="1"/>
    <col min="5" max="6" width="59.647619047619" style="3" customWidth="1"/>
    <col min="7" max="7" width="16" style="3" customWidth="1"/>
    <col min="8" max="8" width="40.3619047619048" style="3" customWidth="1"/>
    <col min="9" max="10" width="40.3619047619048" style="24" customWidth="1"/>
    <col min="11" max="11" width="14.4285714285714" style="3" hidden="1" customWidth="1"/>
    <col min="12" max="12" width="18.9238095238095" style="3" customWidth="1"/>
    <col min="13" max="13" width="16.1428571428571" style="3" customWidth="1"/>
    <col min="14" max="14" width="24.6380952380952" style="3" customWidth="1"/>
    <col min="15" max="15" width="40.7142857142857" style="3" customWidth="1"/>
    <col min="16" max="16" width="59.6380952380952" style="3" customWidth="1"/>
    <col min="17" max="17" width="249.714285714286" style="3" customWidth="1"/>
  </cols>
  <sheetData>
    <row r="1" ht="36" customHeight="1" spans="1:17">
      <c r="A1" s="25" t="s">
        <v>0</v>
      </c>
      <c r="B1" s="25"/>
      <c r="C1" s="25"/>
      <c r="D1" s="25"/>
      <c r="E1" s="25"/>
      <c r="F1" s="25"/>
      <c r="G1" s="25"/>
      <c r="H1" s="25"/>
      <c r="I1" s="31"/>
      <c r="J1" s="31"/>
      <c r="K1" s="25"/>
      <c r="L1" s="25"/>
      <c r="M1" s="25"/>
      <c r="N1" s="25"/>
      <c r="O1" s="25"/>
      <c r="P1" s="25"/>
      <c r="Q1" s="25"/>
    </row>
    <row r="2" ht="28" customHeight="1" spans="1:17">
      <c r="A2" s="26" t="s">
        <v>1</v>
      </c>
      <c r="B2" s="26"/>
      <c r="C2" s="26"/>
      <c r="D2" s="26"/>
      <c r="E2" s="26"/>
      <c r="F2" s="26"/>
      <c r="G2" s="26"/>
      <c r="H2" s="26"/>
      <c r="I2" s="32"/>
      <c r="J2" s="32"/>
      <c r="K2" s="26"/>
      <c r="L2" s="26"/>
      <c r="M2" s="26"/>
      <c r="N2" s="26"/>
      <c r="O2" s="26"/>
      <c r="P2" s="26"/>
      <c r="Q2" s="26"/>
    </row>
    <row r="3" s="22" customFormat="1" ht="45" customHeight="1" spans="1:17">
      <c r="A3" s="27" t="s">
        <v>2</v>
      </c>
      <c r="B3" s="27" t="s">
        <v>3</v>
      </c>
      <c r="C3" s="27" t="s">
        <v>4</v>
      </c>
      <c r="D3" s="27" t="s">
        <v>5</v>
      </c>
      <c r="E3" s="27" t="s">
        <v>6</v>
      </c>
      <c r="F3" s="27" t="s">
        <v>7</v>
      </c>
      <c r="G3" s="27" t="s">
        <v>8</v>
      </c>
      <c r="H3" s="27" t="s">
        <v>9</v>
      </c>
      <c r="I3" s="33" t="s">
        <v>10</v>
      </c>
      <c r="J3" s="33" t="s">
        <v>11</v>
      </c>
      <c r="K3" s="27" t="s">
        <v>12</v>
      </c>
      <c r="L3" s="27" t="s">
        <v>13</v>
      </c>
      <c r="M3" s="27" t="s">
        <v>14</v>
      </c>
      <c r="N3" s="27" t="s">
        <v>15</v>
      </c>
      <c r="O3" s="27" t="s">
        <v>16</v>
      </c>
      <c r="P3" s="27" t="s">
        <v>17</v>
      </c>
      <c r="Q3" s="27" t="s">
        <v>18</v>
      </c>
    </row>
    <row r="4" s="23" customFormat="1" ht="45" customHeight="1" spans="1:17">
      <c r="A4" s="28">
        <f>ROW()-3</f>
        <v>1</v>
      </c>
      <c r="B4" s="29" t="s">
        <v>19</v>
      </c>
      <c r="C4" s="29" t="s">
        <v>20</v>
      </c>
      <c r="D4" s="29" t="s">
        <v>21</v>
      </c>
      <c r="E4" s="29" t="s">
        <v>22</v>
      </c>
      <c r="F4" s="29" t="s">
        <v>23</v>
      </c>
      <c r="G4" s="28" t="s">
        <v>24</v>
      </c>
      <c r="H4" s="29" t="s">
        <v>25</v>
      </c>
      <c r="I4" s="34" t="s">
        <v>26</v>
      </c>
      <c r="J4" s="29" t="s">
        <v>26</v>
      </c>
      <c r="K4" s="28" t="str">
        <f>LEFT(J4,7)</f>
        <v>2026-02</v>
      </c>
      <c r="L4" s="28" t="s">
        <v>27</v>
      </c>
      <c r="M4" s="29" t="s">
        <v>28</v>
      </c>
      <c r="N4" s="28" t="s">
        <v>29</v>
      </c>
      <c r="O4" s="28" t="s">
        <v>30</v>
      </c>
      <c r="P4" s="28" t="s">
        <v>31</v>
      </c>
      <c r="Q4" s="28"/>
    </row>
    <row r="5" s="23" customFormat="1" ht="45" customHeight="1" spans="1:17">
      <c r="A5" s="28">
        <f t="shared" ref="A5:A68" si="0">ROW()-3</f>
        <v>2</v>
      </c>
      <c r="B5" s="29" t="s">
        <v>32</v>
      </c>
      <c r="C5" s="29" t="s">
        <v>20</v>
      </c>
      <c r="D5" s="29" t="s">
        <v>33</v>
      </c>
      <c r="E5" s="29" t="s">
        <v>34</v>
      </c>
      <c r="F5" s="29" t="s">
        <v>35</v>
      </c>
      <c r="G5" s="28" t="s">
        <v>36</v>
      </c>
      <c r="H5" s="29" t="s">
        <v>37</v>
      </c>
      <c r="I5" s="34" t="s">
        <v>38</v>
      </c>
      <c r="J5" s="29" t="s">
        <v>38</v>
      </c>
      <c r="K5" s="28" t="str">
        <f>LEFT(J5,7)</f>
        <v>2026-02</v>
      </c>
      <c r="L5" s="28" t="s">
        <v>27</v>
      </c>
      <c r="M5" s="29" t="s">
        <v>28</v>
      </c>
      <c r="N5" s="28" t="s">
        <v>39</v>
      </c>
      <c r="O5" s="28" t="s">
        <v>30</v>
      </c>
      <c r="P5" s="28" t="s">
        <v>31</v>
      </c>
      <c r="Q5" s="28"/>
    </row>
    <row r="6" s="23" customFormat="1" ht="45" customHeight="1" spans="1:17">
      <c r="A6" s="28">
        <f t="shared" si="0"/>
        <v>3</v>
      </c>
      <c r="B6" s="29" t="s">
        <v>40</v>
      </c>
      <c r="C6" s="29" t="s">
        <v>20</v>
      </c>
      <c r="D6" s="29" t="s">
        <v>41</v>
      </c>
      <c r="E6" s="29" t="s">
        <v>42</v>
      </c>
      <c r="F6" s="29" t="s">
        <v>43</v>
      </c>
      <c r="G6" s="28" t="s">
        <v>44</v>
      </c>
      <c r="H6" s="29" t="s">
        <v>45</v>
      </c>
      <c r="I6" s="34" t="s">
        <v>46</v>
      </c>
      <c r="J6" s="29" t="s">
        <v>46</v>
      </c>
      <c r="K6" s="28" t="str">
        <f>LEFT(J6,7)</f>
        <v>2025-10</v>
      </c>
      <c r="L6" s="28" t="s">
        <v>27</v>
      </c>
      <c r="M6" s="29" t="s">
        <v>28</v>
      </c>
      <c r="N6" s="28" t="s">
        <v>39</v>
      </c>
      <c r="O6" s="28" t="s">
        <v>30</v>
      </c>
      <c r="P6" s="28" t="s">
        <v>31</v>
      </c>
      <c r="Q6" s="28"/>
    </row>
    <row r="7" s="23" customFormat="1" ht="45" customHeight="1" spans="1:17">
      <c r="A7" s="28">
        <f t="shared" si="0"/>
        <v>4</v>
      </c>
      <c r="B7" s="29" t="s">
        <v>47</v>
      </c>
      <c r="C7" s="29" t="s">
        <v>20</v>
      </c>
      <c r="D7" s="29" t="s">
        <v>48</v>
      </c>
      <c r="E7" s="29" t="s">
        <v>49</v>
      </c>
      <c r="F7" s="29" t="s">
        <v>50</v>
      </c>
      <c r="G7" s="28" t="s">
        <v>36</v>
      </c>
      <c r="H7" s="30">
        <v>45771</v>
      </c>
      <c r="I7" s="34">
        <v>46135</v>
      </c>
      <c r="J7" s="34">
        <f>I7</f>
        <v>46135</v>
      </c>
      <c r="K7" s="28" t="str">
        <f>LEFT(J7,7)</f>
        <v>46135</v>
      </c>
      <c r="L7" s="28" t="s">
        <v>27</v>
      </c>
      <c r="M7" s="29" t="s">
        <v>28</v>
      </c>
      <c r="N7" s="28" t="s">
        <v>39</v>
      </c>
      <c r="O7" s="28" t="s">
        <v>51</v>
      </c>
      <c r="P7" s="28" t="s">
        <v>31</v>
      </c>
      <c r="Q7" s="28"/>
    </row>
    <row r="8" s="23" customFormat="1" ht="45" customHeight="1" spans="1:17">
      <c r="A8" s="28">
        <f t="shared" si="0"/>
        <v>5</v>
      </c>
      <c r="B8" s="29" t="s">
        <v>52</v>
      </c>
      <c r="C8" s="29" t="s">
        <v>20</v>
      </c>
      <c r="D8" s="29" t="s">
        <v>53</v>
      </c>
      <c r="E8" s="29" t="s">
        <v>54</v>
      </c>
      <c r="F8" s="29" t="s">
        <v>55</v>
      </c>
      <c r="G8" s="28" t="s">
        <v>36</v>
      </c>
      <c r="H8" s="29" t="s">
        <v>56</v>
      </c>
      <c r="I8" s="34" t="s">
        <v>57</v>
      </c>
      <c r="J8" s="29" t="s">
        <v>57</v>
      </c>
      <c r="K8" s="28" t="str">
        <f>LEFT(J8,7)</f>
        <v>2025-10</v>
      </c>
      <c r="L8" s="28" t="s">
        <v>27</v>
      </c>
      <c r="M8" s="29" t="s">
        <v>28</v>
      </c>
      <c r="N8" s="28" t="s">
        <v>39</v>
      </c>
      <c r="O8" s="28" t="s">
        <v>30</v>
      </c>
      <c r="P8" s="28" t="s">
        <v>31</v>
      </c>
      <c r="Q8" s="28"/>
    </row>
    <row r="9" s="23" customFormat="1" ht="45" customHeight="1" spans="1:17">
      <c r="A9" s="28">
        <f t="shared" si="0"/>
        <v>6</v>
      </c>
      <c r="B9" s="29" t="s">
        <v>58</v>
      </c>
      <c r="C9" s="29" t="s">
        <v>20</v>
      </c>
      <c r="D9" s="29" t="s">
        <v>48</v>
      </c>
      <c r="E9" s="29" t="s">
        <v>59</v>
      </c>
      <c r="F9" s="29" t="s">
        <v>60</v>
      </c>
      <c r="G9" s="28" t="s">
        <v>36</v>
      </c>
      <c r="H9" s="30">
        <v>45771</v>
      </c>
      <c r="I9" s="34">
        <v>46135</v>
      </c>
      <c r="J9" s="34">
        <f>I9</f>
        <v>46135</v>
      </c>
      <c r="K9" s="28" t="str">
        <f>LEFT(J9,7)</f>
        <v>46135</v>
      </c>
      <c r="L9" s="28" t="s">
        <v>27</v>
      </c>
      <c r="M9" s="29" t="s">
        <v>28</v>
      </c>
      <c r="N9" s="28" t="s">
        <v>39</v>
      </c>
      <c r="O9" s="28" t="s">
        <v>51</v>
      </c>
      <c r="P9" s="28" t="s">
        <v>61</v>
      </c>
      <c r="Q9" s="28"/>
    </row>
    <row r="10" s="23" customFormat="1" ht="45" customHeight="1" spans="1:17">
      <c r="A10" s="28">
        <f t="shared" si="0"/>
        <v>7</v>
      </c>
      <c r="B10" s="29" t="s">
        <v>62</v>
      </c>
      <c r="C10" s="29" t="s">
        <v>20</v>
      </c>
      <c r="D10" s="29" t="s">
        <v>63</v>
      </c>
      <c r="E10" s="29" t="s">
        <v>54</v>
      </c>
      <c r="F10" s="29" t="s">
        <v>64</v>
      </c>
      <c r="G10" s="28" t="s">
        <v>36</v>
      </c>
      <c r="H10" s="29" t="s">
        <v>56</v>
      </c>
      <c r="I10" s="34" t="s">
        <v>57</v>
      </c>
      <c r="J10" s="29" t="s">
        <v>57</v>
      </c>
      <c r="K10" s="28" t="str">
        <f>LEFT(J10,7)</f>
        <v>2025-10</v>
      </c>
      <c r="L10" s="28" t="s">
        <v>27</v>
      </c>
      <c r="M10" s="29" t="s">
        <v>28</v>
      </c>
      <c r="N10" s="28" t="s">
        <v>39</v>
      </c>
      <c r="O10" s="28" t="s">
        <v>30</v>
      </c>
      <c r="P10" s="28" t="s">
        <v>61</v>
      </c>
      <c r="Q10" s="28"/>
    </row>
    <row r="11" s="23" customFormat="1" ht="45" customHeight="1" spans="1:17">
      <c r="A11" s="28">
        <f t="shared" si="0"/>
        <v>8</v>
      </c>
      <c r="B11" s="29" t="s">
        <v>65</v>
      </c>
      <c r="C11" s="29" t="s">
        <v>20</v>
      </c>
      <c r="D11" s="29" t="s">
        <v>66</v>
      </c>
      <c r="E11" s="29" t="s">
        <v>67</v>
      </c>
      <c r="F11" s="29" t="s">
        <v>68</v>
      </c>
      <c r="G11" s="28" t="s">
        <v>44</v>
      </c>
      <c r="H11" s="29" t="s">
        <v>69</v>
      </c>
      <c r="I11" s="34" t="s">
        <v>70</v>
      </c>
      <c r="J11" s="29" t="s">
        <v>70</v>
      </c>
      <c r="K11" s="28" t="str">
        <f>LEFT(J11,7)</f>
        <v>2026-01</v>
      </c>
      <c r="L11" s="28" t="s">
        <v>27</v>
      </c>
      <c r="M11" s="29" t="s">
        <v>28</v>
      </c>
      <c r="N11" s="28" t="s">
        <v>29</v>
      </c>
      <c r="O11" s="28" t="s">
        <v>30</v>
      </c>
      <c r="P11" s="28" t="s">
        <v>71</v>
      </c>
      <c r="Q11" s="29" t="s">
        <v>72</v>
      </c>
    </row>
    <row r="12" s="23" customFormat="1" ht="45" customHeight="1" spans="1:17">
      <c r="A12" s="28">
        <f t="shared" si="0"/>
        <v>9</v>
      </c>
      <c r="B12" s="29" t="s">
        <v>73</v>
      </c>
      <c r="C12" s="29" t="s">
        <v>20</v>
      </c>
      <c r="D12" s="29" t="s">
        <v>74</v>
      </c>
      <c r="E12" s="29" t="s">
        <v>75</v>
      </c>
      <c r="F12" s="29" t="s">
        <v>76</v>
      </c>
      <c r="G12" s="28" t="s">
        <v>77</v>
      </c>
      <c r="H12" s="30">
        <v>45771</v>
      </c>
      <c r="I12" s="34">
        <v>46135</v>
      </c>
      <c r="J12" s="34">
        <f>I12</f>
        <v>46135</v>
      </c>
      <c r="K12" s="28" t="str">
        <f>LEFT(J12,7)</f>
        <v>46135</v>
      </c>
      <c r="L12" s="28" t="s">
        <v>27</v>
      </c>
      <c r="M12" s="29" t="s">
        <v>28</v>
      </c>
      <c r="N12" s="28" t="s">
        <v>29</v>
      </c>
      <c r="O12" s="28" t="s">
        <v>51</v>
      </c>
      <c r="P12" s="28" t="s">
        <v>71</v>
      </c>
      <c r="Q12" s="28"/>
    </row>
    <row r="13" s="23" customFormat="1" ht="45" customHeight="1" spans="1:17">
      <c r="A13" s="28">
        <f t="shared" si="0"/>
        <v>10</v>
      </c>
      <c r="B13" s="29" t="s">
        <v>78</v>
      </c>
      <c r="C13" s="29" t="s">
        <v>20</v>
      </c>
      <c r="D13" s="29" t="s">
        <v>74</v>
      </c>
      <c r="E13" s="29" t="s">
        <v>75</v>
      </c>
      <c r="F13" s="29" t="s">
        <v>79</v>
      </c>
      <c r="G13" s="28" t="s">
        <v>77</v>
      </c>
      <c r="H13" s="30">
        <v>45771</v>
      </c>
      <c r="I13" s="34">
        <v>46135</v>
      </c>
      <c r="J13" s="34">
        <f>I13</f>
        <v>46135</v>
      </c>
      <c r="K13" s="28" t="str">
        <f>LEFT(J13,7)</f>
        <v>46135</v>
      </c>
      <c r="L13" s="28" t="s">
        <v>27</v>
      </c>
      <c r="M13" s="29" t="s">
        <v>28</v>
      </c>
      <c r="N13" s="28" t="s">
        <v>29</v>
      </c>
      <c r="O13" s="28" t="s">
        <v>51</v>
      </c>
      <c r="P13" s="28" t="s">
        <v>80</v>
      </c>
      <c r="Q13" s="28"/>
    </row>
    <row r="14" s="23" customFormat="1" ht="45" customHeight="1" spans="1:17">
      <c r="A14" s="28">
        <f t="shared" si="0"/>
        <v>11</v>
      </c>
      <c r="B14" s="29" t="s">
        <v>81</v>
      </c>
      <c r="C14" s="29" t="s">
        <v>20</v>
      </c>
      <c r="D14" s="29" t="s">
        <v>41</v>
      </c>
      <c r="E14" s="29" t="s">
        <v>42</v>
      </c>
      <c r="F14" s="29" t="s">
        <v>82</v>
      </c>
      <c r="G14" s="28" t="s">
        <v>44</v>
      </c>
      <c r="H14" s="29" t="s">
        <v>83</v>
      </c>
      <c r="I14" s="34" t="s">
        <v>84</v>
      </c>
      <c r="J14" s="29" t="s">
        <v>84</v>
      </c>
      <c r="K14" s="28" t="str">
        <f>LEFT(J14,7)</f>
        <v>2026-03</v>
      </c>
      <c r="L14" s="28" t="s">
        <v>27</v>
      </c>
      <c r="M14" s="29" t="s">
        <v>28</v>
      </c>
      <c r="N14" s="28" t="s">
        <v>39</v>
      </c>
      <c r="O14" s="28" t="s">
        <v>30</v>
      </c>
      <c r="P14" s="28" t="s">
        <v>61</v>
      </c>
      <c r="Q14" s="28"/>
    </row>
    <row r="15" s="23" customFormat="1" ht="45" customHeight="1" spans="1:17">
      <c r="A15" s="28">
        <f t="shared" si="0"/>
        <v>12</v>
      </c>
      <c r="B15" s="29" t="s">
        <v>85</v>
      </c>
      <c r="C15" s="29" t="s">
        <v>20</v>
      </c>
      <c r="D15" s="29" t="s">
        <v>48</v>
      </c>
      <c r="E15" s="29" t="s">
        <v>49</v>
      </c>
      <c r="F15" s="29" t="s">
        <v>86</v>
      </c>
      <c r="G15" s="28" t="s">
        <v>36</v>
      </c>
      <c r="H15" s="30">
        <v>45771</v>
      </c>
      <c r="I15" s="34">
        <v>46135</v>
      </c>
      <c r="J15" s="34">
        <f>I15</f>
        <v>46135</v>
      </c>
      <c r="K15" s="28" t="str">
        <f>LEFT(J15,7)</f>
        <v>46135</v>
      </c>
      <c r="L15" s="28" t="s">
        <v>27</v>
      </c>
      <c r="M15" s="29" t="s">
        <v>28</v>
      </c>
      <c r="N15" s="28" t="s">
        <v>39</v>
      </c>
      <c r="O15" s="28" t="s">
        <v>51</v>
      </c>
      <c r="P15" s="28" t="s">
        <v>87</v>
      </c>
      <c r="Q15" s="28"/>
    </row>
    <row r="16" s="23" customFormat="1" ht="45" customHeight="1" spans="1:17">
      <c r="A16" s="28">
        <f t="shared" si="0"/>
        <v>13</v>
      </c>
      <c r="B16" s="29" t="s">
        <v>88</v>
      </c>
      <c r="C16" s="29" t="s">
        <v>20</v>
      </c>
      <c r="D16" s="29" t="s">
        <v>89</v>
      </c>
      <c r="E16" s="29" t="s">
        <v>90</v>
      </c>
      <c r="F16" s="29" t="s">
        <v>91</v>
      </c>
      <c r="G16" s="28" t="s">
        <v>92</v>
      </c>
      <c r="H16" s="29" t="s">
        <v>93</v>
      </c>
      <c r="I16" s="34" t="s">
        <v>94</v>
      </c>
      <c r="J16" s="29" t="s">
        <v>94</v>
      </c>
      <c r="K16" s="28" t="str">
        <f>LEFT(J16,7)</f>
        <v>2026-03</v>
      </c>
      <c r="L16" s="28" t="s">
        <v>27</v>
      </c>
      <c r="M16" s="29" t="s">
        <v>28</v>
      </c>
      <c r="N16" s="28" t="s">
        <v>29</v>
      </c>
      <c r="O16" s="28" t="s">
        <v>30</v>
      </c>
      <c r="P16" s="28" t="s">
        <v>87</v>
      </c>
      <c r="Q16" s="28"/>
    </row>
    <row r="17" s="23" customFormat="1" ht="45" customHeight="1" spans="1:17">
      <c r="A17" s="28">
        <f t="shared" si="0"/>
        <v>14</v>
      </c>
      <c r="B17" s="29" t="s">
        <v>95</v>
      </c>
      <c r="C17" s="29" t="s">
        <v>20</v>
      </c>
      <c r="D17" s="29" t="s">
        <v>41</v>
      </c>
      <c r="E17" s="29" t="s">
        <v>42</v>
      </c>
      <c r="F17" s="29" t="s">
        <v>96</v>
      </c>
      <c r="G17" s="28" t="s">
        <v>44</v>
      </c>
      <c r="H17" s="29" t="s">
        <v>97</v>
      </c>
      <c r="I17" s="34" t="s">
        <v>98</v>
      </c>
      <c r="J17" s="29" t="s">
        <v>98</v>
      </c>
      <c r="K17" s="28" t="str">
        <f>LEFT(J17,7)</f>
        <v>2025-10</v>
      </c>
      <c r="L17" s="28" t="s">
        <v>27</v>
      </c>
      <c r="M17" s="29" t="s">
        <v>28</v>
      </c>
      <c r="N17" s="28" t="s">
        <v>39</v>
      </c>
      <c r="O17" s="28" t="s">
        <v>30</v>
      </c>
      <c r="P17" s="28" t="s">
        <v>87</v>
      </c>
      <c r="Q17" s="28"/>
    </row>
    <row r="18" s="23" customFormat="1" ht="45" customHeight="1" spans="1:17">
      <c r="A18" s="28">
        <f t="shared" si="0"/>
        <v>15</v>
      </c>
      <c r="B18" s="29" t="s">
        <v>99</v>
      </c>
      <c r="C18" s="29" t="s">
        <v>20</v>
      </c>
      <c r="D18" s="29" t="s">
        <v>100</v>
      </c>
      <c r="E18" s="29" t="s">
        <v>101</v>
      </c>
      <c r="F18" s="29" t="s">
        <v>102</v>
      </c>
      <c r="G18" s="28" t="s">
        <v>77</v>
      </c>
      <c r="H18" s="30">
        <v>45771</v>
      </c>
      <c r="I18" s="34">
        <v>46135</v>
      </c>
      <c r="J18" s="34">
        <f>I18</f>
        <v>46135</v>
      </c>
      <c r="K18" s="28" t="str">
        <f>LEFT(J18,7)</f>
        <v>46135</v>
      </c>
      <c r="L18" s="28" t="s">
        <v>27</v>
      </c>
      <c r="M18" s="29" t="s">
        <v>28</v>
      </c>
      <c r="N18" s="28" t="s">
        <v>29</v>
      </c>
      <c r="O18" s="28" t="s">
        <v>51</v>
      </c>
      <c r="P18" s="28" t="s">
        <v>71</v>
      </c>
      <c r="Q18" s="29" t="s">
        <v>103</v>
      </c>
    </row>
    <row r="19" s="23" customFormat="1" ht="45" customHeight="1" spans="1:17">
      <c r="A19" s="28">
        <f t="shared" si="0"/>
        <v>16</v>
      </c>
      <c r="B19" s="29" t="s">
        <v>104</v>
      </c>
      <c r="C19" s="29" t="s">
        <v>20</v>
      </c>
      <c r="D19" s="29" t="s">
        <v>66</v>
      </c>
      <c r="E19" s="29" t="s">
        <v>67</v>
      </c>
      <c r="F19" s="29" t="s">
        <v>105</v>
      </c>
      <c r="G19" s="28" t="s">
        <v>44</v>
      </c>
      <c r="H19" s="29" t="s">
        <v>69</v>
      </c>
      <c r="I19" s="34" t="s">
        <v>70</v>
      </c>
      <c r="J19" s="29" t="s">
        <v>70</v>
      </c>
      <c r="K19" s="28" t="str">
        <f>LEFT(J19,7)</f>
        <v>2026-01</v>
      </c>
      <c r="L19" s="28" t="s">
        <v>27</v>
      </c>
      <c r="M19" s="29" t="s">
        <v>28</v>
      </c>
      <c r="N19" s="28" t="s">
        <v>39</v>
      </c>
      <c r="O19" s="28" t="s">
        <v>30</v>
      </c>
      <c r="P19" s="28" t="s">
        <v>71</v>
      </c>
      <c r="Q19" s="29" t="s">
        <v>103</v>
      </c>
    </row>
    <row r="20" s="23" customFormat="1" ht="45" customHeight="1" spans="1:17">
      <c r="A20" s="28">
        <f t="shared" si="0"/>
        <v>17</v>
      </c>
      <c r="B20" s="29" t="s">
        <v>106</v>
      </c>
      <c r="C20" s="29" t="s">
        <v>20</v>
      </c>
      <c r="D20" s="29" t="s">
        <v>107</v>
      </c>
      <c r="E20" s="29" t="s">
        <v>108</v>
      </c>
      <c r="F20" s="29" t="s">
        <v>109</v>
      </c>
      <c r="G20" s="28" t="s">
        <v>24</v>
      </c>
      <c r="H20" s="29" t="s">
        <v>45</v>
      </c>
      <c r="I20" s="34" t="s">
        <v>46</v>
      </c>
      <c r="J20" s="29" t="s">
        <v>46</v>
      </c>
      <c r="K20" s="28" t="str">
        <f>LEFT(J20,7)</f>
        <v>2025-10</v>
      </c>
      <c r="L20" s="28" t="s">
        <v>27</v>
      </c>
      <c r="M20" s="29" t="s">
        <v>28</v>
      </c>
      <c r="N20" s="28" t="s">
        <v>39</v>
      </c>
      <c r="O20" s="28" t="s">
        <v>30</v>
      </c>
      <c r="P20" s="28" t="s">
        <v>71</v>
      </c>
      <c r="Q20" s="29" t="s">
        <v>72</v>
      </c>
    </row>
    <row r="21" s="23" customFormat="1" ht="45" customHeight="1" spans="1:17">
      <c r="A21" s="28">
        <f t="shared" si="0"/>
        <v>18</v>
      </c>
      <c r="B21" s="29" t="s">
        <v>110</v>
      </c>
      <c r="C21" s="29" t="s">
        <v>20</v>
      </c>
      <c r="D21" s="29" t="s">
        <v>111</v>
      </c>
      <c r="E21" s="29" t="s">
        <v>112</v>
      </c>
      <c r="F21" s="29" t="s">
        <v>113</v>
      </c>
      <c r="G21" s="28" t="s">
        <v>92</v>
      </c>
      <c r="H21" s="29" t="s">
        <v>93</v>
      </c>
      <c r="I21" s="34" t="s">
        <v>94</v>
      </c>
      <c r="J21" s="29" t="s">
        <v>94</v>
      </c>
      <c r="K21" s="28" t="str">
        <f>LEFT(J21,7)</f>
        <v>2026-03</v>
      </c>
      <c r="L21" s="28" t="s">
        <v>27</v>
      </c>
      <c r="M21" s="29" t="s">
        <v>28</v>
      </c>
      <c r="N21" s="28" t="s">
        <v>39</v>
      </c>
      <c r="O21" s="28" t="s">
        <v>30</v>
      </c>
      <c r="P21" s="28" t="s">
        <v>87</v>
      </c>
      <c r="Q21" s="28"/>
    </row>
    <row r="22" s="23" customFormat="1" ht="45" customHeight="1" spans="1:17">
      <c r="A22" s="28">
        <f t="shared" si="0"/>
        <v>19</v>
      </c>
      <c r="B22" s="29" t="s">
        <v>114</v>
      </c>
      <c r="C22" s="29" t="s">
        <v>20</v>
      </c>
      <c r="D22" s="29" t="s">
        <v>115</v>
      </c>
      <c r="E22" s="29" t="s">
        <v>116</v>
      </c>
      <c r="F22" s="29" t="s">
        <v>117</v>
      </c>
      <c r="G22" s="28" t="s">
        <v>36</v>
      </c>
      <c r="H22" s="29" t="s">
        <v>97</v>
      </c>
      <c r="I22" s="34" t="s">
        <v>98</v>
      </c>
      <c r="J22" s="29" t="s">
        <v>98</v>
      </c>
      <c r="K22" s="28" t="str">
        <f t="shared" ref="K22:K41" si="1">LEFT(J22,7)</f>
        <v>2025-10</v>
      </c>
      <c r="L22" s="28" t="s">
        <v>27</v>
      </c>
      <c r="M22" s="29" t="s">
        <v>28</v>
      </c>
      <c r="N22" s="28" t="s">
        <v>39</v>
      </c>
      <c r="O22" s="28" t="s">
        <v>30</v>
      </c>
      <c r="P22" s="28" t="s">
        <v>87</v>
      </c>
      <c r="Q22" s="28"/>
    </row>
    <row r="23" s="23" customFormat="1" ht="45" customHeight="1" spans="1:17">
      <c r="A23" s="28">
        <f t="shared" si="0"/>
        <v>20</v>
      </c>
      <c r="B23" s="29" t="s">
        <v>118</v>
      </c>
      <c r="C23" s="29" t="s">
        <v>20</v>
      </c>
      <c r="D23" s="29" t="s">
        <v>53</v>
      </c>
      <c r="E23" s="29" t="s">
        <v>54</v>
      </c>
      <c r="F23" s="29" t="s">
        <v>119</v>
      </c>
      <c r="G23" s="28" t="s">
        <v>36</v>
      </c>
      <c r="H23" s="29" t="s">
        <v>56</v>
      </c>
      <c r="I23" s="34" t="s">
        <v>57</v>
      </c>
      <c r="J23" s="29" t="s">
        <v>57</v>
      </c>
      <c r="K23" s="28" t="str">
        <f t="shared" si="1"/>
        <v>2025-10</v>
      </c>
      <c r="L23" s="28" t="s">
        <v>27</v>
      </c>
      <c r="M23" s="29" t="s">
        <v>28</v>
      </c>
      <c r="N23" s="28" t="s">
        <v>39</v>
      </c>
      <c r="O23" s="28" t="s">
        <v>30</v>
      </c>
      <c r="P23" s="28" t="s">
        <v>87</v>
      </c>
      <c r="Q23" s="28"/>
    </row>
    <row r="24" s="23" customFormat="1" ht="45" customHeight="1" spans="1:17">
      <c r="A24" s="28">
        <f t="shared" si="0"/>
        <v>21</v>
      </c>
      <c r="B24" s="29" t="s">
        <v>120</v>
      </c>
      <c r="C24" s="29" t="s">
        <v>20</v>
      </c>
      <c r="D24" s="29" t="s">
        <v>121</v>
      </c>
      <c r="E24" s="29" t="s">
        <v>122</v>
      </c>
      <c r="F24" s="29" t="s">
        <v>123</v>
      </c>
      <c r="G24" s="28" t="s">
        <v>36</v>
      </c>
      <c r="H24" s="30">
        <v>45771</v>
      </c>
      <c r="I24" s="34">
        <v>46135</v>
      </c>
      <c r="J24" s="34">
        <f>I24</f>
        <v>46135</v>
      </c>
      <c r="K24" s="28" t="str">
        <f t="shared" si="1"/>
        <v>46135</v>
      </c>
      <c r="L24" s="28" t="s">
        <v>27</v>
      </c>
      <c r="M24" s="29" t="s">
        <v>28</v>
      </c>
      <c r="N24" s="28" t="s">
        <v>29</v>
      </c>
      <c r="O24" s="28" t="s">
        <v>30</v>
      </c>
      <c r="P24" s="28" t="s">
        <v>124</v>
      </c>
      <c r="Q24" s="28"/>
    </row>
    <row r="25" s="23" customFormat="1" ht="45" customHeight="1" spans="1:17">
      <c r="A25" s="28">
        <f t="shared" si="0"/>
        <v>22</v>
      </c>
      <c r="B25" s="29" t="s">
        <v>125</v>
      </c>
      <c r="C25" s="29" t="s">
        <v>20</v>
      </c>
      <c r="D25" s="29" t="s">
        <v>126</v>
      </c>
      <c r="E25" s="29" t="s">
        <v>127</v>
      </c>
      <c r="F25" s="29" t="s">
        <v>128</v>
      </c>
      <c r="G25" s="28" t="s">
        <v>36</v>
      </c>
      <c r="H25" s="30">
        <v>45771</v>
      </c>
      <c r="I25" s="34">
        <v>46135</v>
      </c>
      <c r="J25" s="34">
        <f>I25</f>
        <v>46135</v>
      </c>
      <c r="K25" s="28" t="str">
        <f t="shared" si="1"/>
        <v>46135</v>
      </c>
      <c r="L25" s="28" t="s">
        <v>27</v>
      </c>
      <c r="M25" s="29" t="s">
        <v>28</v>
      </c>
      <c r="N25" s="28" t="s">
        <v>29</v>
      </c>
      <c r="O25" s="28" t="s">
        <v>30</v>
      </c>
      <c r="P25" s="28" t="s">
        <v>129</v>
      </c>
      <c r="Q25" s="28"/>
    </row>
    <row r="26" s="23" customFormat="1" ht="45" customHeight="1" spans="1:17">
      <c r="A26" s="28">
        <f t="shared" si="0"/>
        <v>23</v>
      </c>
      <c r="B26" s="29" t="s">
        <v>130</v>
      </c>
      <c r="C26" s="29" t="s">
        <v>20</v>
      </c>
      <c r="D26" s="29" t="s">
        <v>126</v>
      </c>
      <c r="E26" s="29" t="s">
        <v>131</v>
      </c>
      <c r="F26" s="29" t="s">
        <v>132</v>
      </c>
      <c r="G26" s="28" t="s">
        <v>36</v>
      </c>
      <c r="H26" s="30">
        <v>45771</v>
      </c>
      <c r="I26" s="34">
        <v>46135</v>
      </c>
      <c r="J26" s="34">
        <f>I26</f>
        <v>46135</v>
      </c>
      <c r="K26" s="28" t="str">
        <f t="shared" si="1"/>
        <v>46135</v>
      </c>
      <c r="L26" s="28" t="s">
        <v>27</v>
      </c>
      <c r="M26" s="29" t="s">
        <v>28</v>
      </c>
      <c r="N26" s="28" t="s">
        <v>29</v>
      </c>
      <c r="O26" s="28" t="s">
        <v>30</v>
      </c>
      <c r="P26" s="28" t="s">
        <v>133</v>
      </c>
      <c r="Q26" s="28"/>
    </row>
    <row r="27" s="23" customFormat="1" ht="45" customHeight="1" spans="1:17">
      <c r="A27" s="28">
        <f t="shared" si="0"/>
        <v>24</v>
      </c>
      <c r="B27" s="29" t="s">
        <v>134</v>
      </c>
      <c r="C27" s="29" t="s">
        <v>20</v>
      </c>
      <c r="D27" s="29" t="s">
        <v>126</v>
      </c>
      <c r="E27" s="29" t="s">
        <v>131</v>
      </c>
      <c r="F27" s="29" t="s">
        <v>135</v>
      </c>
      <c r="G27" s="28" t="s">
        <v>36</v>
      </c>
      <c r="H27" s="30">
        <v>45771</v>
      </c>
      <c r="I27" s="34">
        <v>46135</v>
      </c>
      <c r="J27" s="34">
        <f>I27</f>
        <v>46135</v>
      </c>
      <c r="K27" s="28" t="str">
        <f t="shared" si="1"/>
        <v>46135</v>
      </c>
      <c r="L27" s="28" t="s">
        <v>27</v>
      </c>
      <c r="M27" s="29" t="s">
        <v>28</v>
      </c>
      <c r="N27" s="28" t="s">
        <v>29</v>
      </c>
      <c r="O27" s="28" t="s">
        <v>30</v>
      </c>
      <c r="P27" s="28" t="s">
        <v>136</v>
      </c>
      <c r="Q27" s="28"/>
    </row>
    <row r="28" s="23" customFormat="1" ht="45" customHeight="1" spans="1:17">
      <c r="A28" s="28">
        <f t="shared" si="0"/>
        <v>25</v>
      </c>
      <c r="B28" s="29" t="s">
        <v>137</v>
      </c>
      <c r="C28" s="29" t="s">
        <v>20</v>
      </c>
      <c r="D28" s="29" t="s">
        <v>138</v>
      </c>
      <c r="E28" s="29" t="s">
        <v>139</v>
      </c>
      <c r="F28" s="29" t="s">
        <v>140</v>
      </c>
      <c r="G28" s="28" t="s">
        <v>36</v>
      </c>
      <c r="H28" s="29" t="s">
        <v>141</v>
      </c>
      <c r="I28" s="34" t="s">
        <v>142</v>
      </c>
      <c r="J28" s="29" t="s">
        <v>142</v>
      </c>
      <c r="K28" s="28" t="str">
        <f t="shared" si="1"/>
        <v>2025-10</v>
      </c>
      <c r="L28" s="28" t="s">
        <v>27</v>
      </c>
      <c r="M28" s="29" t="s">
        <v>28</v>
      </c>
      <c r="N28" s="28" t="s">
        <v>29</v>
      </c>
      <c r="O28" s="28" t="s">
        <v>30</v>
      </c>
      <c r="P28" s="28" t="s">
        <v>143</v>
      </c>
      <c r="Q28" s="28"/>
    </row>
    <row r="29" s="23" customFormat="1" ht="45" customHeight="1" spans="1:17">
      <c r="A29" s="28">
        <f t="shared" si="0"/>
        <v>26</v>
      </c>
      <c r="B29" s="29" t="s">
        <v>144</v>
      </c>
      <c r="C29" s="29" t="s">
        <v>20</v>
      </c>
      <c r="D29" s="29" t="s">
        <v>145</v>
      </c>
      <c r="E29" s="29" t="s">
        <v>146</v>
      </c>
      <c r="F29" s="29" t="s">
        <v>147</v>
      </c>
      <c r="G29" s="28" t="s">
        <v>24</v>
      </c>
      <c r="H29" s="30">
        <v>45771</v>
      </c>
      <c r="I29" s="34">
        <v>46135</v>
      </c>
      <c r="J29" s="34">
        <f>I29</f>
        <v>46135</v>
      </c>
      <c r="K29" s="28" t="str">
        <f t="shared" si="1"/>
        <v>46135</v>
      </c>
      <c r="L29" s="28" t="s">
        <v>27</v>
      </c>
      <c r="M29" s="29" t="s">
        <v>28</v>
      </c>
      <c r="N29" s="28" t="s">
        <v>39</v>
      </c>
      <c r="O29" s="28" t="s">
        <v>51</v>
      </c>
      <c r="P29" s="28" t="s">
        <v>143</v>
      </c>
      <c r="Q29" s="28"/>
    </row>
    <row r="30" s="23" customFormat="1" ht="45" customHeight="1" spans="1:17">
      <c r="A30" s="28">
        <f t="shared" si="0"/>
        <v>27</v>
      </c>
      <c r="B30" s="29" t="s">
        <v>148</v>
      </c>
      <c r="C30" s="29" t="s">
        <v>20</v>
      </c>
      <c r="D30" s="29" t="s">
        <v>100</v>
      </c>
      <c r="E30" s="29" t="s">
        <v>149</v>
      </c>
      <c r="F30" s="29" t="s">
        <v>150</v>
      </c>
      <c r="G30" s="28" t="s">
        <v>77</v>
      </c>
      <c r="H30" s="29" t="s">
        <v>83</v>
      </c>
      <c r="I30" s="34" t="s">
        <v>84</v>
      </c>
      <c r="J30" s="29" t="s">
        <v>84</v>
      </c>
      <c r="K30" s="28" t="str">
        <f t="shared" si="1"/>
        <v>2026-03</v>
      </c>
      <c r="L30" s="28" t="s">
        <v>27</v>
      </c>
      <c r="M30" s="29" t="s">
        <v>28</v>
      </c>
      <c r="N30" s="28" t="s">
        <v>29</v>
      </c>
      <c r="O30" s="28" t="s">
        <v>30</v>
      </c>
      <c r="P30" s="28" t="s">
        <v>143</v>
      </c>
      <c r="Q30" s="28"/>
    </row>
    <row r="31" s="23" customFormat="1" ht="45" customHeight="1" spans="1:17">
      <c r="A31" s="28">
        <f t="shared" si="0"/>
        <v>28</v>
      </c>
      <c r="B31" s="29" t="s">
        <v>151</v>
      </c>
      <c r="C31" s="29" t="s">
        <v>20</v>
      </c>
      <c r="D31" s="29" t="s">
        <v>138</v>
      </c>
      <c r="E31" s="29" t="s">
        <v>152</v>
      </c>
      <c r="F31" s="29" t="s">
        <v>153</v>
      </c>
      <c r="G31" s="28" t="s">
        <v>36</v>
      </c>
      <c r="H31" s="29" t="s">
        <v>141</v>
      </c>
      <c r="I31" s="34" t="s">
        <v>142</v>
      </c>
      <c r="J31" s="29" t="s">
        <v>142</v>
      </c>
      <c r="K31" s="28" t="str">
        <f t="shared" si="1"/>
        <v>2025-10</v>
      </c>
      <c r="L31" s="28" t="s">
        <v>27</v>
      </c>
      <c r="M31" s="29" t="s">
        <v>28</v>
      </c>
      <c r="N31" s="28" t="s">
        <v>29</v>
      </c>
      <c r="O31" s="28" t="s">
        <v>30</v>
      </c>
      <c r="P31" s="28" t="s">
        <v>143</v>
      </c>
      <c r="Q31" s="28"/>
    </row>
    <row r="32" s="23" customFormat="1" ht="45" customHeight="1" spans="1:17">
      <c r="A32" s="28">
        <f t="shared" si="0"/>
        <v>29</v>
      </c>
      <c r="B32" s="29" t="s">
        <v>154</v>
      </c>
      <c r="C32" s="29" t="s">
        <v>20</v>
      </c>
      <c r="D32" s="29" t="s">
        <v>126</v>
      </c>
      <c r="E32" s="29" t="s">
        <v>122</v>
      </c>
      <c r="F32" s="29" t="s">
        <v>155</v>
      </c>
      <c r="G32" s="28" t="s">
        <v>36</v>
      </c>
      <c r="H32" s="30">
        <v>45771</v>
      </c>
      <c r="I32" s="34">
        <v>46135</v>
      </c>
      <c r="J32" s="34">
        <f>I32</f>
        <v>46135</v>
      </c>
      <c r="K32" s="28" t="str">
        <f t="shared" si="1"/>
        <v>46135</v>
      </c>
      <c r="L32" s="28" t="s">
        <v>27</v>
      </c>
      <c r="M32" s="29" t="s">
        <v>28</v>
      </c>
      <c r="N32" s="28" t="s">
        <v>29</v>
      </c>
      <c r="O32" s="28" t="s">
        <v>30</v>
      </c>
      <c r="P32" s="28" t="s">
        <v>156</v>
      </c>
      <c r="Q32" s="28"/>
    </row>
    <row r="33" s="23" customFormat="1" ht="45" customHeight="1" spans="1:17">
      <c r="A33" s="28">
        <f t="shared" si="0"/>
        <v>30</v>
      </c>
      <c r="B33" s="29" t="s">
        <v>157</v>
      </c>
      <c r="C33" s="29" t="s">
        <v>20</v>
      </c>
      <c r="D33" s="29" t="s">
        <v>158</v>
      </c>
      <c r="E33" s="29" t="s">
        <v>159</v>
      </c>
      <c r="F33" s="29" t="s">
        <v>160</v>
      </c>
      <c r="G33" s="28" t="s">
        <v>36</v>
      </c>
      <c r="H33" s="30">
        <v>45771</v>
      </c>
      <c r="I33" s="34">
        <v>46135</v>
      </c>
      <c r="J33" s="34">
        <f>I33</f>
        <v>46135</v>
      </c>
      <c r="K33" s="28" t="str">
        <f t="shared" si="1"/>
        <v>46135</v>
      </c>
      <c r="L33" s="28" t="s">
        <v>27</v>
      </c>
      <c r="M33" s="29" t="s">
        <v>28</v>
      </c>
      <c r="N33" s="28" t="s">
        <v>29</v>
      </c>
      <c r="O33" s="28" t="s">
        <v>30</v>
      </c>
      <c r="P33" s="28" t="s">
        <v>161</v>
      </c>
      <c r="Q33" s="28"/>
    </row>
    <row r="34" s="23" customFormat="1" ht="45" customHeight="1" spans="1:17">
      <c r="A34" s="28">
        <f t="shared" si="0"/>
        <v>31</v>
      </c>
      <c r="B34" s="29" t="s">
        <v>162</v>
      </c>
      <c r="C34" s="29" t="s">
        <v>20</v>
      </c>
      <c r="D34" s="29" t="s">
        <v>163</v>
      </c>
      <c r="E34" s="29" t="s">
        <v>164</v>
      </c>
      <c r="F34" s="29" t="s">
        <v>165</v>
      </c>
      <c r="G34" s="28" t="s">
        <v>24</v>
      </c>
      <c r="H34" s="29" t="s">
        <v>56</v>
      </c>
      <c r="I34" s="34" t="s">
        <v>57</v>
      </c>
      <c r="J34" s="29" t="s">
        <v>57</v>
      </c>
      <c r="K34" s="28" t="str">
        <f t="shared" si="1"/>
        <v>2025-10</v>
      </c>
      <c r="L34" s="28" t="s">
        <v>27</v>
      </c>
      <c r="M34" s="29" t="s">
        <v>28</v>
      </c>
      <c r="N34" s="28" t="s">
        <v>39</v>
      </c>
      <c r="O34" s="28" t="s">
        <v>30</v>
      </c>
      <c r="P34" s="28" t="s">
        <v>166</v>
      </c>
      <c r="Q34" s="28"/>
    </row>
    <row r="35" s="23" customFormat="1" ht="45" customHeight="1" spans="1:17">
      <c r="A35" s="28">
        <f t="shared" si="0"/>
        <v>32</v>
      </c>
      <c r="B35" s="29" t="s">
        <v>167</v>
      </c>
      <c r="C35" s="29" t="s">
        <v>20</v>
      </c>
      <c r="D35" s="29" t="s">
        <v>163</v>
      </c>
      <c r="E35" s="29" t="s">
        <v>168</v>
      </c>
      <c r="F35" s="29" t="s">
        <v>169</v>
      </c>
      <c r="G35" s="28" t="s">
        <v>24</v>
      </c>
      <c r="H35" s="30">
        <v>45771</v>
      </c>
      <c r="I35" s="34">
        <v>46135</v>
      </c>
      <c r="J35" s="34">
        <f>I35</f>
        <v>46135</v>
      </c>
      <c r="K35" s="28" t="str">
        <f t="shared" si="1"/>
        <v>46135</v>
      </c>
      <c r="L35" s="28" t="s">
        <v>27</v>
      </c>
      <c r="M35" s="29" t="s">
        <v>28</v>
      </c>
      <c r="N35" s="28" t="s">
        <v>39</v>
      </c>
      <c r="O35" s="28" t="s">
        <v>51</v>
      </c>
      <c r="P35" s="28" t="s">
        <v>166</v>
      </c>
      <c r="Q35" s="28"/>
    </row>
    <row r="36" s="23" customFormat="1" ht="45" customHeight="1" spans="1:17">
      <c r="A36" s="28">
        <f t="shared" si="0"/>
        <v>33</v>
      </c>
      <c r="B36" s="29" t="s">
        <v>170</v>
      </c>
      <c r="C36" s="29" t="s">
        <v>20</v>
      </c>
      <c r="D36" s="29" t="s">
        <v>111</v>
      </c>
      <c r="E36" s="29" t="s">
        <v>112</v>
      </c>
      <c r="F36" s="29" t="s">
        <v>171</v>
      </c>
      <c r="G36" s="28" t="s">
        <v>92</v>
      </c>
      <c r="H36" s="29" t="s">
        <v>93</v>
      </c>
      <c r="I36" s="34" t="s">
        <v>94</v>
      </c>
      <c r="J36" s="29" t="s">
        <v>94</v>
      </c>
      <c r="K36" s="28" t="str">
        <f t="shared" si="1"/>
        <v>2026-03</v>
      </c>
      <c r="L36" s="28" t="s">
        <v>27</v>
      </c>
      <c r="M36" s="29" t="s">
        <v>28</v>
      </c>
      <c r="N36" s="28" t="s">
        <v>39</v>
      </c>
      <c r="O36" s="28" t="s">
        <v>30</v>
      </c>
      <c r="P36" s="28" t="s">
        <v>166</v>
      </c>
      <c r="Q36" s="28"/>
    </row>
    <row r="37" s="23" customFormat="1" ht="45" customHeight="1" spans="1:17">
      <c r="A37" s="28">
        <f t="shared" si="0"/>
        <v>34</v>
      </c>
      <c r="B37" s="29" t="s">
        <v>172</v>
      </c>
      <c r="C37" s="29" t="s">
        <v>20</v>
      </c>
      <c r="D37" s="29" t="s">
        <v>138</v>
      </c>
      <c r="E37" s="29" t="s">
        <v>173</v>
      </c>
      <c r="F37" s="29" t="s">
        <v>174</v>
      </c>
      <c r="G37" s="28" t="s">
        <v>36</v>
      </c>
      <c r="H37" s="29" t="s">
        <v>141</v>
      </c>
      <c r="I37" s="34" t="s">
        <v>142</v>
      </c>
      <c r="J37" s="29" t="s">
        <v>142</v>
      </c>
      <c r="K37" s="28" t="str">
        <f t="shared" si="1"/>
        <v>2025-10</v>
      </c>
      <c r="L37" s="28" t="s">
        <v>27</v>
      </c>
      <c r="M37" s="29" t="s">
        <v>28</v>
      </c>
      <c r="N37" s="28" t="s">
        <v>29</v>
      </c>
      <c r="O37" s="28" t="s">
        <v>30</v>
      </c>
      <c r="P37" s="28" t="s">
        <v>166</v>
      </c>
      <c r="Q37" s="28"/>
    </row>
    <row r="38" s="23" customFormat="1" ht="45" customHeight="1" spans="1:17">
      <c r="A38" s="28">
        <f t="shared" si="0"/>
        <v>35</v>
      </c>
      <c r="B38" s="29" t="s">
        <v>175</v>
      </c>
      <c r="C38" s="29" t="s">
        <v>20</v>
      </c>
      <c r="D38" s="29" t="s">
        <v>100</v>
      </c>
      <c r="E38" s="29" t="s">
        <v>176</v>
      </c>
      <c r="F38" s="29" t="s">
        <v>177</v>
      </c>
      <c r="G38" s="28" t="s">
        <v>77</v>
      </c>
      <c r="H38" s="29" t="s">
        <v>178</v>
      </c>
      <c r="I38" s="34" t="s">
        <v>179</v>
      </c>
      <c r="J38" s="29" t="s">
        <v>179</v>
      </c>
      <c r="K38" s="28" t="str">
        <f t="shared" si="1"/>
        <v>2025-10</v>
      </c>
      <c r="L38" s="28" t="s">
        <v>27</v>
      </c>
      <c r="M38" s="29" t="s">
        <v>28</v>
      </c>
      <c r="N38" s="28" t="s">
        <v>29</v>
      </c>
      <c r="O38" s="28" t="s">
        <v>30</v>
      </c>
      <c r="P38" s="28" t="s">
        <v>166</v>
      </c>
      <c r="Q38" s="28"/>
    </row>
    <row r="39" s="23" customFormat="1" ht="45" customHeight="1" spans="1:17">
      <c r="A39" s="28">
        <f t="shared" si="0"/>
        <v>36</v>
      </c>
      <c r="B39" s="29" t="s">
        <v>180</v>
      </c>
      <c r="C39" s="29" t="s">
        <v>20</v>
      </c>
      <c r="D39" s="29" t="s">
        <v>145</v>
      </c>
      <c r="E39" s="29" t="s">
        <v>146</v>
      </c>
      <c r="F39" s="29" t="s">
        <v>181</v>
      </c>
      <c r="G39" s="28" t="s">
        <v>24</v>
      </c>
      <c r="H39" s="30">
        <v>45771</v>
      </c>
      <c r="I39" s="34">
        <v>46135</v>
      </c>
      <c r="J39" s="34">
        <f>I39</f>
        <v>46135</v>
      </c>
      <c r="K39" s="28" t="str">
        <f t="shared" si="1"/>
        <v>46135</v>
      </c>
      <c r="L39" s="28" t="s">
        <v>27</v>
      </c>
      <c r="M39" s="29" t="s">
        <v>28</v>
      </c>
      <c r="N39" s="28" t="s">
        <v>39</v>
      </c>
      <c r="O39" s="28" t="s">
        <v>51</v>
      </c>
      <c r="P39" s="28" t="s">
        <v>166</v>
      </c>
      <c r="Q39" s="28"/>
    </row>
    <row r="40" s="23" customFormat="1" ht="45" customHeight="1" spans="1:17">
      <c r="A40" s="28">
        <f t="shared" si="0"/>
        <v>37</v>
      </c>
      <c r="B40" s="29" t="s">
        <v>182</v>
      </c>
      <c r="C40" s="29" t="s">
        <v>20</v>
      </c>
      <c r="D40" s="29" t="s">
        <v>163</v>
      </c>
      <c r="E40" s="29" t="s">
        <v>183</v>
      </c>
      <c r="F40" s="29" t="s">
        <v>184</v>
      </c>
      <c r="G40" s="28" t="s">
        <v>24</v>
      </c>
      <c r="H40" s="30">
        <v>45771</v>
      </c>
      <c r="I40" s="34">
        <v>46135</v>
      </c>
      <c r="J40" s="34">
        <f>I40</f>
        <v>46135</v>
      </c>
      <c r="K40" s="28" t="str">
        <f t="shared" si="1"/>
        <v>46135</v>
      </c>
      <c r="L40" s="28" t="s">
        <v>27</v>
      </c>
      <c r="M40" s="29" t="s">
        <v>28</v>
      </c>
      <c r="N40" s="28" t="s">
        <v>39</v>
      </c>
      <c r="O40" s="28" t="s">
        <v>51</v>
      </c>
      <c r="P40" s="28" t="s">
        <v>166</v>
      </c>
      <c r="Q40" s="28"/>
    </row>
    <row r="41" s="23" customFormat="1" ht="45" customHeight="1" spans="1:17">
      <c r="A41" s="28">
        <f t="shared" si="0"/>
        <v>38</v>
      </c>
      <c r="B41" s="29" t="s">
        <v>185</v>
      </c>
      <c r="C41" s="29" t="s">
        <v>20</v>
      </c>
      <c r="D41" s="29" t="s">
        <v>163</v>
      </c>
      <c r="E41" s="29" t="s">
        <v>183</v>
      </c>
      <c r="F41" s="29" t="s">
        <v>186</v>
      </c>
      <c r="G41" s="28" t="s">
        <v>24</v>
      </c>
      <c r="H41" s="30">
        <v>45771</v>
      </c>
      <c r="I41" s="34">
        <v>46135</v>
      </c>
      <c r="J41" s="34">
        <f>I41</f>
        <v>46135</v>
      </c>
      <c r="K41" s="28" t="str">
        <f t="shared" si="1"/>
        <v>46135</v>
      </c>
      <c r="L41" s="28" t="s">
        <v>27</v>
      </c>
      <c r="M41" s="29" t="s">
        <v>28</v>
      </c>
      <c r="N41" s="28" t="s">
        <v>39</v>
      </c>
      <c r="O41" s="28" t="s">
        <v>51</v>
      </c>
      <c r="P41" s="28" t="s">
        <v>166</v>
      </c>
      <c r="Q41" s="28"/>
    </row>
    <row r="42" s="23" customFormat="1" ht="45" customHeight="1" spans="1:17">
      <c r="A42" s="28">
        <f t="shared" si="0"/>
        <v>39</v>
      </c>
      <c r="B42" s="29" t="s">
        <v>187</v>
      </c>
      <c r="C42" s="29" t="s">
        <v>20</v>
      </c>
      <c r="D42" s="29" t="s">
        <v>138</v>
      </c>
      <c r="E42" s="29" t="s">
        <v>188</v>
      </c>
      <c r="F42" s="29" t="s">
        <v>189</v>
      </c>
      <c r="G42" s="28" t="s">
        <v>36</v>
      </c>
      <c r="H42" s="29" t="s">
        <v>141</v>
      </c>
      <c r="I42" s="34" t="s">
        <v>142</v>
      </c>
      <c r="J42" s="29" t="s">
        <v>142</v>
      </c>
      <c r="K42" s="28" t="str">
        <f>LEFT(J42,7)</f>
        <v>2025-10</v>
      </c>
      <c r="L42" s="28" t="s">
        <v>27</v>
      </c>
      <c r="M42" s="29" t="s">
        <v>28</v>
      </c>
      <c r="N42" s="28" t="s">
        <v>29</v>
      </c>
      <c r="O42" s="28" t="s">
        <v>30</v>
      </c>
      <c r="P42" s="28" t="s">
        <v>143</v>
      </c>
      <c r="Q42" s="28"/>
    </row>
    <row r="43" s="23" customFormat="1" ht="45" customHeight="1" spans="1:17">
      <c r="A43" s="28">
        <f t="shared" si="0"/>
        <v>40</v>
      </c>
      <c r="B43" s="29" t="s">
        <v>190</v>
      </c>
      <c r="C43" s="29" t="s">
        <v>20</v>
      </c>
      <c r="D43" s="29" t="s">
        <v>100</v>
      </c>
      <c r="E43" s="29" t="s">
        <v>176</v>
      </c>
      <c r="F43" s="29" t="s">
        <v>191</v>
      </c>
      <c r="G43" s="28" t="s">
        <v>77</v>
      </c>
      <c r="H43" s="29" t="s">
        <v>178</v>
      </c>
      <c r="I43" s="34" t="s">
        <v>179</v>
      </c>
      <c r="J43" s="29" t="s">
        <v>179</v>
      </c>
      <c r="K43" s="28" t="str">
        <f>LEFT(J43,7)</f>
        <v>2025-10</v>
      </c>
      <c r="L43" s="28" t="s">
        <v>27</v>
      </c>
      <c r="M43" s="29" t="s">
        <v>28</v>
      </c>
      <c r="N43" s="28" t="s">
        <v>29</v>
      </c>
      <c r="O43" s="28" t="s">
        <v>30</v>
      </c>
      <c r="P43" s="28" t="s">
        <v>143</v>
      </c>
      <c r="Q43" s="28"/>
    </row>
    <row r="44" s="23" customFormat="1" ht="45" customHeight="1" spans="1:17">
      <c r="A44" s="28">
        <f t="shared" si="0"/>
        <v>41</v>
      </c>
      <c r="B44" s="29" t="s">
        <v>192</v>
      </c>
      <c r="C44" s="29" t="s">
        <v>20</v>
      </c>
      <c r="D44" s="29" t="s">
        <v>145</v>
      </c>
      <c r="E44" s="29" t="s">
        <v>193</v>
      </c>
      <c r="F44" s="29" t="s">
        <v>194</v>
      </c>
      <c r="G44" s="28" t="s">
        <v>24</v>
      </c>
      <c r="H44" s="30">
        <v>45771</v>
      </c>
      <c r="I44" s="34">
        <v>46135</v>
      </c>
      <c r="J44" s="34">
        <f>I44</f>
        <v>46135</v>
      </c>
      <c r="K44" s="28" t="str">
        <f>LEFT(J44,7)</f>
        <v>46135</v>
      </c>
      <c r="L44" s="28" t="s">
        <v>27</v>
      </c>
      <c r="M44" s="29" t="s">
        <v>28</v>
      </c>
      <c r="N44" s="28" t="s">
        <v>39</v>
      </c>
      <c r="O44" s="28" t="s">
        <v>51</v>
      </c>
      <c r="P44" s="28" t="s">
        <v>143</v>
      </c>
      <c r="Q44" s="28"/>
    </row>
    <row r="45" s="23" customFormat="1" ht="45" customHeight="1" spans="1:17">
      <c r="A45" s="28">
        <f t="shared" si="0"/>
        <v>42</v>
      </c>
      <c r="B45" s="29" t="s">
        <v>195</v>
      </c>
      <c r="C45" s="29" t="s">
        <v>20</v>
      </c>
      <c r="D45" s="29" t="s">
        <v>163</v>
      </c>
      <c r="E45" s="29" t="s">
        <v>168</v>
      </c>
      <c r="F45" s="29" t="s">
        <v>196</v>
      </c>
      <c r="G45" s="28" t="s">
        <v>24</v>
      </c>
      <c r="H45" s="30">
        <v>45771</v>
      </c>
      <c r="I45" s="34">
        <v>46135</v>
      </c>
      <c r="J45" s="34">
        <f>I45</f>
        <v>46135</v>
      </c>
      <c r="K45" s="28" t="str">
        <f>LEFT(J45,7)</f>
        <v>46135</v>
      </c>
      <c r="L45" s="28" t="s">
        <v>27</v>
      </c>
      <c r="M45" s="29" t="s">
        <v>28</v>
      </c>
      <c r="N45" s="28" t="s">
        <v>39</v>
      </c>
      <c r="O45" s="28" t="s">
        <v>51</v>
      </c>
      <c r="P45" s="28" t="s">
        <v>166</v>
      </c>
      <c r="Q45" s="28"/>
    </row>
    <row r="46" s="23" customFormat="1" ht="45" customHeight="1" spans="1:17">
      <c r="A46" s="28">
        <f t="shared" si="0"/>
        <v>43</v>
      </c>
      <c r="B46" s="29" t="s">
        <v>197</v>
      </c>
      <c r="C46" s="29" t="s">
        <v>20</v>
      </c>
      <c r="D46" s="29" t="s">
        <v>163</v>
      </c>
      <c r="E46" s="29" t="s">
        <v>168</v>
      </c>
      <c r="F46" s="29" t="s">
        <v>198</v>
      </c>
      <c r="G46" s="28" t="s">
        <v>24</v>
      </c>
      <c r="H46" s="30">
        <v>45771</v>
      </c>
      <c r="I46" s="34">
        <v>46135</v>
      </c>
      <c r="J46" s="34">
        <f>I46</f>
        <v>46135</v>
      </c>
      <c r="K46" s="28" t="str">
        <f>LEFT(J46,7)</f>
        <v>46135</v>
      </c>
      <c r="L46" s="28" t="s">
        <v>27</v>
      </c>
      <c r="M46" s="29" t="s">
        <v>28</v>
      </c>
      <c r="N46" s="28" t="s">
        <v>39</v>
      </c>
      <c r="O46" s="28" t="s">
        <v>51</v>
      </c>
      <c r="P46" s="28" t="s">
        <v>166</v>
      </c>
      <c r="Q46" s="28"/>
    </row>
    <row r="47" s="23" customFormat="1" ht="45" customHeight="1" spans="1:17">
      <c r="A47" s="28">
        <f t="shared" si="0"/>
        <v>44</v>
      </c>
      <c r="B47" s="29" t="s">
        <v>199</v>
      </c>
      <c r="C47" s="29" t="s">
        <v>20</v>
      </c>
      <c r="D47" s="29" t="s">
        <v>200</v>
      </c>
      <c r="E47" s="29" t="s">
        <v>201</v>
      </c>
      <c r="F47" s="29" t="s">
        <v>202</v>
      </c>
      <c r="G47" s="28" t="s">
        <v>36</v>
      </c>
      <c r="H47" s="29" t="s">
        <v>203</v>
      </c>
      <c r="I47" s="34" t="s">
        <v>204</v>
      </c>
      <c r="J47" s="29" t="s">
        <v>204</v>
      </c>
      <c r="K47" s="28" t="str">
        <f>LEFT(J47,7)</f>
        <v>2025-10</v>
      </c>
      <c r="L47" s="28" t="s">
        <v>27</v>
      </c>
      <c r="M47" s="29" t="s">
        <v>28</v>
      </c>
      <c r="N47" s="28" t="s">
        <v>29</v>
      </c>
      <c r="O47" s="28" t="s">
        <v>30</v>
      </c>
      <c r="P47" s="28" t="s">
        <v>166</v>
      </c>
      <c r="Q47" s="28"/>
    </row>
    <row r="48" s="23" customFormat="1" ht="45" customHeight="1" spans="1:17">
      <c r="A48" s="28">
        <f t="shared" si="0"/>
        <v>45</v>
      </c>
      <c r="B48" s="29" t="s">
        <v>205</v>
      </c>
      <c r="C48" s="29" t="s">
        <v>20</v>
      </c>
      <c r="D48" s="29" t="s">
        <v>206</v>
      </c>
      <c r="E48" s="29" t="s">
        <v>207</v>
      </c>
      <c r="F48" s="29" t="s">
        <v>208</v>
      </c>
      <c r="G48" s="28" t="s">
        <v>36</v>
      </c>
      <c r="H48" s="29" t="s">
        <v>56</v>
      </c>
      <c r="I48" s="34" t="s">
        <v>57</v>
      </c>
      <c r="J48" s="29" t="s">
        <v>57</v>
      </c>
      <c r="K48" s="28" t="str">
        <f>LEFT(J48,7)</f>
        <v>2025-10</v>
      </c>
      <c r="L48" s="28" t="s">
        <v>27</v>
      </c>
      <c r="M48" s="29" t="s">
        <v>28</v>
      </c>
      <c r="N48" s="28" t="s">
        <v>39</v>
      </c>
      <c r="O48" s="28" t="s">
        <v>30</v>
      </c>
      <c r="P48" s="28" t="s">
        <v>166</v>
      </c>
      <c r="Q48" s="28"/>
    </row>
    <row r="49" s="23" customFormat="1" ht="45" customHeight="1" spans="1:17">
      <c r="A49" s="28">
        <f t="shared" si="0"/>
        <v>46</v>
      </c>
      <c r="B49" s="29" t="s">
        <v>209</v>
      </c>
      <c r="C49" s="29" t="s">
        <v>20</v>
      </c>
      <c r="D49" s="29" t="s">
        <v>210</v>
      </c>
      <c r="E49" s="29" t="s">
        <v>211</v>
      </c>
      <c r="F49" s="29" t="s">
        <v>212</v>
      </c>
      <c r="G49" s="28" t="s">
        <v>24</v>
      </c>
      <c r="H49" s="30">
        <v>45771</v>
      </c>
      <c r="I49" s="34">
        <v>46135</v>
      </c>
      <c r="J49" s="34">
        <f>I49</f>
        <v>46135</v>
      </c>
      <c r="K49" s="28" t="str">
        <f>LEFT(J49,7)</f>
        <v>46135</v>
      </c>
      <c r="L49" s="28" t="s">
        <v>27</v>
      </c>
      <c r="M49" s="29" t="s">
        <v>28</v>
      </c>
      <c r="N49" s="28" t="s">
        <v>39</v>
      </c>
      <c r="O49" s="28" t="s">
        <v>51</v>
      </c>
      <c r="P49" s="28" t="s">
        <v>166</v>
      </c>
      <c r="Q49" s="28"/>
    </row>
    <row r="50" s="23" customFormat="1" ht="45" customHeight="1" spans="1:17">
      <c r="A50" s="28">
        <f t="shared" si="0"/>
        <v>47</v>
      </c>
      <c r="B50" s="29" t="s">
        <v>213</v>
      </c>
      <c r="C50" s="29" t="s">
        <v>20</v>
      </c>
      <c r="D50" s="29" t="s">
        <v>210</v>
      </c>
      <c r="E50" s="29" t="s">
        <v>214</v>
      </c>
      <c r="F50" s="29" t="s">
        <v>215</v>
      </c>
      <c r="G50" s="28" t="s">
        <v>24</v>
      </c>
      <c r="H50" s="30">
        <v>45771</v>
      </c>
      <c r="I50" s="34">
        <v>46135</v>
      </c>
      <c r="J50" s="34">
        <f>I50</f>
        <v>46135</v>
      </c>
      <c r="K50" s="28" t="str">
        <f>LEFT(J50,7)</f>
        <v>46135</v>
      </c>
      <c r="L50" s="28" t="s">
        <v>27</v>
      </c>
      <c r="M50" s="29" t="s">
        <v>28</v>
      </c>
      <c r="N50" s="28" t="s">
        <v>39</v>
      </c>
      <c r="O50" s="28" t="s">
        <v>51</v>
      </c>
      <c r="P50" s="28" t="s">
        <v>166</v>
      </c>
      <c r="Q50" s="28"/>
    </row>
    <row r="51" s="23" customFormat="1" ht="45" customHeight="1" spans="1:17">
      <c r="A51" s="28">
        <f t="shared" si="0"/>
        <v>48</v>
      </c>
      <c r="B51" s="29" t="s">
        <v>216</v>
      </c>
      <c r="C51" s="29" t="s">
        <v>20</v>
      </c>
      <c r="D51" s="29" t="s">
        <v>217</v>
      </c>
      <c r="E51" s="29" t="s">
        <v>218</v>
      </c>
      <c r="F51" s="29" t="s">
        <v>219</v>
      </c>
      <c r="G51" s="28" t="s">
        <v>36</v>
      </c>
      <c r="H51" s="29" t="s">
        <v>56</v>
      </c>
      <c r="I51" s="34" t="s">
        <v>57</v>
      </c>
      <c r="J51" s="29" t="s">
        <v>57</v>
      </c>
      <c r="K51" s="28" t="str">
        <f>LEFT(J51,7)</f>
        <v>2025-10</v>
      </c>
      <c r="L51" s="28" t="s">
        <v>27</v>
      </c>
      <c r="M51" s="29" t="s">
        <v>28</v>
      </c>
      <c r="N51" s="28" t="s">
        <v>39</v>
      </c>
      <c r="O51" s="28" t="s">
        <v>30</v>
      </c>
      <c r="P51" s="28" t="s">
        <v>166</v>
      </c>
      <c r="Q51" s="28"/>
    </row>
    <row r="52" s="23" customFormat="1" ht="45" customHeight="1" spans="1:17">
      <c r="A52" s="28">
        <f t="shared" si="0"/>
        <v>49</v>
      </c>
      <c r="B52" s="29" t="s">
        <v>220</v>
      </c>
      <c r="C52" s="29" t="s">
        <v>20</v>
      </c>
      <c r="D52" s="29" t="s">
        <v>138</v>
      </c>
      <c r="E52" s="29" t="s">
        <v>221</v>
      </c>
      <c r="F52" s="29" t="s">
        <v>222</v>
      </c>
      <c r="G52" s="28" t="s">
        <v>36</v>
      </c>
      <c r="H52" s="29" t="s">
        <v>223</v>
      </c>
      <c r="I52" s="34" t="s">
        <v>224</v>
      </c>
      <c r="J52" s="29" t="s">
        <v>224</v>
      </c>
      <c r="K52" s="28" t="str">
        <f>LEFT(J52,7)</f>
        <v>2025-10</v>
      </c>
      <c r="L52" s="28" t="s">
        <v>27</v>
      </c>
      <c r="M52" s="29" t="s">
        <v>28</v>
      </c>
      <c r="N52" s="28" t="s">
        <v>29</v>
      </c>
      <c r="O52" s="28" t="s">
        <v>30</v>
      </c>
      <c r="P52" s="28" t="s">
        <v>166</v>
      </c>
      <c r="Q52" s="28"/>
    </row>
    <row r="53" s="23" customFormat="1" ht="45" customHeight="1" spans="1:17">
      <c r="A53" s="28">
        <f t="shared" si="0"/>
        <v>50</v>
      </c>
      <c r="B53" s="29" t="s">
        <v>225</v>
      </c>
      <c r="C53" s="29" t="s">
        <v>20</v>
      </c>
      <c r="D53" s="29" t="s">
        <v>115</v>
      </c>
      <c r="E53" s="29" t="s">
        <v>116</v>
      </c>
      <c r="F53" s="29" t="s">
        <v>226</v>
      </c>
      <c r="G53" s="28" t="s">
        <v>36</v>
      </c>
      <c r="H53" s="29" t="s">
        <v>97</v>
      </c>
      <c r="I53" s="34" t="s">
        <v>98</v>
      </c>
      <c r="J53" s="29" t="s">
        <v>98</v>
      </c>
      <c r="K53" s="28" t="str">
        <f>LEFT(J53,7)</f>
        <v>2025-10</v>
      </c>
      <c r="L53" s="28" t="s">
        <v>27</v>
      </c>
      <c r="M53" s="29" t="s">
        <v>28</v>
      </c>
      <c r="N53" s="28" t="s">
        <v>39</v>
      </c>
      <c r="O53" s="28" t="s">
        <v>30</v>
      </c>
      <c r="P53" s="28" t="s">
        <v>166</v>
      </c>
      <c r="Q53" s="28"/>
    </row>
    <row r="54" s="23" customFormat="1" ht="45" customHeight="1" spans="1:17">
      <c r="A54" s="28">
        <f t="shared" si="0"/>
        <v>51</v>
      </c>
      <c r="B54" s="29" t="s">
        <v>227</v>
      </c>
      <c r="C54" s="29" t="s">
        <v>20</v>
      </c>
      <c r="D54" s="29" t="s">
        <v>228</v>
      </c>
      <c r="E54" s="29" t="s">
        <v>116</v>
      </c>
      <c r="F54" s="29" t="s">
        <v>229</v>
      </c>
      <c r="G54" s="28" t="s">
        <v>36</v>
      </c>
      <c r="H54" s="29" t="s">
        <v>97</v>
      </c>
      <c r="I54" s="34" t="s">
        <v>98</v>
      </c>
      <c r="J54" s="29" t="s">
        <v>98</v>
      </c>
      <c r="K54" s="28" t="str">
        <f>LEFT(J54,7)</f>
        <v>2025-10</v>
      </c>
      <c r="L54" s="28" t="s">
        <v>27</v>
      </c>
      <c r="M54" s="29" t="s">
        <v>28</v>
      </c>
      <c r="N54" s="28" t="s">
        <v>39</v>
      </c>
      <c r="O54" s="28" t="s">
        <v>30</v>
      </c>
      <c r="P54" s="28" t="s">
        <v>166</v>
      </c>
      <c r="Q54" s="28"/>
    </row>
    <row r="55" s="23" customFormat="1" ht="45" customHeight="1" spans="1:17">
      <c r="A55" s="28">
        <f t="shared" si="0"/>
        <v>52</v>
      </c>
      <c r="B55" s="29" t="s">
        <v>230</v>
      </c>
      <c r="C55" s="29" t="s">
        <v>20</v>
      </c>
      <c r="D55" s="29" t="s">
        <v>48</v>
      </c>
      <c r="E55" s="29" t="s">
        <v>49</v>
      </c>
      <c r="F55" s="29" t="s">
        <v>231</v>
      </c>
      <c r="G55" s="28" t="s">
        <v>36</v>
      </c>
      <c r="H55" s="30">
        <v>45771</v>
      </c>
      <c r="I55" s="34">
        <v>46135</v>
      </c>
      <c r="J55" s="34">
        <f>I55</f>
        <v>46135</v>
      </c>
      <c r="K55" s="28" t="str">
        <f>LEFT(J55,7)</f>
        <v>46135</v>
      </c>
      <c r="L55" s="28" t="s">
        <v>27</v>
      </c>
      <c r="M55" s="29" t="s">
        <v>28</v>
      </c>
      <c r="N55" s="28" t="s">
        <v>39</v>
      </c>
      <c r="O55" s="28" t="s">
        <v>51</v>
      </c>
      <c r="P55" s="28" t="s">
        <v>166</v>
      </c>
      <c r="Q55" s="28"/>
    </row>
    <row r="56" s="23" customFormat="1" ht="45" customHeight="1" spans="1:17">
      <c r="A56" s="28">
        <f t="shared" si="0"/>
        <v>53</v>
      </c>
      <c r="B56" s="29" t="s">
        <v>232</v>
      </c>
      <c r="C56" s="29" t="s">
        <v>20</v>
      </c>
      <c r="D56" s="29" t="s">
        <v>53</v>
      </c>
      <c r="E56" s="29" t="s">
        <v>233</v>
      </c>
      <c r="F56" s="29" t="s">
        <v>234</v>
      </c>
      <c r="G56" s="28" t="s">
        <v>36</v>
      </c>
      <c r="H56" s="29" t="s">
        <v>56</v>
      </c>
      <c r="I56" s="34" t="s">
        <v>57</v>
      </c>
      <c r="J56" s="29" t="s">
        <v>57</v>
      </c>
      <c r="K56" s="28" t="str">
        <f>LEFT(J56,7)</f>
        <v>2025-10</v>
      </c>
      <c r="L56" s="28" t="s">
        <v>27</v>
      </c>
      <c r="M56" s="29" t="s">
        <v>28</v>
      </c>
      <c r="N56" s="28" t="s">
        <v>39</v>
      </c>
      <c r="O56" s="28" t="s">
        <v>30</v>
      </c>
      <c r="P56" s="28" t="s">
        <v>166</v>
      </c>
      <c r="Q56" s="28"/>
    </row>
    <row r="57" s="23" customFormat="1" ht="45" customHeight="1" spans="1:17">
      <c r="A57" s="28">
        <f t="shared" si="0"/>
        <v>54</v>
      </c>
      <c r="B57" s="29" t="s">
        <v>235</v>
      </c>
      <c r="C57" s="29" t="s">
        <v>20</v>
      </c>
      <c r="D57" s="29" t="s">
        <v>53</v>
      </c>
      <c r="E57" s="29" t="s">
        <v>54</v>
      </c>
      <c r="F57" s="29" t="s">
        <v>236</v>
      </c>
      <c r="G57" s="28" t="s">
        <v>36</v>
      </c>
      <c r="H57" s="29" t="s">
        <v>56</v>
      </c>
      <c r="I57" s="34" t="s">
        <v>57</v>
      </c>
      <c r="J57" s="29" t="s">
        <v>57</v>
      </c>
      <c r="K57" s="28" t="str">
        <f>LEFT(J57,7)</f>
        <v>2025-10</v>
      </c>
      <c r="L57" s="28" t="s">
        <v>27</v>
      </c>
      <c r="M57" s="29" t="s">
        <v>28</v>
      </c>
      <c r="N57" s="28" t="s">
        <v>39</v>
      </c>
      <c r="O57" s="28" t="s">
        <v>30</v>
      </c>
      <c r="P57" s="28" t="s">
        <v>166</v>
      </c>
      <c r="Q57" s="28"/>
    </row>
    <row r="58" s="23" customFormat="1" ht="45" customHeight="1" spans="1:17">
      <c r="A58" s="28">
        <f t="shared" si="0"/>
        <v>55</v>
      </c>
      <c r="B58" s="29" t="s">
        <v>237</v>
      </c>
      <c r="C58" s="29" t="s">
        <v>20</v>
      </c>
      <c r="D58" s="29" t="s">
        <v>238</v>
      </c>
      <c r="E58" s="29" t="s">
        <v>239</v>
      </c>
      <c r="F58" s="29" t="s">
        <v>240</v>
      </c>
      <c r="G58" s="28" t="s">
        <v>36</v>
      </c>
      <c r="H58" s="29" t="s">
        <v>56</v>
      </c>
      <c r="I58" s="34" t="s">
        <v>57</v>
      </c>
      <c r="J58" s="29" t="s">
        <v>57</v>
      </c>
      <c r="K58" s="28" t="str">
        <f>LEFT(J58,7)</f>
        <v>2025-10</v>
      </c>
      <c r="L58" s="28" t="s">
        <v>27</v>
      </c>
      <c r="M58" s="29" t="s">
        <v>28</v>
      </c>
      <c r="N58" s="28" t="s">
        <v>39</v>
      </c>
      <c r="O58" s="28" t="s">
        <v>30</v>
      </c>
      <c r="P58" s="28" t="s">
        <v>166</v>
      </c>
      <c r="Q58" s="28"/>
    </row>
    <row r="59" s="23" customFormat="1" ht="45" customHeight="1" spans="1:17">
      <c r="A59" s="28">
        <f t="shared" si="0"/>
        <v>56</v>
      </c>
      <c r="B59" s="29" t="s">
        <v>241</v>
      </c>
      <c r="C59" s="29" t="s">
        <v>20</v>
      </c>
      <c r="D59" s="29" t="s">
        <v>242</v>
      </c>
      <c r="E59" s="29" t="s">
        <v>243</v>
      </c>
      <c r="F59" s="29" t="s">
        <v>244</v>
      </c>
      <c r="G59" s="28" t="s">
        <v>36</v>
      </c>
      <c r="H59" s="29" t="s">
        <v>245</v>
      </c>
      <c r="I59" s="34" t="s">
        <v>246</v>
      </c>
      <c r="J59" s="29" t="s">
        <v>246</v>
      </c>
      <c r="K59" s="28" t="str">
        <f>LEFT(J59,7)</f>
        <v>2026-02</v>
      </c>
      <c r="L59" s="28" t="s">
        <v>27</v>
      </c>
      <c r="M59" s="29" t="s">
        <v>28</v>
      </c>
      <c r="N59" s="28" t="s">
        <v>39</v>
      </c>
      <c r="O59" s="28" t="s">
        <v>30</v>
      </c>
      <c r="P59" s="28" t="s">
        <v>247</v>
      </c>
      <c r="Q59" s="29" t="s">
        <v>248</v>
      </c>
    </row>
    <row r="60" s="23" customFormat="1" ht="45" customHeight="1" spans="1:17">
      <c r="A60" s="28">
        <f t="shared" si="0"/>
        <v>57</v>
      </c>
      <c r="B60" s="29" t="s">
        <v>249</v>
      </c>
      <c r="C60" s="29" t="s">
        <v>20</v>
      </c>
      <c r="D60" s="29" t="s">
        <v>200</v>
      </c>
      <c r="E60" s="29" t="s">
        <v>250</v>
      </c>
      <c r="F60" s="29" t="s">
        <v>251</v>
      </c>
      <c r="G60" s="28" t="s">
        <v>36</v>
      </c>
      <c r="H60" s="29" t="s">
        <v>203</v>
      </c>
      <c r="I60" s="34" t="s">
        <v>204</v>
      </c>
      <c r="J60" s="29" t="s">
        <v>204</v>
      </c>
      <c r="K60" s="28" t="str">
        <f>LEFT(J60,7)</f>
        <v>2025-10</v>
      </c>
      <c r="L60" s="28" t="s">
        <v>27</v>
      </c>
      <c r="M60" s="29" t="s">
        <v>28</v>
      </c>
      <c r="N60" s="28" t="s">
        <v>29</v>
      </c>
      <c r="O60" s="28" t="s">
        <v>30</v>
      </c>
      <c r="P60" s="28" t="s">
        <v>166</v>
      </c>
      <c r="Q60" s="28"/>
    </row>
    <row r="61" s="23" customFormat="1" ht="45" customHeight="1" spans="1:17">
      <c r="A61" s="28">
        <f t="shared" si="0"/>
        <v>58</v>
      </c>
      <c r="B61" s="29" t="s">
        <v>252</v>
      </c>
      <c r="C61" s="29" t="s">
        <v>20</v>
      </c>
      <c r="D61" s="29" t="s">
        <v>253</v>
      </c>
      <c r="E61" s="29" t="s">
        <v>254</v>
      </c>
      <c r="F61" s="29" t="s">
        <v>255</v>
      </c>
      <c r="G61" s="28" t="s">
        <v>36</v>
      </c>
      <c r="H61" s="29" t="s">
        <v>56</v>
      </c>
      <c r="I61" s="34" t="s">
        <v>57</v>
      </c>
      <c r="J61" s="29" t="s">
        <v>57</v>
      </c>
      <c r="K61" s="28" t="str">
        <f>LEFT(J61,7)</f>
        <v>2025-10</v>
      </c>
      <c r="L61" s="28" t="s">
        <v>27</v>
      </c>
      <c r="M61" s="29" t="s">
        <v>28</v>
      </c>
      <c r="N61" s="28" t="s">
        <v>39</v>
      </c>
      <c r="O61" s="28" t="s">
        <v>30</v>
      </c>
      <c r="P61" s="28" t="s">
        <v>247</v>
      </c>
      <c r="Q61" s="29" t="s">
        <v>256</v>
      </c>
    </row>
    <row r="62" s="23" customFormat="1" ht="45" customHeight="1" spans="1:17">
      <c r="A62" s="28">
        <f t="shared" si="0"/>
        <v>59</v>
      </c>
      <c r="B62" s="29" t="s">
        <v>257</v>
      </c>
      <c r="C62" s="29" t="s">
        <v>20</v>
      </c>
      <c r="D62" s="29" t="s">
        <v>258</v>
      </c>
      <c r="E62" s="29" t="s">
        <v>259</v>
      </c>
      <c r="F62" s="29" t="s">
        <v>260</v>
      </c>
      <c r="G62" s="28" t="s">
        <v>24</v>
      </c>
      <c r="H62" s="29" t="s">
        <v>56</v>
      </c>
      <c r="I62" s="34" t="s">
        <v>57</v>
      </c>
      <c r="J62" s="29" t="s">
        <v>57</v>
      </c>
      <c r="K62" s="28" t="str">
        <f>LEFT(J62,7)</f>
        <v>2025-10</v>
      </c>
      <c r="L62" s="28" t="s">
        <v>27</v>
      </c>
      <c r="M62" s="29" t="s">
        <v>28</v>
      </c>
      <c r="N62" s="28" t="s">
        <v>39</v>
      </c>
      <c r="O62" s="28" t="s">
        <v>30</v>
      </c>
      <c r="P62" s="28" t="s">
        <v>261</v>
      </c>
      <c r="Q62" s="28"/>
    </row>
    <row r="63" s="23" customFormat="1" ht="45" customHeight="1" spans="1:17">
      <c r="A63" s="28">
        <f t="shared" si="0"/>
        <v>60</v>
      </c>
      <c r="B63" s="29" t="s">
        <v>262</v>
      </c>
      <c r="C63" s="29" t="s">
        <v>20</v>
      </c>
      <c r="D63" s="29" t="s">
        <v>258</v>
      </c>
      <c r="E63" s="29" t="s">
        <v>259</v>
      </c>
      <c r="F63" s="29" t="s">
        <v>263</v>
      </c>
      <c r="G63" s="28" t="s">
        <v>24</v>
      </c>
      <c r="H63" s="29" t="s">
        <v>56</v>
      </c>
      <c r="I63" s="34" t="s">
        <v>57</v>
      </c>
      <c r="J63" s="29" t="s">
        <v>57</v>
      </c>
      <c r="K63" s="28" t="str">
        <f>LEFT(J63,7)</f>
        <v>2025-10</v>
      </c>
      <c r="L63" s="28" t="s">
        <v>27</v>
      </c>
      <c r="M63" s="29" t="s">
        <v>28</v>
      </c>
      <c r="N63" s="28" t="s">
        <v>39</v>
      </c>
      <c r="O63" s="28" t="s">
        <v>30</v>
      </c>
      <c r="P63" s="28" t="s">
        <v>261</v>
      </c>
      <c r="Q63" s="28"/>
    </row>
    <row r="64" s="23" customFormat="1" ht="45" customHeight="1" spans="1:17">
      <c r="A64" s="28">
        <f t="shared" si="0"/>
        <v>61</v>
      </c>
      <c r="B64" s="29" t="s">
        <v>264</v>
      </c>
      <c r="C64" s="29" t="s">
        <v>20</v>
      </c>
      <c r="D64" s="29" t="s">
        <v>200</v>
      </c>
      <c r="E64" s="29" t="s">
        <v>250</v>
      </c>
      <c r="F64" s="29" t="s">
        <v>265</v>
      </c>
      <c r="G64" s="28" t="s">
        <v>36</v>
      </c>
      <c r="H64" s="29" t="s">
        <v>203</v>
      </c>
      <c r="I64" s="34" t="s">
        <v>204</v>
      </c>
      <c r="J64" s="29" t="s">
        <v>204</v>
      </c>
      <c r="K64" s="28" t="str">
        <f>LEFT(J64,7)</f>
        <v>2025-10</v>
      </c>
      <c r="L64" s="28" t="s">
        <v>27</v>
      </c>
      <c r="M64" s="29" t="s">
        <v>28</v>
      </c>
      <c r="N64" s="28" t="s">
        <v>29</v>
      </c>
      <c r="O64" s="28" t="s">
        <v>30</v>
      </c>
      <c r="P64" s="28" t="s">
        <v>166</v>
      </c>
      <c r="Q64" s="28"/>
    </row>
    <row r="65" s="23" customFormat="1" ht="45" customHeight="1" spans="1:17">
      <c r="A65" s="28">
        <f t="shared" si="0"/>
        <v>62</v>
      </c>
      <c r="B65" s="29" t="s">
        <v>266</v>
      </c>
      <c r="C65" s="29" t="s">
        <v>20</v>
      </c>
      <c r="D65" s="29" t="s">
        <v>267</v>
      </c>
      <c r="E65" s="29" t="s">
        <v>268</v>
      </c>
      <c r="F65" s="29" t="s">
        <v>269</v>
      </c>
      <c r="G65" s="28" t="s">
        <v>36</v>
      </c>
      <c r="H65" s="29" t="s">
        <v>203</v>
      </c>
      <c r="I65" s="34" t="s">
        <v>204</v>
      </c>
      <c r="J65" s="29" t="s">
        <v>204</v>
      </c>
      <c r="K65" s="28" t="str">
        <f>LEFT(J65,7)</f>
        <v>2025-10</v>
      </c>
      <c r="L65" s="28" t="s">
        <v>27</v>
      </c>
      <c r="M65" s="29" t="s">
        <v>28</v>
      </c>
      <c r="N65" s="28" t="s">
        <v>39</v>
      </c>
      <c r="O65" s="28" t="s">
        <v>30</v>
      </c>
      <c r="P65" s="28" t="s">
        <v>166</v>
      </c>
      <c r="Q65" s="28"/>
    </row>
    <row r="66" s="23" customFormat="1" ht="45" customHeight="1" spans="1:17">
      <c r="A66" s="28">
        <f t="shared" si="0"/>
        <v>63</v>
      </c>
      <c r="B66" s="29" t="s">
        <v>270</v>
      </c>
      <c r="C66" s="29" t="s">
        <v>20</v>
      </c>
      <c r="D66" s="29" t="s">
        <v>271</v>
      </c>
      <c r="E66" s="29" t="s">
        <v>272</v>
      </c>
      <c r="F66" s="29" t="s">
        <v>273</v>
      </c>
      <c r="G66" s="28" t="s">
        <v>36</v>
      </c>
      <c r="H66" s="29" t="s">
        <v>203</v>
      </c>
      <c r="I66" s="34" t="s">
        <v>204</v>
      </c>
      <c r="J66" s="29" t="s">
        <v>204</v>
      </c>
      <c r="K66" s="28" t="str">
        <f>LEFT(J66,7)</f>
        <v>2025-10</v>
      </c>
      <c r="L66" s="28" t="s">
        <v>27</v>
      </c>
      <c r="M66" s="29" t="s">
        <v>28</v>
      </c>
      <c r="N66" s="28" t="s">
        <v>39</v>
      </c>
      <c r="O66" s="28" t="s">
        <v>30</v>
      </c>
      <c r="P66" s="28" t="s">
        <v>247</v>
      </c>
      <c r="Q66" s="29" t="s">
        <v>256</v>
      </c>
    </row>
    <row r="67" s="23" customFormat="1" ht="45" customHeight="1" spans="1:17">
      <c r="A67" s="28">
        <f t="shared" si="0"/>
        <v>64</v>
      </c>
      <c r="B67" s="29" t="s">
        <v>274</v>
      </c>
      <c r="C67" s="29" t="s">
        <v>20</v>
      </c>
      <c r="D67" s="29" t="s">
        <v>100</v>
      </c>
      <c r="E67" s="29" t="s">
        <v>275</v>
      </c>
      <c r="F67" s="29" t="s">
        <v>276</v>
      </c>
      <c r="G67" s="28" t="s">
        <v>77</v>
      </c>
      <c r="H67" s="30">
        <v>45771</v>
      </c>
      <c r="I67" s="34">
        <v>46135</v>
      </c>
      <c r="J67" s="34">
        <f>I67</f>
        <v>46135</v>
      </c>
      <c r="K67" s="28" t="str">
        <f>LEFT(J67,7)</f>
        <v>46135</v>
      </c>
      <c r="L67" s="28" t="s">
        <v>27</v>
      </c>
      <c r="M67" s="29" t="s">
        <v>28</v>
      </c>
      <c r="N67" s="28" t="s">
        <v>29</v>
      </c>
      <c r="O67" s="28" t="s">
        <v>51</v>
      </c>
      <c r="P67" s="28" t="s">
        <v>166</v>
      </c>
      <c r="Q67" s="28"/>
    </row>
    <row r="68" s="23" customFormat="1" ht="45" customHeight="1" spans="1:17">
      <c r="A68" s="28">
        <f t="shared" si="0"/>
        <v>65</v>
      </c>
      <c r="B68" s="29" t="s">
        <v>277</v>
      </c>
      <c r="C68" s="29" t="s">
        <v>20</v>
      </c>
      <c r="D68" s="29" t="s">
        <v>271</v>
      </c>
      <c r="E68" s="29" t="s">
        <v>278</v>
      </c>
      <c r="F68" s="29" t="s">
        <v>279</v>
      </c>
      <c r="G68" s="28" t="s">
        <v>36</v>
      </c>
      <c r="H68" s="29" t="s">
        <v>223</v>
      </c>
      <c r="I68" s="34" t="s">
        <v>224</v>
      </c>
      <c r="J68" s="29" t="s">
        <v>224</v>
      </c>
      <c r="K68" s="28" t="str">
        <f>LEFT(J68,7)</f>
        <v>2025-10</v>
      </c>
      <c r="L68" s="28" t="s">
        <v>27</v>
      </c>
      <c r="M68" s="29" t="s">
        <v>28</v>
      </c>
      <c r="N68" s="28" t="s">
        <v>39</v>
      </c>
      <c r="O68" s="28" t="s">
        <v>30</v>
      </c>
      <c r="P68" s="28" t="s">
        <v>247</v>
      </c>
      <c r="Q68" s="29" t="s">
        <v>256</v>
      </c>
    </row>
    <row r="69" s="23" customFormat="1" ht="45" customHeight="1" spans="1:17">
      <c r="A69" s="28">
        <f t="shared" ref="A69:A132" si="2">ROW()-3</f>
        <v>66</v>
      </c>
      <c r="B69" s="29" t="s">
        <v>280</v>
      </c>
      <c r="C69" s="29" t="s">
        <v>20</v>
      </c>
      <c r="D69" s="29" t="s">
        <v>271</v>
      </c>
      <c r="E69" s="29" t="s">
        <v>278</v>
      </c>
      <c r="F69" s="29" t="s">
        <v>281</v>
      </c>
      <c r="G69" s="28" t="s">
        <v>36</v>
      </c>
      <c r="H69" s="29" t="s">
        <v>282</v>
      </c>
      <c r="I69" s="34" t="s">
        <v>283</v>
      </c>
      <c r="J69" s="29" t="s">
        <v>283</v>
      </c>
      <c r="K69" s="28" t="str">
        <f>LEFT(J69,7)</f>
        <v>2025-10</v>
      </c>
      <c r="L69" s="28" t="s">
        <v>27</v>
      </c>
      <c r="M69" s="29" t="s">
        <v>28</v>
      </c>
      <c r="N69" s="28" t="s">
        <v>39</v>
      </c>
      <c r="O69" s="28" t="s">
        <v>30</v>
      </c>
      <c r="P69" s="28" t="s">
        <v>247</v>
      </c>
      <c r="Q69" s="29" t="s">
        <v>256</v>
      </c>
    </row>
    <row r="70" s="23" customFormat="1" ht="45" customHeight="1" spans="1:17">
      <c r="A70" s="28">
        <f t="shared" si="2"/>
        <v>67</v>
      </c>
      <c r="B70" s="29" t="s">
        <v>284</v>
      </c>
      <c r="C70" s="29" t="s">
        <v>20</v>
      </c>
      <c r="D70" s="29" t="s">
        <v>253</v>
      </c>
      <c r="E70" s="29" t="s">
        <v>254</v>
      </c>
      <c r="F70" s="29" t="s">
        <v>285</v>
      </c>
      <c r="G70" s="28" t="s">
        <v>36</v>
      </c>
      <c r="H70" s="29" t="s">
        <v>56</v>
      </c>
      <c r="I70" s="34" t="s">
        <v>57</v>
      </c>
      <c r="J70" s="29" t="s">
        <v>57</v>
      </c>
      <c r="K70" s="28" t="str">
        <f>LEFT(J70,7)</f>
        <v>2025-10</v>
      </c>
      <c r="L70" s="28" t="s">
        <v>27</v>
      </c>
      <c r="M70" s="29" t="s">
        <v>28</v>
      </c>
      <c r="N70" s="28" t="s">
        <v>39</v>
      </c>
      <c r="O70" s="28" t="s">
        <v>30</v>
      </c>
      <c r="P70" s="28" t="s">
        <v>247</v>
      </c>
      <c r="Q70" s="29" t="s">
        <v>256</v>
      </c>
    </row>
    <row r="71" s="23" customFormat="1" ht="45" customHeight="1" spans="1:17">
      <c r="A71" s="28">
        <f t="shared" si="2"/>
        <v>68</v>
      </c>
      <c r="B71" s="29" t="s">
        <v>286</v>
      </c>
      <c r="C71" s="29" t="s">
        <v>20</v>
      </c>
      <c r="D71" s="29" t="s">
        <v>253</v>
      </c>
      <c r="E71" s="29" t="s">
        <v>254</v>
      </c>
      <c r="F71" s="29" t="s">
        <v>287</v>
      </c>
      <c r="G71" s="28" t="s">
        <v>36</v>
      </c>
      <c r="H71" s="29" t="s">
        <v>56</v>
      </c>
      <c r="I71" s="34" t="s">
        <v>57</v>
      </c>
      <c r="J71" s="29" t="s">
        <v>57</v>
      </c>
      <c r="K71" s="28" t="str">
        <f>LEFT(J71,7)</f>
        <v>2025-10</v>
      </c>
      <c r="L71" s="28" t="s">
        <v>27</v>
      </c>
      <c r="M71" s="29" t="s">
        <v>28</v>
      </c>
      <c r="N71" s="28" t="s">
        <v>39</v>
      </c>
      <c r="O71" s="28" t="s">
        <v>30</v>
      </c>
      <c r="P71" s="28" t="s">
        <v>247</v>
      </c>
      <c r="Q71" s="29" t="s">
        <v>256</v>
      </c>
    </row>
    <row r="72" s="23" customFormat="1" ht="45" customHeight="1" spans="1:17">
      <c r="A72" s="28">
        <f t="shared" si="2"/>
        <v>69</v>
      </c>
      <c r="B72" s="29" t="s">
        <v>288</v>
      </c>
      <c r="C72" s="29" t="s">
        <v>20</v>
      </c>
      <c r="D72" s="29" t="s">
        <v>74</v>
      </c>
      <c r="E72" s="29" t="s">
        <v>289</v>
      </c>
      <c r="F72" s="29" t="s">
        <v>290</v>
      </c>
      <c r="G72" s="28" t="s">
        <v>77</v>
      </c>
      <c r="H72" s="29" t="s">
        <v>291</v>
      </c>
      <c r="I72" s="34" t="s">
        <v>292</v>
      </c>
      <c r="J72" s="29" t="s">
        <v>292</v>
      </c>
      <c r="K72" s="28" t="str">
        <f>LEFT(J72,7)</f>
        <v>2025-11</v>
      </c>
      <c r="L72" s="28" t="s">
        <v>27</v>
      </c>
      <c r="M72" s="29" t="s">
        <v>28</v>
      </c>
      <c r="N72" s="28" t="s">
        <v>29</v>
      </c>
      <c r="O72" s="28" t="s">
        <v>51</v>
      </c>
      <c r="P72" s="28" t="s">
        <v>293</v>
      </c>
      <c r="Q72" s="28"/>
    </row>
    <row r="73" s="23" customFormat="1" ht="45" customHeight="1" spans="1:17">
      <c r="A73" s="28">
        <f t="shared" si="2"/>
        <v>70</v>
      </c>
      <c r="B73" s="29" t="s">
        <v>294</v>
      </c>
      <c r="C73" s="29" t="s">
        <v>20</v>
      </c>
      <c r="D73" s="29" t="s">
        <v>295</v>
      </c>
      <c r="E73" s="29" t="s">
        <v>296</v>
      </c>
      <c r="F73" s="29" t="s">
        <v>297</v>
      </c>
      <c r="G73" s="28" t="s">
        <v>77</v>
      </c>
      <c r="H73" s="29" t="s">
        <v>298</v>
      </c>
      <c r="I73" s="34" t="s">
        <v>299</v>
      </c>
      <c r="J73" s="29" t="s">
        <v>299</v>
      </c>
      <c r="K73" s="28" t="str">
        <f>LEFT(J73,7)</f>
        <v>2026-03</v>
      </c>
      <c r="L73" s="28" t="s">
        <v>27</v>
      </c>
      <c r="M73" s="29" t="s">
        <v>28</v>
      </c>
      <c r="N73" s="28" t="s">
        <v>29</v>
      </c>
      <c r="O73" s="28" t="s">
        <v>30</v>
      </c>
      <c r="P73" s="28" t="s">
        <v>166</v>
      </c>
      <c r="Q73" s="28"/>
    </row>
    <row r="74" s="23" customFormat="1" ht="45" customHeight="1" spans="1:17">
      <c r="A74" s="28">
        <f t="shared" si="2"/>
        <v>71</v>
      </c>
      <c r="B74" s="29" t="s">
        <v>300</v>
      </c>
      <c r="C74" s="29" t="s">
        <v>20</v>
      </c>
      <c r="D74" s="29" t="s">
        <v>271</v>
      </c>
      <c r="E74" s="29" t="s">
        <v>272</v>
      </c>
      <c r="F74" s="29" t="s">
        <v>301</v>
      </c>
      <c r="G74" s="28" t="s">
        <v>36</v>
      </c>
      <c r="H74" s="29" t="s">
        <v>56</v>
      </c>
      <c r="I74" s="34" t="s">
        <v>57</v>
      </c>
      <c r="J74" s="29" t="s">
        <v>57</v>
      </c>
      <c r="K74" s="28" t="str">
        <f>LEFT(J74,7)</f>
        <v>2025-10</v>
      </c>
      <c r="L74" s="28" t="s">
        <v>27</v>
      </c>
      <c r="M74" s="29" t="s">
        <v>28</v>
      </c>
      <c r="N74" s="28" t="s">
        <v>39</v>
      </c>
      <c r="O74" s="28" t="s">
        <v>30</v>
      </c>
      <c r="P74" s="28" t="s">
        <v>247</v>
      </c>
      <c r="Q74" s="29" t="s">
        <v>256</v>
      </c>
    </row>
    <row r="75" s="23" customFormat="1" ht="45" customHeight="1" spans="1:17">
      <c r="A75" s="28">
        <f t="shared" si="2"/>
        <v>72</v>
      </c>
      <c r="B75" s="29" t="s">
        <v>302</v>
      </c>
      <c r="C75" s="29" t="s">
        <v>20</v>
      </c>
      <c r="D75" s="29" t="s">
        <v>271</v>
      </c>
      <c r="E75" s="29" t="s">
        <v>278</v>
      </c>
      <c r="F75" s="29" t="s">
        <v>303</v>
      </c>
      <c r="G75" s="28" t="s">
        <v>36</v>
      </c>
      <c r="H75" s="29" t="s">
        <v>56</v>
      </c>
      <c r="I75" s="34" t="s">
        <v>57</v>
      </c>
      <c r="J75" s="29" t="s">
        <v>57</v>
      </c>
      <c r="K75" s="28" t="str">
        <f>LEFT(J75,7)</f>
        <v>2025-10</v>
      </c>
      <c r="L75" s="28" t="s">
        <v>27</v>
      </c>
      <c r="M75" s="29" t="s">
        <v>28</v>
      </c>
      <c r="N75" s="28" t="s">
        <v>39</v>
      </c>
      <c r="O75" s="28" t="s">
        <v>30</v>
      </c>
      <c r="P75" s="28" t="s">
        <v>247</v>
      </c>
      <c r="Q75" s="29" t="s">
        <v>256</v>
      </c>
    </row>
    <row r="76" s="23" customFormat="1" ht="45" customHeight="1" spans="1:17">
      <c r="A76" s="28">
        <f t="shared" si="2"/>
        <v>73</v>
      </c>
      <c r="B76" s="29" t="s">
        <v>304</v>
      </c>
      <c r="C76" s="29" t="s">
        <v>20</v>
      </c>
      <c r="D76" s="29" t="s">
        <v>305</v>
      </c>
      <c r="E76" s="29" t="s">
        <v>306</v>
      </c>
      <c r="F76" s="29" t="s">
        <v>307</v>
      </c>
      <c r="G76" s="28" t="s">
        <v>24</v>
      </c>
      <c r="H76" s="29" t="s">
        <v>56</v>
      </c>
      <c r="I76" s="34" t="s">
        <v>57</v>
      </c>
      <c r="J76" s="29" t="s">
        <v>57</v>
      </c>
      <c r="K76" s="28" t="str">
        <f>LEFT(J76,7)</f>
        <v>2025-10</v>
      </c>
      <c r="L76" s="28" t="s">
        <v>27</v>
      </c>
      <c r="M76" s="29" t="s">
        <v>28</v>
      </c>
      <c r="N76" s="28" t="s">
        <v>39</v>
      </c>
      <c r="O76" s="28" t="s">
        <v>30</v>
      </c>
      <c r="P76" s="28" t="s">
        <v>166</v>
      </c>
      <c r="Q76" s="28"/>
    </row>
    <row r="77" s="23" customFormat="1" ht="45" customHeight="1" spans="1:17">
      <c r="A77" s="28">
        <f t="shared" si="2"/>
        <v>74</v>
      </c>
      <c r="B77" s="29" t="s">
        <v>308</v>
      </c>
      <c r="C77" s="29" t="s">
        <v>20</v>
      </c>
      <c r="D77" s="29" t="s">
        <v>74</v>
      </c>
      <c r="E77" s="29" t="s">
        <v>309</v>
      </c>
      <c r="F77" s="29" t="s">
        <v>310</v>
      </c>
      <c r="G77" s="28" t="s">
        <v>77</v>
      </c>
      <c r="H77" s="29" t="s">
        <v>291</v>
      </c>
      <c r="I77" s="34" t="s">
        <v>292</v>
      </c>
      <c r="J77" s="29" t="s">
        <v>292</v>
      </c>
      <c r="K77" s="28" t="str">
        <f>LEFT(J77,7)</f>
        <v>2025-11</v>
      </c>
      <c r="L77" s="28" t="s">
        <v>27</v>
      </c>
      <c r="M77" s="29" t="s">
        <v>28</v>
      </c>
      <c r="N77" s="28" t="s">
        <v>29</v>
      </c>
      <c r="O77" s="28" t="s">
        <v>51</v>
      </c>
      <c r="P77" s="28" t="s">
        <v>293</v>
      </c>
      <c r="Q77" s="28"/>
    </row>
    <row r="78" s="23" customFormat="1" ht="45" customHeight="1" spans="1:17">
      <c r="A78" s="28">
        <f t="shared" si="2"/>
        <v>75</v>
      </c>
      <c r="B78" s="29" t="s">
        <v>311</v>
      </c>
      <c r="C78" s="29" t="s">
        <v>20</v>
      </c>
      <c r="D78" s="29" t="s">
        <v>312</v>
      </c>
      <c r="E78" s="29" t="s">
        <v>313</v>
      </c>
      <c r="F78" s="29" t="s">
        <v>314</v>
      </c>
      <c r="G78" s="28" t="s">
        <v>315</v>
      </c>
      <c r="H78" s="30">
        <v>45764</v>
      </c>
      <c r="I78" s="34">
        <v>46128</v>
      </c>
      <c r="J78" s="35">
        <f>I78</f>
        <v>46128</v>
      </c>
      <c r="K78" s="28" t="str">
        <f>LEFT(J78,7)</f>
        <v>46128</v>
      </c>
      <c r="L78" s="28" t="s">
        <v>27</v>
      </c>
      <c r="M78" s="29" t="s">
        <v>28</v>
      </c>
      <c r="N78" s="28" t="s">
        <v>39</v>
      </c>
      <c r="O78" s="28" t="s">
        <v>30</v>
      </c>
      <c r="P78" s="28" t="s">
        <v>247</v>
      </c>
      <c r="Q78" s="29" t="s">
        <v>248</v>
      </c>
    </row>
    <row r="79" s="23" customFormat="1" ht="45" customHeight="1" spans="1:17">
      <c r="A79" s="28">
        <f t="shared" si="2"/>
        <v>76</v>
      </c>
      <c r="B79" s="29" t="s">
        <v>316</v>
      </c>
      <c r="C79" s="29" t="s">
        <v>20</v>
      </c>
      <c r="D79" s="29" t="s">
        <v>317</v>
      </c>
      <c r="E79" s="29" t="s">
        <v>318</v>
      </c>
      <c r="F79" s="29" t="s">
        <v>319</v>
      </c>
      <c r="G79" s="28" t="s">
        <v>36</v>
      </c>
      <c r="H79" s="29" t="s">
        <v>56</v>
      </c>
      <c r="I79" s="34" t="s">
        <v>57</v>
      </c>
      <c r="J79" s="29" t="s">
        <v>57</v>
      </c>
      <c r="K79" s="28" t="str">
        <f>LEFT(J79,7)</f>
        <v>2025-10</v>
      </c>
      <c r="L79" s="28" t="s">
        <v>27</v>
      </c>
      <c r="M79" s="29" t="s">
        <v>28</v>
      </c>
      <c r="N79" s="28" t="s">
        <v>29</v>
      </c>
      <c r="O79" s="28" t="s">
        <v>30</v>
      </c>
      <c r="P79" s="28" t="s">
        <v>143</v>
      </c>
      <c r="Q79" s="28"/>
    </row>
    <row r="80" s="23" customFormat="1" ht="45" customHeight="1" spans="1:17">
      <c r="A80" s="28">
        <f t="shared" si="2"/>
        <v>77</v>
      </c>
      <c r="B80" s="29" t="s">
        <v>320</v>
      </c>
      <c r="C80" s="29" t="s">
        <v>20</v>
      </c>
      <c r="D80" s="29" t="s">
        <v>321</v>
      </c>
      <c r="E80" s="29" t="s">
        <v>322</v>
      </c>
      <c r="F80" s="29" t="s">
        <v>323</v>
      </c>
      <c r="G80" s="28" t="s">
        <v>24</v>
      </c>
      <c r="H80" s="29" t="s">
        <v>324</v>
      </c>
      <c r="I80" s="34" t="s">
        <v>325</v>
      </c>
      <c r="J80" s="29" t="s">
        <v>325</v>
      </c>
      <c r="K80" s="28" t="str">
        <f>LEFT(J80,7)</f>
        <v>2026-03</v>
      </c>
      <c r="L80" s="28" t="s">
        <v>27</v>
      </c>
      <c r="M80" s="29" t="s">
        <v>28</v>
      </c>
      <c r="N80" s="28" t="s">
        <v>39</v>
      </c>
      <c r="O80" s="28" t="s">
        <v>30</v>
      </c>
      <c r="P80" s="28" t="s">
        <v>166</v>
      </c>
      <c r="Q80" s="28"/>
    </row>
    <row r="81" s="23" customFormat="1" ht="45" customHeight="1" spans="1:17">
      <c r="A81" s="28">
        <f t="shared" si="2"/>
        <v>78</v>
      </c>
      <c r="B81" s="29" t="s">
        <v>326</v>
      </c>
      <c r="C81" s="29" t="s">
        <v>20</v>
      </c>
      <c r="D81" s="29" t="s">
        <v>321</v>
      </c>
      <c r="E81" s="29" t="s">
        <v>322</v>
      </c>
      <c r="F81" s="29" t="s">
        <v>327</v>
      </c>
      <c r="G81" s="28" t="s">
        <v>24</v>
      </c>
      <c r="H81" s="29" t="s">
        <v>324</v>
      </c>
      <c r="I81" s="34" t="s">
        <v>325</v>
      </c>
      <c r="J81" s="29" t="s">
        <v>325</v>
      </c>
      <c r="K81" s="28" t="str">
        <f>LEFT(J81,7)</f>
        <v>2026-03</v>
      </c>
      <c r="L81" s="28" t="s">
        <v>27</v>
      </c>
      <c r="M81" s="29" t="s">
        <v>28</v>
      </c>
      <c r="N81" s="28" t="s">
        <v>39</v>
      </c>
      <c r="O81" s="28" t="s">
        <v>30</v>
      </c>
      <c r="P81" s="28" t="s">
        <v>166</v>
      </c>
      <c r="Q81" s="28"/>
    </row>
    <row r="82" s="23" customFormat="1" ht="45" customHeight="1" spans="1:17">
      <c r="A82" s="28">
        <f t="shared" si="2"/>
        <v>79</v>
      </c>
      <c r="B82" s="29" t="s">
        <v>328</v>
      </c>
      <c r="C82" s="29" t="s">
        <v>20</v>
      </c>
      <c r="D82" s="29" t="s">
        <v>74</v>
      </c>
      <c r="E82" s="29" t="s">
        <v>309</v>
      </c>
      <c r="F82" s="29" t="s">
        <v>329</v>
      </c>
      <c r="G82" s="28" t="s">
        <v>77</v>
      </c>
      <c r="H82" s="29" t="s">
        <v>291</v>
      </c>
      <c r="I82" s="34" t="s">
        <v>292</v>
      </c>
      <c r="J82" s="29" t="s">
        <v>292</v>
      </c>
      <c r="K82" s="28" t="str">
        <f>LEFT(J82,7)</f>
        <v>2025-11</v>
      </c>
      <c r="L82" s="28" t="s">
        <v>27</v>
      </c>
      <c r="M82" s="29" t="s">
        <v>28</v>
      </c>
      <c r="N82" s="28" t="s">
        <v>29</v>
      </c>
      <c r="O82" s="28" t="s">
        <v>51</v>
      </c>
      <c r="P82" s="28" t="s">
        <v>293</v>
      </c>
      <c r="Q82" s="28"/>
    </row>
    <row r="83" s="23" customFormat="1" ht="45" customHeight="1" spans="1:17">
      <c r="A83" s="28">
        <f t="shared" si="2"/>
        <v>80</v>
      </c>
      <c r="B83" s="29" t="s">
        <v>330</v>
      </c>
      <c r="C83" s="29" t="s">
        <v>20</v>
      </c>
      <c r="D83" s="29" t="s">
        <v>74</v>
      </c>
      <c r="E83" s="29" t="s">
        <v>309</v>
      </c>
      <c r="F83" s="29" t="s">
        <v>331</v>
      </c>
      <c r="G83" s="28" t="s">
        <v>77</v>
      </c>
      <c r="H83" s="29" t="s">
        <v>291</v>
      </c>
      <c r="I83" s="34" t="s">
        <v>292</v>
      </c>
      <c r="J83" s="29" t="s">
        <v>292</v>
      </c>
      <c r="K83" s="28" t="str">
        <f>LEFT(J83,7)</f>
        <v>2025-11</v>
      </c>
      <c r="L83" s="28" t="s">
        <v>27</v>
      </c>
      <c r="M83" s="29" t="s">
        <v>28</v>
      </c>
      <c r="N83" s="28" t="s">
        <v>29</v>
      </c>
      <c r="O83" s="28" t="s">
        <v>51</v>
      </c>
      <c r="P83" s="28" t="s">
        <v>293</v>
      </c>
      <c r="Q83" s="28"/>
    </row>
    <row r="84" s="23" customFormat="1" ht="45" customHeight="1" spans="1:17">
      <c r="A84" s="28">
        <f t="shared" si="2"/>
        <v>81</v>
      </c>
      <c r="B84" s="29" t="s">
        <v>332</v>
      </c>
      <c r="C84" s="29" t="s">
        <v>20</v>
      </c>
      <c r="D84" s="29" t="s">
        <v>74</v>
      </c>
      <c r="E84" s="29" t="s">
        <v>309</v>
      </c>
      <c r="F84" s="29" t="s">
        <v>333</v>
      </c>
      <c r="G84" s="28" t="s">
        <v>77</v>
      </c>
      <c r="H84" s="29" t="s">
        <v>291</v>
      </c>
      <c r="I84" s="34" t="s">
        <v>292</v>
      </c>
      <c r="J84" s="29" t="s">
        <v>292</v>
      </c>
      <c r="K84" s="28" t="str">
        <f>LEFT(J84,7)</f>
        <v>2025-11</v>
      </c>
      <c r="L84" s="28" t="s">
        <v>27</v>
      </c>
      <c r="M84" s="29" t="s">
        <v>28</v>
      </c>
      <c r="N84" s="28" t="s">
        <v>29</v>
      </c>
      <c r="O84" s="28" t="s">
        <v>51</v>
      </c>
      <c r="P84" s="28" t="s">
        <v>293</v>
      </c>
      <c r="Q84" s="28"/>
    </row>
    <row r="85" s="23" customFormat="1" ht="45" customHeight="1" spans="1:17">
      <c r="A85" s="28">
        <f t="shared" si="2"/>
        <v>82</v>
      </c>
      <c r="B85" s="29" t="s">
        <v>334</v>
      </c>
      <c r="C85" s="29" t="s">
        <v>20</v>
      </c>
      <c r="D85" s="29" t="s">
        <v>335</v>
      </c>
      <c r="E85" s="29" t="s">
        <v>336</v>
      </c>
      <c r="F85" s="29" t="s">
        <v>337</v>
      </c>
      <c r="G85" s="28" t="s">
        <v>24</v>
      </c>
      <c r="H85" s="30">
        <v>45771</v>
      </c>
      <c r="I85" s="34">
        <v>46135</v>
      </c>
      <c r="J85" s="34">
        <f>I85</f>
        <v>46135</v>
      </c>
      <c r="K85" s="28" t="str">
        <f>LEFT(J85,7)</f>
        <v>46135</v>
      </c>
      <c r="L85" s="28" t="s">
        <v>27</v>
      </c>
      <c r="M85" s="29" t="s">
        <v>28</v>
      </c>
      <c r="N85" s="28" t="s">
        <v>39</v>
      </c>
      <c r="O85" s="28" t="s">
        <v>51</v>
      </c>
      <c r="P85" s="28" t="s">
        <v>166</v>
      </c>
      <c r="Q85" s="28"/>
    </row>
    <row r="86" s="23" customFormat="1" ht="45" customHeight="1" spans="1:17">
      <c r="A86" s="28">
        <f t="shared" si="2"/>
        <v>83</v>
      </c>
      <c r="B86" s="29" t="s">
        <v>338</v>
      </c>
      <c r="C86" s="29" t="s">
        <v>20</v>
      </c>
      <c r="D86" s="29" t="s">
        <v>339</v>
      </c>
      <c r="E86" s="29" t="s">
        <v>340</v>
      </c>
      <c r="F86" s="29" t="s">
        <v>341</v>
      </c>
      <c r="G86" s="28" t="s">
        <v>77</v>
      </c>
      <c r="H86" s="30">
        <v>45771</v>
      </c>
      <c r="I86" s="34">
        <v>46135</v>
      </c>
      <c r="J86" s="34">
        <f>I86</f>
        <v>46135</v>
      </c>
      <c r="K86" s="28" t="str">
        <f>LEFT(J86,7)</f>
        <v>46135</v>
      </c>
      <c r="L86" s="28" t="s">
        <v>27</v>
      </c>
      <c r="M86" s="29" t="s">
        <v>28</v>
      </c>
      <c r="N86" s="28" t="s">
        <v>29</v>
      </c>
      <c r="O86" s="28" t="s">
        <v>51</v>
      </c>
      <c r="P86" s="28" t="s">
        <v>342</v>
      </c>
      <c r="Q86" s="28"/>
    </row>
    <row r="87" s="23" customFormat="1" ht="45" customHeight="1" spans="1:17">
      <c r="A87" s="28">
        <f t="shared" si="2"/>
        <v>84</v>
      </c>
      <c r="B87" s="29" t="s">
        <v>343</v>
      </c>
      <c r="C87" s="29" t="s">
        <v>20</v>
      </c>
      <c r="D87" s="29" t="s">
        <v>344</v>
      </c>
      <c r="E87" s="29" t="s">
        <v>345</v>
      </c>
      <c r="F87" s="29">
        <v>2409000023</v>
      </c>
      <c r="G87" s="28" t="s">
        <v>315</v>
      </c>
      <c r="H87" s="30">
        <v>45564</v>
      </c>
      <c r="I87" s="34">
        <v>46293</v>
      </c>
      <c r="J87" s="35">
        <f>I87</f>
        <v>46293</v>
      </c>
      <c r="K87" s="28" t="str">
        <f>LEFT(J87,7)</f>
        <v>46293</v>
      </c>
      <c r="L87" s="28" t="s">
        <v>27</v>
      </c>
      <c r="M87" s="29" t="s">
        <v>28</v>
      </c>
      <c r="N87" s="28" t="s">
        <v>29</v>
      </c>
      <c r="O87" s="28" t="s">
        <v>30</v>
      </c>
      <c r="P87" s="28" t="s">
        <v>247</v>
      </c>
      <c r="Q87" s="29" t="s">
        <v>346</v>
      </c>
    </row>
    <row r="88" s="23" customFormat="1" ht="45" customHeight="1" spans="1:17">
      <c r="A88" s="28">
        <f t="shared" si="2"/>
        <v>85</v>
      </c>
      <c r="B88" s="29" t="s">
        <v>347</v>
      </c>
      <c r="C88" s="29" t="s">
        <v>20</v>
      </c>
      <c r="D88" s="29" t="s">
        <v>344</v>
      </c>
      <c r="E88" s="29" t="s">
        <v>345</v>
      </c>
      <c r="F88" s="29">
        <v>2409000024</v>
      </c>
      <c r="G88" s="28" t="s">
        <v>315</v>
      </c>
      <c r="H88" s="30">
        <v>45564</v>
      </c>
      <c r="I88" s="34">
        <v>46293</v>
      </c>
      <c r="J88" s="35">
        <f>I88</f>
        <v>46293</v>
      </c>
      <c r="K88" s="28" t="str">
        <f>LEFT(J88,7)</f>
        <v>46293</v>
      </c>
      <c r="L88" s="28" t="s">
        <v>27</v>
      </c>
      <c r="M88" s="29" t="s">
        <v>28</v>
      </c>
      <c r="N88" s="28" t="s">
        <v>29</v>
      </c>
      <c r="O88" s="28" t="s">
        <v>30</v>
      </c>
      <c r="P88" s="28" t="s">
        <v>247</v>
      </c>
      <c r="Q88" s="29" t="s">
        <v>346</v>
      </c>
    </row>
    <row r="89" s="23" customFormat="1" ht="45" customHeight="1" spans="1:17">
      <c r="A89" s="28">
        <f t="shared" si="2"/>
        <v>86</v>
      </c>
      <c r="B89" s="29" t="s">
        <v>348</v>
      </c>
      <c r="C89" s="29" t="s">
        <v>20</v>
      </c>
      <c r="D89" s="29" t="s">
        <v>344</v>
      </c>
      <c r="E89" s="29" t="s">
        <v>349</v>
      </c>
      <c r="F89" s="29">
        <v>2409000025</v>
      </c>
      <c r="G89" s="28" t="s">
        <v>315</v>
      </c>
      <c r="H89" s="30">
        <v>45564</v>
      </c>
      <c r="I89" s="34">
        <v>46293</v>
      </c>
      <c r="J89" s="35">
        <f>I89</f>
        <v>46293</v>
      </c>
      <c r="K89" s="28" t="str">
        <f>LEFT(J89,7)</f>
        <v>46293</v>
      </c>
      <c r="L89" s="28" t="s">
        <v>27</v>
      </c>
      <c r="M89" s="29" t="s">
        <v>28</v>
      </c>
      <c r="N89" s="28" t="s">
        <v>29</v>
      </c>
      <c r="O89" s="28" t="s">
        <v>30</v>
      </c>
      <c r="P89" s="28" t="s">
        <v>247</v>
      </c>
      <c r="Q89" s="29" t="s">
        <v>346</v>
      </c>
    </row>
    <row r="90" s="23" customFormat="1" ht="45" customHeight="1" spans="1:17">
      <c r="A90" s="28">
        <f t="shared" si="2"/>
        <v>87</v>
      </c>
      <c r="B90" s="29" t="s">
        <v>350</v>
      </c>
      <c r="C90" s="29" t="s">
        <v>20</v>
      </c>
      <c r="D90" s="29" t="s">
        <v>351</v>
      </c>
      <c r="E90" s="29" t="s">
        <v>352</v>
      </c>
      <c r="F90" s="29" t="s">
        <v>353</v>
      </c>
      <c r="G90" s="28" t="s">
        <v>36</v>
      </c>
      <c r="H90" s="29" t="s">
        <v>354</v>
      </c>
      <c r="I90" s="34" t="s">
        <v>355</v>
      </c>
      <c r="J90" s="29" t="s">
        <v>355</v>
      </c>
      <c r="K90" s="28" t="str">
        <f>LEFT(J90,7)</f>
        <v>2025-11</v>
      </c>
      <c r="L90" s="28" t="s">
        <v>27</v>
      </c>
      <c r="M90" s="29" t="s">
        <v>28</v>
      </c>
      <c r="N90" s="28" t="s">
        <v>29</v>
      </c>
      <c r="O90" s="28" t="s">
        <v>30</v>
      </c>
      <c r="P90" s="28" t="s">
        <v>143</v>
      </c>
      <c r="Q90" s="28"/>
    </row>
    <row r="91" s="23" customFormat="1" ht="45" customHeight="1" spans="1:17">
      <c r="A91" s="28">
        <f t="shared" si="2"/>
        <v>88</v>
      </c>
      <c r="B91" s="29" t="s">
        <v>356</v>
      </c>
      <c r="C91" s="29" t="s">
        <v>20</v>
      </c>
      <c r="D91" s="29" t="s">
        <v>48</v>
      </c>
      <c r="E91" s="29" t="s">
        <v>59</v>
      </c>
      <c r="F91" s="29" t="s">
        <v>357</v>
      </c>
      <c r="G91" s="28" t="s">
        <v>36</v>
      </c>
      <c r="H91" s="30">
        <v>45771</v>
      </c>
      <c r="I91" s="34">
        <v>46135</v>
      </c>
      <c r="J91" s="34">
        <f t="shared" ref="J91:J130" si="3">I91</f>
        <v>46135</v>
      </c>
      <c r="K91" s="28" t="str">
        <f t="shared" ref="K91:K106" si="4">LEFT(J91,7)</f>
        <v>46135</v>
      </c>
      <c r="L91" s="28" t="s">
        <v>27</v>
      </c>
      <c r="M91" s="29" t="s">
        <v>28</v>
      </c>
      <c r="N91" s="28" t="s">
        <v>39</v>
      </c>
      <c r="O91" s="28" t="s">
        <v>51</v>
      </c>
      <c r="P91" s="28" t="s">
        <v>358</v>
      </c>
      <c r="Q91" s="28"/>
    </row>
    <row r="92" s="23" customFormat="1" ht="45" customHeight="1" spans="1:17">
      <c r="A92" s="28">
        <f t="shared" si="2"/>
        <v>89</v>
      </c>
      <c r="B92" s="29" t="s">
        <v>359</v>
      </c>
      <c r="C92" s="29" t="s">
        <v>20</v>
      </c>
      <c r="D92" s="29" t="s">
        <v>100</v>
      </c>
      <c r="E92" s="29" t="s">
        <v>176</v>
      </c>
      <c r="F92" s="29" t="s">
        <v>360</v>
      </c>
      <c r="G92" s="28" t="s">
        <v>77</v>
      </c>
      <c r="H92" s="30">
        <v>45771</v>
      </c>
      <c r="I92" s="34">
        <v>46135</v>
      </c>
      <c r="J92" s="34">
        <f t="shared" si="3"/>
        <v>46135</v>
      </c>
      <c r="K92" s="28" t="str">
        <f t="shared" si="4"/>
        <v>46135</v>
      </c>
      <c r="L92" s="28" t="s">
        <v>27</v>
      </c>
      <c r="M92" s="29" t="s">
        <v>28</v>
      </c>
      <c r="N92" s="28" t="s">
        <v>29</v>
      </c>
      <c r="O92" s="28" t="s">
        <v>51</v>
      </c>
      <c r="P92" s="28" t="s">
        <v>358</v>
      </c>
      <c r="Q92" s="28"/>
    </row>
    <row r="93" s="23" customFormat="1" ht="45" customHeight="1" spans="1:17">
      <c r="A93" s="28">
        <f t="shared" si="2"/>
        <v>90</v>
      </c>
      <c r="B93" s="29" t="s">
        <v>361</v>
      </c>
      <c r="C93" s="29" t="s">
        <v>20</v>
      </c>
      <c r="D93" s="29" t="s">
        <v>48</v>
      </c>
      <c r="E93" s="29" t="s">
        <v>362</v>
      </c>
      <c r="F93" s="29" t="s">
        <v>363</v>
      </c>
      <c r="G93" s="28" t="s">
        <v>36</v>
      </c>
      <c r="H93" s="30">
        <v>45771</v>
      </c>
      <c r="I93" s="34">
        <v>46135</v>
      </c>
      <c r="J93" s="34">
        <f t="shared" si="3"/>
        <v>46135</v>
      </c>
      <c r="K93" s="28" t="str">
        <f t="shared" si="4"/>
        <v>46135</v>
      </c>
      <c r="L93" s="28" t="s">
        <v>27</v>
      </c>
      <c r="M93" s="29" t="s">
        <v>28</v>
      </c>
      <c r="N93" s="28" t="s">
        <v>39</v>
      </c>
      <c r="O93" s="28" t="s">
        <v>51</v>
      </c>
      <c r="P93" s="28" t="s">
        <v>364</v>
      </c>
      <c r="Q93" s="28"/>
    </row>
    <row r="94" s="23" customFormat="1" ht="45" customHeight="1" spans="1:17">
      <c r="A94" s="28">
        <f t="shared" si="2"/>
        <v>91</v>
      </c>
      <c r="B94" s="29" t="s">
        <v>365</v>
      </c>
      <c r="C94" s="29" t="s">
        <v>20</v>
      </c>
      <c r="D94" s="29" t="s">
        <v>48</v>
      </c>
      <c r="E94" s="29" t="s">
        <v>366</v>
      </c>
      <c r="F94" s="29" t="s">
        <v>367</v>
      </c>
      <c r="G94" s="28" t="s">
        <v>36</v>
      </c>
      <c r="H94" s="30">
        <v>45771</v>
      </c>
      <c r="I94" s="34">
        <v>46135</v>
      </c>
      <c r="J94" s="34">
        <f t="shared" si="3"/>
        <v>46135</v>
      </c>
      <c r="K94" s="28" t="str">
        <f t="shared" si="4"/>
        <v>46135</v>
      </c>
      <c r="L94" s="28" t="s">
        <v>27</v>
      </c>
      <c r="M94" s="29" t="s">
        <v>28</v>
      </c>
      <c r="N94" s="28" t="s">
        <v>39</v>
      </c>
      <c r="O94" s="28" t="s">
        <v>51</v>
      </c>
      <c r="P94" s="28" t="s">
        <v>364</v>
      </c>
      <c r="Q94" s="28"/>
    </row>
    <row r="95" s="23" customFormat="1" ht="45" customHeight="1" spans="1:17">
      <c r="A95" s="28">
        <f t="shared" si="2"/>
        <v>92</v>
      </c>
      <c r="B95" s="29" t="s">
        <v>368</v>
      </c>
      <c r="C95" s="29" t="s">
        <v>20</v>
      </c>
      <c r="D95" s="29" t="s">
        <v>100</v>
      </c>
      <c r="E95" s="29" t="s">
        <v>369</v>
      </c>
      <c r="F95" s="29" t="s">
        <v>370</v>
      </c>
      <c r="G95" s="28" t="s">
        <v>77</v>
      </c>
      <c r="H95" s="30">
        <v>45771</v>
      </c>
      <c r="I95" s="34">
        <v>46135</v>
      </c>
      <c r="J95" s="34">
        <f t="shared" si="3"/>
        <v>46135</v>
      </c>
      <c r="K95" s="28" t="str">
        <f t="shared" si="4"/>
        <v>46135</v>
      </c>
      <c r="L95" s="28" t="s">
        <v>27</v>
      </c>
      <c r="M95" s="29" t="s">
        <v>28</v>
      </c>
      <c r="N95" s="28" t="s">
        <v>29</v>
      </c>
      <c r="O95" s="28" t="s">
        <v>51</v>
      </c>
      <c r="P95" s="28" t="s">
        <v>293</v>
      </c>
      <c r="Q95" s="28"/>
    </row>
    <row r="96" s="23" customFormat="1" ht="45" customHeight="1" spans="1:17">
      <c r="A96" s="28">
        <f t="shared" si="2"/>
        <v>93</v>
      </c>
      <c r="B96" s="29" t="s">
        <v>371</v>
      </c>
      <c r="C96" s="29" t="s">
        <v>20</v>
      </c>
      <c r="D96" s="29" t="s">
        <v>48</v>
      </c>
      <c r="E96" s="29" t="s">
        <v>49</v>
      </c>
      <c r="F96" s="29" t="s">
        <v>372</v>
      </c>
      <c r="G96" s="28" t="s">
        <v>36</v>
      </c>
      <c r="H96" s="30">
        <v>45771</v>
      </c>
      <c r="I96" s="34">
        <v>46135</v>
      </c>
      <c r="J96" s="34">
        <f t="shared" si="3"/>
        <v>46135</v>
      </c>
      <c r="K96" s="28" t="str">
        <f t="shared" si="4"/>
        <v>46135</v>
      </c>
      <c r="L96" s="28" t="s">
        <v>27</v>
      </c>
      <c r="M96" s="29" t="s">
        <v>28</v>
      </c>
      <c r="N96" s="28" t="s">
        <v>39</v>
      </c>
      <c r="O96" s="28" t="s">
        <v>51</v>
      </c>
      <c r="P96" s="28" t="s">
        <v>166</v>
      </c>
      <c r="Q96" s="28"/>
    </row>
    <row r="97" s="23" customFormat="1" ht="45" customHeight="1" spans="1:17">
      <c r="A97" s="28">
        <f t="shared" si="2"/>
        <v>94</v>
      </c>
      <c r="B97" s="29" t="s">
        <v>373</v>
      </c>
      <c r="C97" s="29" t="s">
        <v>20</v>
      </c>
      <c r="D97" s="29" t="s">
        <v>100</v>
      </c>
      <c r="E97" s="29" t="s">
        <v>369</v>
      </c>
      <c r="F97" s="29" t="s">
        <v>374</v>
      </c>
      <c r="G97" s="28" t="s">
        <v>77</v>
      </c>
      <c r="H97" s="30">
        <v>45771</v>
      </c>
      <c r="I97" s="34">
        <v>46135</v>
      </c>
      <c r="J97" s="34">
        <f t="shared" si="3"/>
        <v>46135</v>
      </c>
      <c r="K97" s="28" t="str">
        <f t="shared" si="4"/>
        <v>46135</v>
      </c>
      <c r="L97" s="28" t="s">
        <v>27</v>
      </c>
      <c r="M97" s="29" t="s">
        <v>28</v>
      </c>
      <c r="N97" s="28" t="s">
        <v>29</v>
      </c>
      <c r="O97" s="28" t="s">
        <v>51</v>
      </c>
      <c r="P97" s="28" t="s">
        <v>247</v>
      </c>
      <c r="Q97" s="29" t="s">
        <v>375</v>
      </c>
    </row>
    <row r="98" s="23" customFormat="1" ht="45" customHeight="1" spans="1:17">
      <c r="A98" s="28">
        <f t="shared" si="2"/>
        <v>95</v>
      </c>
      <c r="B98" s="29" t="s">
        <v>376</v>
      </c>
      <c r="C98" s="29" t="s">
        <v>20</v>
      </c>
      <c r="D98" s="29" t="s">
        <v>100</v>
      </c>
      <c r="E98" s="29" t="s">
        <v>377</v>
      </c>
      <c r="F98" s="29" t="s">
        <v>378</v>
      </c>
      <c r="G98" s="28" t="s">
        <v>77</v>
      </c>
      <c r="H98" s="30">
        <v>45771</v>
      </c>
      <c r="I98" s="34">
        <v>46135</v>
      </c>
      <c r="J98" s="34">
        <f t="shared" si="3"/>
        <v>46135</v>
      </c>
      <c r="K98" s="28" t="str">
        <f t="shared" si="4"/>
        <v>46135</v>
      </c>
      <c r="L98" s="28" t="s">
        <v>27</v>
      </c>
      <c r="M98" s="29" t="s">
        <v>28</v>
      </c>
      <c r="N98" s="28" t="s">
        <v>29</v>
      </c>
      <c r="O98" s="28" t="s">
        <v>51</v>
      </c>
      <c r="P98" s="28" t="s">
        <v>293</v>
      </c>
      <c r="Q98" s="28"/>
    </row>
    <row r="99" s="23" customFormat="1" ht="45" customHeight="1" spans="1:17">
      <c r="A99" s="28">
        <f t="shared" si="2"/>
        <v>96</v>
      </c>
      <c r="B99" s="29" t="s">
        <v>379</v>
      </c>
      <c r="C99" s="29" t="s">
        <v>20</v>
      </c>
      <c r="D99" s="29" t="s">
        <v>100</v>
      </c>
      <c r="E99" s="29" t="s">
        <v>377</v>
      </c>
      <c r="F99" s="29" t="s">
        <v>380</v>
      </c>
      <c r="G99" s="28" t="s">
        <v>77</v>
      </c>
      <c r="H99" s="30">
        <v>45771</v>
      </c>
      <c r="I99" s="34">
        <v>46135</v>
      </c>
      <c r="J99" s="34">
        <f t="shared" si="3"/>
        <v>46135</v>
      </c>
      <c r="K99" s="28" t="str">
        <f t="shared" si="4"/>
        <v>46135</v>
      </c>
      <c r="L99" s="28" t="s">
        <v>27</v>
      </c>
      <c r="M99" s="29" t="s">
        <v>28</v>
      </c>
      <c r="N99" s="28" t="s">
        <v>29</v>
      </c>
      <c r="O99" s="28" t="s">
        <v>51</v>
      </c>
      <c r="P99" s="28" t="s">
        <v>293</v>
      </c>
      <c r="Q99" s="28"/>
    </row>
    <row r="100" s="23" customFormat="1" ht="45" customHeight="1" spans="1:17">
      <c r="A100" s="28">
        <f t="shared" si="2"/>
        <v>97</v>
      </c>
      <c r="B100" s="29" t="s">
        <v>85</v>
      </c>
      <c r="C100" s="29" t="s">
        <v>20</v>
      </c>
      <c r="D100" s="29" t="s">
        <v>48</v>
      </c>
      <c r="E100" s="29" t="s">
        <v>49</v>
      </c>
      <c r="F100" s="29" t="s">
        <v>381</v>
      </c>
      <c r="G100" s="28" t="s">
        <v>36</v>
      </c>
      <c r="H100" s="30">
        <v>45771</v>
      </c>
      <c r="I100" s="34">
        <v>46135</v>
      </c>
      <c r="J100" s="34">
        <f t="shared" si="3"/>
        <v>46135</v>
      </c>
      <c r="K100" s="28" t="str">
        <f t="shared" si="4"/>
        <v>46135</v>
      </c>
      <c r="L100" s="28" t="s">
        <v>27</v>
      </c>
      <c r="M100" s="29" t="s">
        <v>28</v>
      </c>
      <c r="N100" s="28" t="s">
        <v>39</v>
      </c>
      <c r="O100" s="28" t="s">
        <v>51</v>
      </c>
      <c r="P100" s="28" t="s">
        <v>166</v>
      </c>
      <c r="Q100" s="28"/>
    </row>
    <row r="101" s="23" customFormat="1" ht="45" customHeight="1" spans="1:17">
      <c r="A101" s="28">
        <f t="shared" si="2"/>
        <v>98</v>
      </c>
      <c r="B101" s="29" t="s">
        <v>382</v>
      </c>
      <c r="C101" s="29" t="s">
        <v>20</v>
      </c>
      <c r="D101" s="29" t="s">
        <v>100</v>
      </c>
      <c r="E101" s="29" t="s">
        <v>383</v>
      </c>
      <c r="F101" s="29" t="s">
        <v>384</v>
      </c>
      <c r="G101" s="28" t="s">
        <v>77</v>
      </c>
      <c r="H101" s="30">
        <v>45771</v>
      </c>
      <c r="I101" s="34">
        <v>46135</v>
      </c>
      <c r="J101" s="34">
        <f t="shared" si="3"/>
        <v>46135</v>
      </c>
      <c r="K101" s="28" t="str">
        <f t="shared" si="4"/>
        <v>46135</v>
      </c>
      <c r="L101" s="28" t="s">
        <v>27</v>
      </c>
      <c r="M101" s="29" t="s">
        <v>28</v>
      </c>
      <c r="N101" s="28" t="s">
        <v>29</v>
      </c>
      <c r="O101" s="28" t="s">
        <v>51</v>
      </c>
      <c r="P101" s="28" t="s">
        <v>293</v>
      </c>
      <c r="Q101" s="28"/>
    </row>
    <row r="102" s="23" customFormat="1" ht="45" customHeight="1" spans="1:17">
      <c r="A102" s="28">
        <f t="shared" si="2"/>
        <v>99</v>
      </c>
      <c r="B102" s="29" t="s">
        <v>385</v>
      </c>
      <c r="C102" s="29" t="s">
        <v>20</v>
      </c>
      <c r="D102" s="29" t="s">
        <v>100</v>
      </c>
      <c r="E102" s="29" t="s">
        <v>383</v>
      </c>
      <c r="F102" s="29" t="s">
        <v>386</v>
      </c>
      <c r="G102" s="28" t="s">
        <v>77</v>
      </c>
      <c r="H102" s="30">
        <v>45771</v>
      </c>
      <c r="I102" s="34">
        <v>46135</v>
      </c>
      <c r="J102" s="34">
        <f t="shared" si="3"/>
        <v>46135</v>
      </c>
      <c r="K102" s="28" t="str">
        <f t="shared" si="4"/>
        <v>46135</v>
      </c>
      <c r="L102" s="28" t="s">
        <v>27</v>
      </c>
      <c r="M102" s="29" t="s">
        <v>28</v>
      </c>
      <c r="N102" s="28" t="s">
        <v>29</v>
      </c>
      <c r="O102" s="28" t="s">
        <v>51</v>
      </c>
      <c r="P102" s="28" t="s">
        <v>293</v>
      </c>
      <c r="Q102" s="28"/>
    </row>
    <row r="103" s="23" customFormat="1" ht="45" customHeight="1" spans="1:17">
      <c r="A103" s="28">
        <f t="shared" si="2"/>
        <v>100</v>
      </c>
      <c r="B103" s="29" t="s">
        <v>387</v>
      </c>
      <c r="C103" s="29" t="s">
        <v>20</v>
      </c>
      <c r="D103" s="29" t="s">
        <v>100</v>
      </c>
      <c r="E103" s="29" t="s">
        <v>388</v>
      </c>
      <c r="F103" s="29" t="s">
        <v>389</v>
      </c>
      <c r="G103" s="28" t="s">
        <v>77</v>
      </c>
      <c r="H103" s="30">
        <v>45771</v>
      </c>
      <c r="I103" s="34">
        <v>46135</v>
      </c>
      <c r="J103" s="34">
        <f t="shared" si="3"/>
        <v>46135</v>
      </c>
      <c r="K103" s="28" t="str">
        <f t="shared" si="4"/>
        <v>46135</v>
      </c>
      <c r="L103" s="28" t="s">
        <v>27</v>
      </c>
      <c r="M103" s="29" t="s">
        <v>28</v>
      </c>
      <c r="N103" s="28" t="s">
        <v>29</v>
      </c>
      <c r="O103" s="28" t="s">
        <v>51</v>
      </c>
      <c r="P103" s="28" t="s">
        <v>156</v>
      </c>
      <c r="Q103" s="28"/>
    </row>
    <row r="104" s="23" customFormat="1" ht="45" customHeight="1" spans="1:17">
      <c r="A104" s="28">
        <f t="shared" si="2"/>
        <v>101</v>
      </c>
      <c r="B104" s="29" t="s">
        <v>390</v>
      </c>
      <c r="C104" s="29" t="s">
        <v>20</v>
      </c>
      <c r="D104" s="29" t="s">
        <v>100</v>
      </c>
      <c r="E104" s="29" t="s">
        <v>391</v>
      </c>
      <c r="F104" s="29" t="s">
        <v>392</v>
      </c>
      <c r="G104" s="28" t="s">
        <v>77</v>
      </c>
      <c r="H104" s="30">
        <v>45771</v>
      </c>
      <c r="I104" s="34">
        <v>46135</v>
      </c>
      <c r="J104" s="34">
        <f t="shared" si="3"/>
        <v>46135</v>
      </c>
      <c r="K104" s="28" t="str">
        <f t="shared" si="4"/>
        <v>46135</v>
      </c>
      <c r="L104" s="28" t="s">
        <v>27</v>
      </c>
      <c r="M104" s="29" t="s">
        <v>28</v>
      </c>
      <c r="N104" s="28" t="s">
        <v>29</v>
      </c>
      <c r="O104" s="28" t="s">
        <v>51</v>
      </c>
      <c r="P104" s="28" t="s">
        <v>293</v>
      </c>
      <c r="Q104" s="28"/>
    </row>
    <row r="105" s="23" customFormat="1" ht="45" customHeight="1" spans="1:17">
      <c r="A105" s="28">
        <f t="shared" si="2"/>
        <v>102</v>
      </c>
      <c r="B105" s="29" t="s">
        <v>393</v>
      </c>
      <c r="C105" s="29" t="s">
        <v>20</v>
      </c>
      <c r="D105" s="29" t="s">
        <v>100</v>
      </c>
      <c r="E105" s="29" t="s">
        <v>394</v>
      </c>
      <c r="F105" s="29" t="s">
        <v>395</v>
      </c>
      <c r="G105" s="28" t="s">
        <v>77</v>
      </c>
      <c r="H105" s="30">
        <v>45771</v>
      </c>
      <c r="I105" s="34">
        <v>46135</v>
      </c>
      <c r="J105" s="34">
        <f t="shared" si="3"/>
        <v>46135</v>
      </c>
      <c r="K105" s="28" t="str">
        <f t="shared" si="4"/>
        <v>46135</v>
      </c>
      <c r="L105" s="28" t="s">
        <v>27</v>
      </c>
      <c r="M105" s="29" t="s">
        <v>28</v>
      </c>
      <c r="N105" s="28" t="s">
        <v>29</v>
      </c>
      <c r="O105" s="28" t="s">
        <v>51</v>
      </c>
      <c r="P105" s="28" t="s">
        <v>396</v>
      </c>
      <c r="Q105" s="29" t="s">
        <v>397</v>
      </c>
    </row>
    <row r="106" s="23" customFormat="1" ht="45" customHeight="1" spans="1:17">
      <c r="A106" s="28">
        <f t="shared" si="2"/>
        <v>103</v>
      </c>
      <c r="B106" s="29" t="s">
        <v>398</v>
      </c>
      <c r="C106" s="29" t="s">
        <v>20</v>
      </c>
      <c r="D106" s="29" t="s">
        <v>100</v>
      </c>
      <c r="E106" s="29" t="s">
        <v>399</v>
      </c>
      <c r="F106" s="29" t="s">
        <v>400</v>
      </c>
      <c r="G106" s="28" t="s">
        <v>77</v>
      </c>
      <c r="H106" s="30">
        <v>45771</v>
      </c>
      <c r="I106" s="34">
        <v>46135</v>
      </c>
      <c r="J106" s="34">
        <f t="shared" si="3"/>
        <v>46135</v>
      </c>
      <c r="K106" s="28" t="str">
        <f t="shared" si="4"/>
        <v>46135</v>
      </c>
      <c r="L106" s="28" t="s">
        <v>27</v>
      </c>
      <c r="M106" s="29" t="s">
        <v>28</v>
      </c>
      <c r="N106" s="28" t="s">
        <v>29</v>
      </c>
      <c r="O106" s="28" t="s">
        <v>51</v>
      </c>
      <c r="P106" s="28" t="s">
        <v>396</v>
      </c>
      <c r="Q106" s="29" t="s">
        <v>401</v>
      </c>
    </row>
    <row r="107" s="23" customFormat="1" ht="45" customHeight="1" spans="1:17">
      <c r="A107" s="28">
        <f t="shared" si="2"/>
        <v>104</v>
      </c>
      <c r="B107" s="29" t="s">
        <v>402</v>
      </c>
      <c r="C107" s="29" t="s">
        <v>20</v>
      </c>
      <c r="D107" s="29" t="s">
        <v>100</v>
      </c>
      <c r="E107" s="29" t="s">
        <v>394</v>
      </c>
      <c r="F107" s="29" t="s">
        <v>403</v>
      </c>
      <c r="G107" s="28" t="s">
        <v>77</v>
      </c>
      <c r="H107" s="30">
        <v>45771</v>
      </c>
      <c r="I107" s="34">
        <v>46135</v>
      </c>
      <c r="J107" s="34">
        <f t="shared" si="3"/>
        <v>46135</v>
      </c>
      <c r="K107" s="28" t="str">
        <f t="shared" ref="K107:K130" si="5">LEFT(J107,7)</f>
        <v>46135</v>
      </c>
      <c r="L107" s="28" t="s">
        <v>27</v>
      </c>
      <c r="M107" s="29" t="s">
        <v>28</v>
      </c>
      <c r="N107" s="28" t="s">
        <v>29</v>
      </c>
      <c r="O107" s="28" t="s">
        <v>51</v>
      </c>
      <c r="P107" s="28" t="s">
        <v>156</v>
      </c>
      <c r="Q107" s="28"/>
    </row>
    <row r="108" s="23" customFormat="1" ht="45" customHeight="1" spans="1:17">
      <c r="A108" s="28">
        <f t="shared" si="2"/>
        <v>105</v>
      </c>
      <c r="B108" s="29" t="s">
        <v>404</v>
      </c>
      <c r="C108" s="29" t="s">
        <v>20</v>
      </c>
      <c r="D108" s="29" t="s">
        <v>100</v>
      </c>
      <c r="E108" s="29" t="s">
        <v>399</v>
      </c>
      <c r="F108" s="29" t="s">
        <v>405</v>
      </c>
      <c r="G108" s="28" t="s">
        <v>77</v>
      </c>
      <c r="H108" s="30">
        <v>45771</v>
      </c>
      <c r="I108" s="34">
        <v>46135</v>
      </c>
      <c r="J108" s="34">
        <f t="shared" si="3"/>
        <v>46135</v>
      </c>
      <c r="K108" s="28" t="str">
        <f t="shared" si="5"/>
        <v>46135</v>
      </c>
      <c r="L108" s="28" t="s">
        <v>27</v>
      </c>
      <c r="M108" s="29" t="s">
        <v>28</v>
      </c>
      <c r="N108" s="28" t="s">
        <v>29</v>
      </c>
      <c r="O108" s="28" t="s">
        <v>51</v>
      </c>
      <c r="P108" s="28" t="s">
        <v>71</v>
      </c>
      <c r="Q108" s="29" t="s">
        <v>406</v>
      </c>
    </row>
    <row r="109" s="23" customFormat="1" ht="45" customHeight="1" spans="1:17">
      <c r="A109" s="28">
        <f t="shared" si="2"/>
        <v>106</v>
      </c>
      <c r="B109" s="29" t="s">
        <v>407</v>
      </c>
      <c r="C109" s="29" t="s">
        <v>20</v>
      </c>
      <c r="D109" s="29" t="s">
        <v>408</v>
      </c>
      <c r="E109" s="29" t="s">
        <v>409</v>
      </c>
      <c r="F109" s="29" t="s">
        <v>410</v>
      </c>
      <c r="G109" s="28" t="s">
        <v>24</v>
      </c>
      <c r="H109" s="30">
        <v>45771</v>
      </c>
      <c r="I109" s="34">
        <v>46135</v>
      </c>
      <c r="J109" s="34">
        <f t="shared" si="3"/>
        <v>46135</v>
      </c>
      <c r="K109" s="28" t="str">
        <f t="shared" si="5"/>
        <v>46135</v>
      </c>
      <c r="L109" s="28" t="s">
        <v>27</v>
      </c>
      <c r="M109" s="29" t="s">
        <v>28</v>
      </c>
      <c r="N109" s="28" t="s">
        <v>39</v>
      </c>
      <c r="O109" s="28" t="s">
        <v>51</v>
      </c>
      <c r="P109" s="28" t="s">
        <v>143</v>
      </c>
      <c r="Q109" s="28"/>
    </row>
    <row r="110" s="23" customFormat="1" ht="45" customHeight="1" spans="1:17">
      <c r="A110" s="28">
        <f t="shared" si="2"/>
        <v>107</v>
      </c>
      <c r="B110" s="29" t="s">
        <v>411</v>
      </c>
      <c r="C110" s="29" t="s">
        <v>20</v>
      </c>
      <c r="D110" s="29" t="s">
        <v>74</v>
      </c>
      <c r="E110" s="29" t="s">
        <v>412</v>
      </c>
      <c r="F110" s="29" t="s">
        <v>413</v>
      </c>
      <c r="G110" s="28" t="s">
        <v>77</v>
      </c>
      <c r="H110" s="30">
        <v>45771</v>
      </c>
      <c r="I110" s="34">
        <v>46135</v>
      </c>
      <c r="J110" s="34">
        <f t="shared" si="3"/>
        <v>46135</v>
      </c>
      <c r="K110" s="28" t="str">
        <f t="shared" si="5"/>
        <v>46135</v>
      </c>
      <c r="L110" s="28" t="s">
        <v>27</v>
      </c>
      <c r="M110" s="29" t="s">
        <v>28</v>
      </c>
      <c r="N110" s="28" t="s">
        <v>29</v>
      </c>
      <c r="O110" s="28" t="s">
        <v>51</v>
      </c>
      <c r="P110" s="28" t="s">
        <v>293</v>
      </c>
      <c r="Q110" s="28"/>
    </row>
    <row r="111" s="23" customFormat="1" ht="45" customHeight="1" spans="1:17">
      <c r="A111" s="28">
        <f t="shared" si="2"/>
        <v>108</v>
      </c>
      <c r="B111" s="29" t="s">
        <v>414</v>
      </c>
      <c r="C111" s="29" t="s">
        <v>20</v>
      </c>
      <c r="D111" s="29" t="s">
        <v>74</v>
      </c>
      <c r="E111" s="29" t="s">
        <v>412</v>
      </c>
      <c r="F111" s="29" t="s">
        <v>415</v>
      </c>
      <c r="G111" s="28" t="s">
        <v>77</v>
      </c>
      <c r="H111" s="30">
        <v>45771</v>
      </c>
      <c r="I111" s="34">
        <v>46135</v>
      </c>
      <c r="J111" s="34">
        <f t="shared" si="3"/>
        <v>46135</v>
      </c>
      <c r="K111" s="28" t="str">
        <f t="shared" si="5"/>
        <v>46135</v>
      </c>
      <c r="L111" s="28" t="s">
        <v>27</v>
      </c>
      <c r="M111" s="29" t="s">
        <v>28</v>
      </c>
      <c r="N111" s="28" t="s">
        <v>29</v>
      </c>
      <c r="O111" s="28" t="s">
        <v>51</v>
      </c>
      <c r="P111" s="28" t="s">
        <v>293</v>
      </c>
      <c r="Q111" s="28"/>
    </row>
    <row r="112" s="23" customFormat="1" ht="45" customHeight="1" spans="1:17">
      <c r="A112" s="28">
        <f t="shared" si="2"/>
        <v>109</v>
      </c>
      <c r="B112" s="29" t="s">
        <v>416</v>
      </c>
      <c r="C112" s="29" t="s">
        <v>20</v>
      </c>
      <c r="D112" s="29" t="s">
        <v>100</v>
      </c>
      <c r="E112" s="29" t="s">
        <v>391</v>
      </c>
      <c r="F112" s="29" t="s">
        <v>417</v>
      </c>
      <c r="G112" s="28" t="s">
        <v>77</v>
      </c>
      <c r="H112" s="30">
        <v>45771</v>
      </c>
      <c r="I112" s="34">
        <v>46135</v>
      </c>
      <c r="J112" s="34">
        <f t="shared" si="3"/>
        <v>46135</v>
      </c>
      <c r="K112" s="28" t="str">
        <f t="shared" si="5"/>
        <v>46135</v>
      </c>
      <c r="L112" s="28" t="s">
        <v>27</v>
      </c>
      <c r="M112" s="29" t="s">
        <v>28</v>
      </c>
      <c r="N112" s="28" t="s">
        <v>29</v>
      </c>
      <c r="O112" s="28" t="s">
        <v>51</v>
      </c>
      <c r="P112" s="28" t="s">
        <v>293</v>
      </c>
      <c r="Q112" s="28"/>
    </row>
    <row r="113" s="23" customFormat="1" ht="45" customHeight="1" spans="1:17">
      <c r="A113" s="28">
        <f t="shared" si="2"/>
        <v>110</v>
      </c>
      <c r="B113" s="29" t="s">
        <v>418</v>
      </c>
      <c r="C113" s="29" t="s">
        <v>20</v>
      </c>
      <c r="D113" s="29" t="s">
        <v>100</v>
      </c>
      <c r="E113" s="29" t="s">
        <v>176</v>
      </c>
      <c r="F113" s="29" t="s">
        <v>419</v>
      </c>
      <c r="G113" s="28" t="s">
        <v>77</v>
      </c>
      <c r="H113" s="30">
        <v>45771</v>
      </c>
      <c r="I113" s="34">
        <v>46135</v>
      </c>
      <c r="J113" s="34">
        <f t="shared" si="3"/>
        <v>46135</v>
      </c>
      <c r="K113" s="28" t="str">
        <f t="shared" si="5"/>
        <v>46135</v>
      </c>
      <c r="L113" s="28" t="s">
        <v>27</v>
      </c>
      <c r="M113" s="29" t="s">
        <v>28</v>
      </c>
      <c r="N113" s="28" t="s">
        <v>29</v>
      </c>
      <c r="O113" s="28" t="s">
        <v>51</v>
      </c>
      <c r="P113" s="28" t="s">
        <v>420</v>
      </c>
      <c r="Q113" s="28"/>
    </row>
    <row r="114" s="23" customFormat="1" ht="45" customHeight="1" spans="1:17">
      <c r="A114" s="28">
        <f t="shared" si="2"/>
        <v>111</v>
      </c>
      <c r="B114" s="29" t="s">
        <v>421</v>
      </c>
      <c r="C114" s="29" t="s">
        <v>20</v>
      </c>
      <c r="D114" s="29" t="s">
        <v>74</v>
      </c>
      <c r="E114" s="29" t="s">
        <v>75</v>
      </c>
      <c r="F114" s="29" t="s">
        <v>422</v>
      </c>
      <c r="G114" s="28" t="s">
        <v>77</v>
      </c>
      <c r="H114" s="30">
        <v>45771</v>
      </c>
      <c r="I114" s="34">
        <v>46135</v>
      </c>
      <c r="J114" s="34">
        <f t="shared" si="3"/>
        <v>46135</v>
      </c>
      <c r="K114" s="28" t="str">
        <f t="shared" si="5"/>
        <v>46135</v>
      </c>
      <c r="L114" s="28" t="s">
        <v>27</v>
      </c>
      <c r="M114" s="29" t="s">
        <v>28</v>
      </c>
      <c r="N114" s="28" t="s">
        <v>29</v>
      </c>
      <c r="O114" s="28" t="s">
        <v>51</v>
      </c>
      <c r="P114" s="28" t="s">
        <v>71</v>
      </c>
      <c r="Q114" s="28"/>
    </row>
    <row r="115" s="23" customFormat="1" ht="45" customHeight="1" spans="1:17">
      <c r="A115" s="28">
        <f t="shared" si="2"/>
        <v>112</v>
      </c>
      <c r="B115" s="29" t="s">
        <v>423</v>
      </c>
      <c r="C115" s="29" t="s">
        <v>20</v>
      </c>
      <c r="D115" s="29" t="s">
        <v>210</v>
      </c>
      <c r="E115" s="29" t="s">
        <v>211</v>
      </c>
      <c r="F115" s="29" t="s">
        <v>424</v>
      </c>
      <c r="G115" s="28" t="s">
        <v>24</v>
      </c>
      <c r="H115" s="30">
        <v>45771</v>
      </c>
      <c r="I115" s="34">
        <v>46135</v>
      </c>
      <c r="J115" s="34">
        <f t="shared" si="3"/>
        <v>46135</v>
      </c>
      <c r="K115" s="28" t="str">
        <f t="shared" si="5"/>
        <v>46135</v>
      </c>
      <c r="L115" s="28" t="s">
        <v>27</v>
      </c>
      <c r="M115" s="29" t="s">
        <v>28</v>
      </c>
      <c r="N115" s="28" t="s">
        <v>39</v>
      </c>
      <c r="O115" s="28" t="s">
        <v>51</v>
      </c>
      <c r="P115" s="28" t="s">
        <v>166</v>
      </c>
      <c r="Q115" s="28"/>
    </row>
    <row r="116" s="23" customFormat="1" ht="45" customHeight="1" spans="1:17">
      <c r="A116" s="28">
        <f t="shared" si="2"/>
        <v>113</v>
      </c>
      <c r="B116" s="29" t="s">
        <v>425</v>
      </c>
      <c r="C116" s="29" t="s">
        <v>20</v>
      </c>
      <c r="D116" s="29" t="s">
        <v>74</v>
      </c>
      <c r="E116" s="29" t="s">
        <v>75</v>
      </c>
      <c r="F116" s="29" t="s">
        <v>426</v>
      </c>
      <c r="G116" s="28" t="s">
        <v>77</v>
      </c>
      <c r="H116" s="30">
        <v>45771</v>
      </c>
      <c r="I116" s="34">
        <v>46135</v>
      </c>
      <c r="J116" s="34">
        <f t="shared" si="3"/>
        <v>46135</v>
      </c>
      <c r="K116" s="28" t="str">
        <f t="shared" si="5"/>
        <v>46135</v>
      </c>
      <c r="L116" s="28" t="s">
        <v>27</v>
      </c>
      <c r="M116" s="29" t="s">
        <v>28</v>
      </c>
      <c r="N116" s="28" t="s">
        <v>29</v>
      </c>
      <c r="O116" s="28" t="s">
        <v>51</v>
      </c>
      <c r="P116" s="28" t="s">
        <v>420</v>
      </c>
      <c r="Q116" s="28"/>
    </row>
    <row r="117" s="23" customFormat="1" ht="45" customHeight="1" spans="1:17">
      <c r="A117" s="28">
        <f t="shared" si="2"/>
        <v>114</v>
      </c>
      <c r="B117" s="29" t="s">
        <v>427</v>
      </c>
      <c r="C117" s="29" t="s">
        <v>20</v>
      </c>
      <c r="D117" s="29" t="s">
        <v>74</v>
      </c>
      <c r="E117" s="29" t="s">
        <v>75</v>
      </c>
      <c r="F117" s="29" t="s">
        <v>428</v>
      </c>
      <c r="G117" s="28" t="s">
        <v>77</v>
      </c>
      <c r="H117" s="30">
        <v>45771</v>
      </c>
      <c r="I117" s="34">
        <v>46135</v>
      </c>
      <c r="J117" s="34">
        <f t="shared" si="3"/>
        <v>46135</v>
      </c>
      <c r="K117" s="28" t="str">
        <f t="shared" si="5"/>
        <v>46135</v>
      </c>
      <c r="L117" s="28" t="s">
        <v>27</v>
      </c>
      <c r="M117" s="29" t="s">
        <v>28</v>
      </c>
      <c r="N117" s="28" t="s">
        <v>29</v>
      </c>
      <c r="O117" s="28" t="s">
        <v>51</v>
      </c>
      <c r="P117" s="28" t="s">
        <v>420</v>
      </c>
      <c r="Q117" s="28"/>
    </row>
    <row r="118" s="23" customFormat="1" ht="45" customHeight="1" spans="1:17">
      <c r="A118" s="28">
        <f t="shared" si="2"/>
        <v>115</v>
      </c>
      <c r="B118" s="29" t="s">
        <v>429</v>
      </c>
      <c r="C118" s="29" t="s">
        <v>20</v>
      </c>
      <c r="D118" s="29" t="s">
        <v>74</v>
      </c>
      <c r="E118" s="29" t="s">
        <v>75</v>
      </c>
      <c r="F118" s="29" t="s">
        <v>430</v>
      </c>
      <c r="G118" s="28" t="s">
        <v>77</v>
      </c>
      <c r="H118" s="30">
        <v>45771</v>
      </c>
      <c r="I118" s="34">
        <v>46135</v>
      </c>
      <c r="J118" s="34">
        <f t="shared" si="3"/>
        <v>46135</v>
      </c>
      <c r="K118" s="28" t="str">
        <f t="shared" si="5"/>
        <v>46135</v>
      </c>
      <c r="L118" s="28" t="s">
        <v>27</v>
      </c>
      <c r="M118" s="29" t="s">
        <v>28</v>
      </c>
      <c r="N118" s="28" t="s">
        <v>29</v>
      </c>
      <c r="O118" s="28" t="s">
        <v>51</v>
      </c>
      <c r="P118" s="28" t="s">
        <v>431</v>
      </c>
      <c r="Q118" s="28"/>
    </row>
    <row r="119" s="23" customFormat="1" ht="45" customHeight="1" spans="1:17">
      <c r="A119" s="28">
        <f t="shared" si="2"/>
        <v>116</v>
      </c>
      <c r="B119" s="29" t="s">
        <v>432</v>
      </c>
      <c r="C119" s="29" t="s">
        <v>20</v>
      </c>
      <c r="D119" s="29" t="s">
        <v>74</v>
      </c>
      <c r="E119" s="29" t="s">
        <v>75</v>
      </c>
      <c r="F119" s="29" t="s">
        <v>433</v>
      </c>
      <c r="G119" s="28" t="s">
        <v>77</v>
      </c>
      <c r="H119" s="30">
        <v>45771</v>
      </c>
      <c r="I119" s="34">
        <v>46135</v>
      </c>
      <c r="J119" s="34">
        <f t="shared" si="3"/>
        <v>46135</v>
      </c>
      <c r="K119" s="28" t="str">
        <f t="shared" si="5"/>
        <v>46135</v>
      </c>
      <c r="L119" s="28" t="s">
        <v>27</v>
      </c>
      <c r="M119" s="29" t="s">
        <v>28</v>
      </c>
      <c r="N119" s="28" t="s">
        <v>29</v>
      </c>
      <c r="O119" s="28" t="s">
        <v>51</v>
      </c>
      <c r="P119" s="28" t="s">
        <v>247</v>
      </c>
      <c r="Q119" s="29" t="s">
        <v>375</v>
      </c>
    </row>
    <row r="120" s="23" customFormat="1" ht="45" customHeight="1" spans="1:17">
      <c r="A120" s="28">
        <f t="shared" si="2"/>
        <v>117</v>
      </c>
      <c r="B120" s="29" t="s">
        <v>434</v>
      </c>
      <c r="C120" s="29" t="s">
        <v>20</v>
      </c>
      <c r="D120" s="29" t="s">
        <v>74</v>
      </c>
      <c r="E120" s="29" t="s">
        <v>75</v>
      </c>
      <c r="F120" s="29" t="s">
        <v>435</v>
      </c>
      <c r="G120" s="28" t="s">
        <v>77</v>
      </c>
      <c r="H120" s="30">
        <v>45771</v>
      </c>
      <c r="I120" s="34">
        <v>46135</v>
      </c>
      <c r="J120" s="34">
        <f t="shared" si="3"/>
        <v>46135</v>
      </c>
      <c r="K120" s="28" t="str">
        <f t="shared" si="5"/>
        <v>46135</v>
      </c>
      <c r="L120" s="28" t="s">
        <v>27</v>
      </c>
      <c r="M120" s="29" t="s">
        <v>28</v>
      </c>
      <c r="N120" s="28" t="s">
        <v>29</v>
      </c>
      <c r="O120" s="28" t="s">
        <v>51</v>
      </c>
      <c r="P120" s="28" t="s">
        <v>396</v>
      </c>
      <c r="Q120" s="28"/>
    </row>
    <row r="121" s="23" customFormat="1" ht="45" customHeight="1" spans="1:17">
      <c r="A121" s="28">
        <f t="shared" si="2"/>
        <v>118</v>
      </c>
      <c r="B121" s="29" t="s">
        <v>436</v>
      </c>
      <c r="C121" s="29" t="s">
        <v>20</v>
      </c>
      <c r="D121" s="29" t="s">
        <v>100</v>
      </c>
      <c r="E121" s="29" t="s">
        <v>176</v>
      </c>
      <c r="F121" s="29" t="s">
        <v>437</v>
      </c>
      <c r="G121" s="28" t="s">
        <v>77</v>
      </c>
      <c r="H121" s="30">
        <v>45771</v>
      </c>
      <c r="I121" s="34">
        <v>46135</v>
      </c>
      <c r="J121" s="34">
        <f t="shared" si="3"/>
        <v>46135</v>
      </c>
      <c r="K121" s="28" t="str">
        <f t="shared" si="5"/>
        <v>46135</v>
      </c>
      <c r="L121" s="28" t="s">
        <v>27</v>
      </c>
      <c r="M121" s="29" t="s">
        <v>28</v>
      </c>
      <c r="N121" s="28" t="s">
        <v>29</v>
      </c>
      <c r="O121" s="28" t="s">
        <v>51</v>
      </c>
      <c r="P121" s="28" t="s">
        <v>420</v>
      </c>
      <c r="Q121" s="28"/>
    </row>
    <row r="122" s="23" customFormat="1" ht="45" customHeight="1" spans="1:17">
      <c r="A122" s="28">
        <f t="shared" si="2"/>
        <v>119</v>
      </c>
      <c r="B122" s="29" t="s">
        <v>438</v>
      </c>
      <c r="C122" s="29" t="s">
        <v>20</v>
      </c>
      <c r="D122" s="29" t="s">
        <v>74</v>
      </c>
      <c r="E122" s="29" t="s">
        <v>75</v>
      </c>
      <c r="F122" s="29" t="s">
        <v>439</v>
      </c>
      <c r="G122" s="28" t="s">
        <v>77</v>
      </c>
      <c r="H122" s="30">
        <v>45771</v>
      </c>
      <c r="I122" s="34">
        <v>46135</v>
      </c>
      <c r="J122" s="34">
        <f t="shared" si="3"/>
        <v>46135</v>
      </c>
      <c r="K122" s="28" t="str">
        <f t="shared" si="5"/>
        <v>46135</v>
      </c>
      <c r="L122" s="28" t="s">
        <v>27</v>
      </c>
      <c r="M122" s="29" t="s">
        <v>28</v>
      </c>
      <c r="N122" s="28" t="s">
        <v>29</v>
      </c>
      <c r="O122" s="28" t="s">
        <v>51</v>
      </c>
      <c r="P122" s="28" t="s">
        <v>440</v>
      </c>
      <c r="Q122" s="28"/>
    </row>
    <row r="123" s="23" customFormat="1" ht="45" customHeight="1" spans="1:17">
      <c r="A123" s="28">
        <f t="shared" si="2"/>
        <v>120</v>
      </c>
      <c r="B123" s="29" t="s">
        <v>441</v>
      </c>
      <c r="C123" s="29" t="s">
        <v>20</v>
      </c>
      <c r="D123" s="29" t="s">
        <v>100</v>
      </c>
      <c r="E123" s="29" t="s">
        <v>176</v>
      </c>
      <c r="F123" s="29" t="s">
        <v>442</v>
      </c>
      <c r="G123" s="28" t="s">
        <v>77</v>
      </c>
      <c r="H123" s="30">
        <v>45771</v>
      </c>
      <c r="I123" s="34">
        <v>46135</v>
      </c>
      <c r="J123" s="34">
        <f t="shared" si="3"/>
        <v>46135</v>
      </c>
      <c r="K123" s="28" t="str">
        <f t="shared" si="5"/>
        <v>46135</v>
      </c>
      <c r="L123" s="28" t="s">
        <v>27</v>
      </c>
      <c r="M123" s="29" t="s">
        <v>28</v>
      </c>
      <c r="N123" s="28" t="s">
        <v>29</v>
      </c>
      <c r="O123" s="28" t="s">
        <v>51</v>
      </c>
      <c r="P123" s="28" t="s">
        <v>364</v>
      </c>
      <c r="Q123" s="28"/>
    </row>
    <row r="124" s="23" customFormat="1" ht="45" customHeight="1" spans="1:17">
      <c r="A124" s="28">
        <f t="shared" si="2"/>
        <v>121</v>
      </c>
      <c r="B124" s="29" t="s">
        <v>443</v>
      </c>
      <c r="C124" s="29" t="s">
        <v>20</v>
      </c>
      <c r="D124" s="29" t="s">
        <v>74</v>
      </c>
      <c r="E124" s="29" t="s">
        <v>75</v>
      </c>
      <c r="F124" s="29" t="s">
        <v>444</v>
      </c>
      <c r="G124" s="28" t="s">
        <v>77</v>
      </c>
      <c r="H124" s="30">
        <v>45771</v>
      </c>
      <c r="I124" s="34">
        <v>46135</v>
      </c>
      <c r="J124" s="34">
        <f t="shared" si="3"/>
        <v>46135</v>
      </c>
      <c r="K124" s="28" t="str">
        <f t="shared" si="5"/>
        <v>46135</v>
      </c>
      <c r="L124" s="28" t="s">
        <v>27</v>
      </c>
      <c r="M124" s="29" t="s">
        <v>28</v>
      </c>
      <c r="N124" s="28" t="s">
        <v>29</v>
      </c>
      <c r="O124" s="28" t="s">
        <v>51</v>
      </c>
      <c r="P124" s="28" t="s">
        <v>445</v>
      </c>
      <c r="Q124" s="28"/>
    </row>
    <row r="125" s="23" customFormat="1" ht="45" customHeight="1" spans="1:17">
      <c r="A125" s="28">
        <f t="shared" si="2"/>
        <v>122</v>
      </c>
      <c r="B125" s="29" t="s">
        <v>446</v>
      </c>
      <c r="C125" s="29" t="s">
        <v>20</v>
      </c>
      <c r="D125" s="29" t="s">
        <v>100</v>
      </c>
      <c r="E125" s="29" t="s">
        <v>399</v>
      </c>
      <c r="F125" s="29" t="s">
        <v>447</v>
      </c>
      <c r="G125" s="28" t="s">
        <v>77</v>
      </c>
      <c r="H125" s="30">
        <v>45771</v>
      </c>
      <c r="I125" s="34">
        <v>46135</v>
      </c>
      <c r="J125" s="34">
        <f t="shared" si="3"/>
        <v>46135</v>
      </c>
      <c r="K125" s="28" t="str">
        <f t="shared" si="5"/>
        <v>46135</v>
      </c>
      <c r="L125" s="28" t="s">
        <v>27</v>
      </c>
      <c r="M125" s="29" t="s">
        <v>28</v>
      </c>
      <c r="N125" s="28" t="s">
        <v>29</v>
      </c>
      <c r="O125" s="28" t="s">
        <v>51</v>
      </c>
      <c r="P125" s="28" t="s">
        <v>358</v>
      </c>
      <c r="Q125" s="28"/>
    </row>
    <row r="126" s="23" customFormat="1" ht="45" customHeight="1" spans="1:17">
      <c r="A126" s="28">
        <f t="shared" si="2"/>
        <v>123</v>
      </c>
      <c r="B126" s="29" t="s">
        <v>448</v>
      </c>
      <c r="C126" s="29" t="s">
        <v>20</v>
      </c>
      <c r="D126" s="29" t="s">
        <v>74</v>
      </c>
      <c r="E126" s="29" t="s">
        <v>75</v>
      </c>
      <c r="F126" s="29" t="s">
        <v>449</v>
      </c>
      <c r="G126" s="28" t="s">
        <v>77</v>
      </c>
      <c r="H126" s="30">
        <v>45771</v>
      </c>
      <c r="I126" s="34">
        <v>46135</v>
      </c>
      <c r="J126" s="34">
        <f t="shared" si="3"/>
        <v>46135</v>
      </c>
      <c r="K126" s="28" t="str">
        <f t="shared" si="5"/>
        <v>46135</v>
      </c>
      <c r="L126" s="28" t="s">
        <v>27</v>
      </c>
      <c r="M126" s="29" t="s">
        <v>28</v>
      </c>
      <c r="N126" s="28" t="s">
        <v>29</v>
      </c>
      <c r="O126" s="28" t="s">
        <v>51</v>
      </c>
      <c r="P126" s="28" t="s">
        <v>80</v>
      </c>
      <c r="Q126" s="28"/>
    </row>
    <row r="127" s="23" customFormat="1" ht="45" customHeight="1" spans="1:17">
      <c r="A127" s="28">
        <f t="shared" si="2"/>
        <v>124</v>
      </c>
      <c r="B127" s="29" t="s">
        <v>450</v>
      </c>
      <c r="C127" s="29" t="s">
        <v>20</v>
      </c>
      <c r="D127" s="29" t="s">
        <v>74</v>
      </c>
      <c r="E127" s="29" t="s">
        <v>75</v>
      </c>
      <c r="F127" s="29" t="s">
        <v>451</v>
      </c>
      <c r="G127" s="28" t="s">
        <v>77</v>
      </c>
      <c r="H127" s="30">
        <v>45771</v>
      </c>
      <c r="I127" s="34">
        <v>46135</v>
      </c>
      <c r="J127" s="34">
        <f t="shared" si="3"/>
        <v>46135</v>
      </c>
      <c r="K127" s="28" t="str">
        <f t="shared" si="5"/>
        <v>46135</v>
      </c>
      <c r="L127" s="28" t="s">
        <v>27</v>
      </c>
      <c r="M127" s="29" t="s">
        <v>28</v>
      </c>
      <c r="N127" s="28" t="s">
        <v>29</v>
      </c>
      <c r="O127" s="28" t="s">
        <v>51</v>
      </c>
      <c r="P127" s="28" t="s">
        <v>452</v>
      </c>
      <c r="Q127" s="28"/>
    </row>
    <row r="128" s="23" customFormat="1" ht="45" customHeight="1" spans="1:17">
      <c r="A128" s="28">
        <f t="shared" si="2"/>
        <v>125</v>
      </c>
      <c r="B128" s="29" t="s">
        <v>453</v>
      </c>
      <c r="C128" s="29" t="s">
        <v>20</v>
      </c>
      <c r="D128" s="29" t="s">
        <v>74</v>
      </c>
      <c r="E128" s="29" t="s">
        <v>75</v>
      </c>
      <c r="F128" s="29" t="s">
        <v>454</v>
      </c>
      <c r="G128" s="28" t="s">
        <v>77</v>
      </c>
      <c r="H128" s="30">
        <v>45771</v>
      </c>
      <c r="I128" s="34">
        <v>46135</v>
      </c>
      <c r="J128" s="34">
        <f t="shared" si="3"/>
        <v>46135</v>
      </c>
      <c r="K128" s="28" t="str">
        <f t="shared" si="5"/>
        <v>46135</v>
      </c>
      <c r="L128" s="28" t="s">
        <v>27</v>
      </c>
      <c r="M128" s="29" t="s">
        <v>28</v>
      </c>
      <c r="N128" s="28" t="s">
        <v>29</v>
      </c>
      <c r="O128" s="28" t="s">
        <v>51</v>
      </c>
      <c r="P128" s="28" t="s">
        <v>293</v>
      </c>
      <c r="Q128" s="28"/>
    </row>
    <row r="129" s="23" customFormat="1" ht="45" customHeight="1" spans="1:17">
      <c r="A129" s="28">
        <f t="shared" si="2"/>
        <v>126</v>
      </c>
      <c r="B129" s="29" t="s">
        <v>455</v>
      </c>
      <c r="C129" s="29" t="s">
        <v>20</v>
      </c>
      <c r="D129" s="29" t="s">
        <v>100</v>
      </c>
      <c r="E129" s="29" t="s">
        <v>176</v>
      </c>
      <c r="F129" s="29" t="s">
        <v>456</v>
      </c>
      <c r="G129" s="28" t="s">
        <v>77</v>
      </c>
      <c r="H129" s="30">
        <v>45771</v>
      </c>
      <c r="I129" s="34">
        <v>46135</v>
      </c>
      <c r="J129" s="34">
        <f t="shared" si="3"/>
        <v>46135</v>
      </c>
      <c r="K129" s="28" t="str">
        <f t="shared" si="5"/>
        <v>46135</v>
      </c>
      <c r="L129" s="28" t="s">
        <v>27</v>
      </c>
      <c r="M129" s="29" t="s">
        <v>28</v>
      </c>
      <c r="N129" s="28" t="s">
        <v>29</v>
      </c>
      <c r="O129" s="28" t="s">
        <v>51</v>
      </c>
      <c r="P129" s="28" t="s">
        <v>420</v>
      </c>
      <c r="Q129" s="28"/>
    </row>
    <row r="130" s="23" customFormat="1" ht="45" customHeight="1" spans="1:17">
      <c r="A130" s="28">
        <f t="shared" si="2"/>
        <v>127</v>
      </c>
      <c r="B130" s="29" t="s">
        <v>457</v>
      </c>
      <c r="C130" s="29" t="s">
        <v>20</v>
      </c>
      <c r="D130" s="29" t="s">
        <v>100</v>
      </c>
      <c r="E130" s="29" t="s">
        <v>176</v>
      </c>
      <c r="F130" s="29" t="s">
        <v>458</v>
      </c>
      <c r="G130" s="28" t="s">
        <v>77</v>
      </c>
      <c r="H130" s="30">
        <v>45771</v>
      </c>
      <c r="I130" s="34">
        <v>46135</v>
      </c>
      <c r="J130" s="34">
        <f t="shared" si="3"/>
        <v>46135</v>
      </c>
      <c r="K130" s="28" t="str">
        <f t="shared" si="5"/>
        <v>46135</v>
      </c>
      <c r="L130" s="28" t="s">
        <v>27</v>
      </c>
      <c r="M130" s="29" t="s">
        <v>28</v>
      </c>
      <c r="N130" s="28" t="s">
        <v>29</v>
      </c>
      <c r="O130" s="28" t="s">
        <v>51</v>
      </c>
      <c r="P130" s="28" t="s">
        <v>420</v>
      </c>
      <c r="Q130" s="28"/>
    </row>
    <row r="131" s="23" customFormat="1" ht="45" customHeight="1" spans="1:17">
      <c r="A131" s="28">
        <f t="shared" si="2"/>
        <v>128</v>
      </c>
      <c r="B131" s="29" t="s">
        <v>459</v>
      </c>
      <c r="C131" s="29" t="s">
        <v>20</v>
      </c>
      <c r="D131" s="29" t="s">
        <v>460</v>
      </c>
      <c r="E131" s="29" t="s">
        <v>461</v>
      </c>
      <c r="F131" s="29" t="s">
        <v>462</v>
      </c>
      <c r="G131" s="28" t="s">
        <v>24</v>
      </c>
      <c r="H131" s="29" t="s">
        <v>141</v>
      </c>
      <c r="I131" s="34" t="s">
        <v>142</v>
      </c>
      <c r="J131" s="29" t="s">
        <v>142</v>
      </c>
      <c r="K131" s="28" t="str">
        <f>LEFT(J131,7)</f>
        <v>2025-10</v>
      </c>
      <c r="L131" s="28" t="s">
        <v>27</v>
      </c>
      <c r="M131" s="29" t="s">
        <v>28</v>
      </c>
      <c r="N131" s="28" t="s">
        <v>39</v>
      </c>
      <c r="O131" s="28" t="s">
        <v>30</v>
      </c>
      <c r="P131" s="28" t="s">
        <v>247</v>
      </c>
      <c r="Q131" s="29" t="s">
        <v>375</v>
      </c>
    </row>
    <row r="132" s="23" customFormat="1" ht="45" customHeight="1" spans="1:17">
      <c r="A132" s="28">
        <f t="shared" si="2"/>
        <v>129</v>
      </c>
      <c r="B132" s="29" t="s">
        <v>463</v>
      </c>
      <c r="C132" s="29" t="s">
        <v>20</v>
      </c>
      <c r="D132" s="29" t="s">
        <v>460</v>
      </c>
      <c r="E132" s="29" t="s">
        <v>461</v>
      </c>
      <c r="F132" s="29" t="s">
        <v>464</v>
      </c>
      <c r="G132" s="28" t="s">
        <v>24</v>
      </c>
      <c r="H132" s="29" t="s">
        <v>141</v>
      </c>
      <c r="I132" s="34" t="s">
        <v>142</v>
      </c>
      <c r="J132" s="29" t="s">
        <v>142</v>
      </c>
      <c r="K132" s="28" t="str">
        <f>LEFT(J132,7)</f>
        <v>2025-10</v>
      </c>
      <c r="L132" s="28" t="s">
        <v>27</v>
      </c>
      <c r="M132" s="29" t="s">
        <v>28</v>
      </c>
      <c r="N132" s="28" t="s">
        <v>39</v>
      </c>
      <c r="O132" s="28" t="s">
        <v>30</v>
      </c>
      <c r="P132" s="28" t="s">
        <v>247</v>
      </c>
      <c r="Q132" s="29" t="s">
        <v>375</v>
      </c>
    </row>
    <row r="133" s="23" customFormat="1" ht="45" customHeight="1" spans="1:17">
      <c r="A133" s="28">
        <f t="shared" ref="A133:A196" si="6">ROW()-3</f>
        <v>130</v>
      </c>
      <c r="B133" s="29" t="s">
        <v>465</v>
      </c>
      <c r="C133" s="29" t="s">
        <v>20</v>
      </c>
      <c r="D133" s="29" t="s">
        <v>466</v>
      </c>
      <c r="E133" s="29" t="s">
        <v>467</v>
      </c>
      <c r="F133" s="29" t="s">
        <v>468</v>
      </c>
      <c r="G133" s="28" t="s">
        <v>36</v>
      </c>
      <c r="H133" s="29" t="s">
        <v>56</v>
      </c>
      <c r="I133" s="34" t="s">
        <v>57</v>
      </c>
      <c r="J133" s="29" t="s">
        <v>57</v>
      </c>
      <c r="K133" s="28" t="str">
        <f t="shared" ref="K133:K161" si="7">LEFT(J133,7)</f>
        <v>2025-10</v>
      </c>
      <c r="L133" s="28" t="s">
        <v>27</v>
      </c>
      <c r="M133" s="29" t="s">
        <v>28</v>
      </c>
      <c r="N133" s="28" t="s">
        <v>39</v>
      </c>
      <c r="O133" s="28" t="s">
        <v>30</v>
      </c>
      <c r="P133" s="28" t="s">
        <v>358</v>
      </c>
      <c r="Q133" s="28"/>
    </row>
    <row r="134" s="23" customFormat="1" ht="45" customHeight="1" spans="1:17">
      <c r="A134" s="28">
        <f t="shared" si="6"/>
        <v>131</v>
      </c>
      <c r="B134" s="29" t="s">
        <v>469</v>
      </c>
      <c r="C134" s="29" t="s">
        <v>20</v>
      </c>
      <c r="D134" s="29" t="s">
        <v>470</v>
      </c>
      <c r="E134" s="29" t="s">
        <v>471</v>
      </c>
      <c r="F134" s="29" t="s">
        <v>472</v>
      </c>
      <c r="G134" s="28" t="s">
        <v>36</v>
      </c>
      <c r="H134" s="29" t="s">
        <v>56</v>
      </c>
      <c r="I134" s="34" t="s">
        <v>57</v>
      </c>
      <c r="J134" s="29" t="s">
        <v>57</v>
      </c>
      <c r="K134" s="28" t="str">
        <f t="shared" si="7"/>
        <v>2025-10</v>
      </c>
      <c r="L134" s="28" t="s">
        <v>27</v>
      </c>
      <c r="M134" s="29" t="s">
        <v>28</v>
      </c>
      <c r="N134" s="28" t="s">
        <v>29</v>
      </c>
      <c r="O134" s="28" t="s">
        <v>30</v>
      </c>
      <c r="P134" s="28" t="s">
        <v>143</v>
      </c>
      <c r="Q134" s="28"/>
    </row>
    <row r="135" s="23" customFormat="1" ht="45" customHeight="1" spans="1:17">
      <c r="A135" s="28">
        <f t="shared" si="6"/>
        <v>132</v>
      </c>
      <c r="B135" s="29" t="s">
        <v>473</v>
      </c>
      <c r="C135" s="29" t="s">
        <v>20</v>
      </c>
      <c r="D135" s="29" t="s">
        <v>200</v>
      </c>
      <c r="E135" s="29" t="s">
        <v>474</v>
      </c>
      <c r="F135" s="29" t="s">
        <v>475</v>
      </c>
      <c r="G135" s="28" t="s">
        <v>36</v>
      </c>
      <c r="H135" s="29" t="s">
        <v>56</v>
      </c>
      <c r="I135" s="34" t="s">
        <v>57</v>
      </c>
      <c r="J135" s="29" t="s">
        <v>57</v>
      </c>
      <c r="K135" s="28" t="str">
        <f t="shared" si="7"/>
        <v>2025-10</v>
      </c>
      <c r="L135" s="28" t="s">
        <v>27</v>
      </c>
      <c r="M135" s="29" t="s">
        <v>28</v>
      </c>
      <c r="N135" s="28" t="s">
        <v>29</v>
      </c>
      <c r="O135" s="28" t="s">
        <v>30</v>
      </c>
      <c r="P135" s="28" t="s">
        <v>364</v>
      </c>
      <c r="Q135" s="28"/>
    </row>
    <row r="136" s="23" customFormat="1" ht="45" customHeight="1" spans="1:17">
      <c r="A136" s="28">
        <f t="shared" si="6"/>
        <v>133</v>
      </c>
      <c r="B136" s="29" t="s">
        <v>476</v>
      </c>
      <c r="C136" s="29" t="s">
        <v>20</v>
      </c>
      <c r="D136" s="29" t="s">
        <v>163</v>
      </c>
      <c r="E136" s="29" t="s">
        <v>168</v>
      </c>
      <c r="F136" s="29" t="s">
        <v>165</v>
      </c>
      <c r="G136" s="28" t="s">
        <v>24</v>
      </c>
      <c r="H136" s="29" t="s">
        <v>56</v>
      </c>
      <c r="I136" s="34" t="s">
        <v>57</v>
      </c>
      <c r="J136" s="29" t="s">
        <v>57</v>
      </c>
      <c r="K136" s="28" t="str">
        <f t="shared" si="7"/>
        <v>2025-10</v>
      </c>
      <c r="L136" s="28" t="s">
        <v>27</v>
      </c>
      <c r="M136" s="29" t="s">
        <v>28</v>
      </c>
      <c r="N136" s="28" t="s">
        <v>39</v>
      </c>
      <c r="O136" s="28" t="s">
        <v>51</v>
      </c>
      <c r="P136" s="28" t="s">
        <v>143</v>
      </c>
      <c r="Q136" s="28"/>
    </row>
    <row r="137" s="23" customFormat="1" ht="45" customHeight="1" spans="1:17">
      <c r="A137" s="28">
        <f t="shared" si="6"/>
        <v>134</v>
      </c>
      <c r="B137" s="29" t="s">
        <v>477</v>
      </c>
      <c r="C137" s="29" t="s">
        <v>20</v>
      </c>
      <c r="D137" s="29" t="s">
        <v>478</v>
      </c>
      <c r="E137" s="29" t="s">
        <v>479</v>
      </c>
      <c r="F137" s="29" t="s">
        <v>480</v>
      </c>
      <c r="G137" s="28" t="s">
        <v>481</v>
      </c>
      <c r="H137" s="29" t="s">
        <v>482</v>
      </c>
      <c r="I137" s="34" t="s">
        <v>483</v>
      </c>
      <c r="J137" s="29" t="s">
        <v>483</v>
      </c>
      <c r="K137" s="28" t="str">
        <f t="shared" si="7"/>
        <v>2025-10</v>
      </c>
      <c r="L137" s="28" t="s">
        <v>27</v>
      </c>
      <c r="M137" s="29" t="s">
        <v>28</v>
      </c>
      <c r="N137" s="28" t="s">
        <v>39</v>
      </c>
      <c r="O137" s="28" t="s">
        <v>30</v>
      </c>
      <c r="P137" s="28" t="s">
        <v>364</v>
      </c>
      <c r="Q137" s="28"/>
    </row>
    <row r="138" s="23" customFormat="1" ht="45" customHeight="1" spans="1:17">
      <c r="A138" s="28">
        <f t="shared" si="6"/>
        <v>135</v>
      </c>
      <c r="B138" s="29" t="s">
        <v>484</v>
      </c>
      <c r="C138" s="29" t="s">
        <v>20</v>
      </c>
      <c r="D138" s="29" t="s">
        <v>485</v>
      </c>
      <c r="E138" s="29" t="s">
        <v>486</v>
      </c>
      <c r="F138" s="29" t="s">
        <v>487</v>
      </c>
      <c r="G138" s="28" t="s">
        <v>481</v>
      </c>
      <c r="H138" s="29" t="s">
        <v>482</v>
      </c>
      <c r="I138" s="34" t="s">
        <v>483</v>
      </c>
      <c r="J138" s="29" t="s">
        <v>483</v>
      </c>
      <c r="K138" s="28" t="str">
        <f t="shared" si="7"/>
        <v>2025-10</v>
      </c>
      <c r="L138" s="28" t="s">
        <v>27</v>
      </c>
      <c r="M138" s="29" t="s">
        <v>28</v>
      </c>
      <c r="N138" s="28" t="s">
        <v>39</v>
      </c>
      <c r="O138" s="28" t="s">
        <v>30</v>
      </c>
      <c r="P138" s="28" t="s">
        <v>364</v>
      </c>
      <c r="Q138" s="28"/>
    </row>
    <row r="139" s="23" customFormat="1" ht="45" customHeight="1" spans="1:17">
      <c r="A139" s="28">
        <f t="shared" si="6"/>
        <v>136</v>
      </c>
      <c r="B139" s="29" t="s">
        <v>488</v>
      </c>
      <c r="C139" s="29" t="s">
        <v>20</v>
      </c>
      <c r="D139" s="29" t="s">
        <v>295</v>
      </c>
      <c r="E139" s="29" t="s">
        <v>489</v>
      </c>
      <c r="F139" s="29" t="s">
        <v>490</v>
      </c>
      <c r="G139" s="28" t="s">
        <v>77</v>
      </c>
      <c r="H139" s="29" t="s">
        <v>491</v>
      </c>
      <c r="I139" s="34" t="s">
        <v>492</v>
      </c>
      <c r="J139" s="29" t="s">
        <v>492</v>
      </c>
      <c r="K139" s="28" t="str">
        <f t="shared" si="7"/>
        <v>2025-10</v>
      </c>
      <c r="L139" s="28" t="s">
        <v>27</v>
      </c>
      <c r="M139" s="29" t="s">
        <v>28</v>
      </c>
      <c r="N139" s="28" t="s">
        <v>29</v>
      </c>
      <c r="O139" s="28" t="s">
        <v>30</v>
      </c>
      <c r="P139" s="28" t="s">
        <v>358</v>
      </c>
      <c r="Q139" s="28"/>
    </row>
    <row r="140" s="23" customFormat="1" ht="45" customHeight="1" spans="1:17">
      <c r="A140" s="28">
        <f t="shared" si="6"/>
        <v>137</v>
      </c>
      <c r="B140" s="29" t="s">
        <v>493</v>
      </c>
      <c r="C140" s="29" t="s">
        <v>20</v>
      </c>
      <c r="D140" s="29" t="s">
        <v>494</v>
      </c>
      <c r="E140" s="29" t="s">
        <v>495</v>
      </c>
      <c r="F140" s="29" t="s">
        <v>496</v>
      </c>
      <c r="G140" s="28" t="s">
        <v>481</v>
      </c>
      <c r="H140" s="29" t="s">
        <v>141</v>
      </c>
      <c r="I140" s="34" t="s">
        <v>142</v>
      </c>
      <c r="J140" s="29" t="s">
        <v>142</v>
      </c>
      <c r="K140" s="28" t="str">
        <f t="shared" si="7"/>
        <v>2025-10</v>
      </c>
      <c r="L140" s="28" t="s">
        <v>27</v>
      </c>
      <c r="M140" s="29" t="s">
        <v>28</v>
      </c>
      <c r="N140" s="28" t="s">
        <v>39</v>
      </c>
      <c r="O140" s="28" t="s">
        <v>30</v>
      </c>
      <c r="P140" s="28" t="s">
        <v>364</v>
      </c>
      <c r="Q140" s="28"/>
    </row>
    <row r="141" s="23" customFormat="1" ht="45" customHeight="1" spans="1:17">
      <c r="A141" s="28">
        <f t="shared" si="6"/>
        <v>138</v>
      </c>
      <c r="B141" s="29" t="s">
        <v>497</v>
      </c>
      <c r="C141" s="29" t="s">
        <v>20</v>
      </c>
      <c r="D141" s="29" t="s">
        <v>498</v>
      </c>
      <c r="E141" s="29" t="s">
        <v>233</v>
      </c>
      <c r="F141" s="29" t="s">
        <v>499</v>
      </c>
      <c r="G141" s="28" t="s">
        <v>36</v>
      </c>
      <c r="H141" s="29" t="s">
        <v>56</v>
      </c>
      <c r="I141" s="34" t="s">
        <v>57</v>
      </c>
      <c r="J141" s="29" t="s">
        <v>57</v>
      </c>
      <c r="K141" s="28" t="str">
        <f t="shared" si="7"/>
        <v>2025-10</v>
      </c>
      <c r="L141" s="28" t="s">
        <v>27</v>
      </c>
      <c r="M141" s="29" t="s">
        <v>28</v>
      </c>
      <c r="N141" s="28" t="s">
        <v>39</v>
      </c>
      <c r="O141" s="28" t="s">
        <v>30</v>
      </c>
      <c r="P141" s="28" t="s">
        <v>358</v>
      </c>
      <c r="Q141" s="28"/>
    </row>
    <row r="142" s="23" customFormat="1" ht="45" customHeight="1" spans="1:17">
      <c r="A142" s="28">
        <f t="shared" si="6"/>
        <v>139</v>
      </c>
      <c r="B142" s="29" t="s">
        <v>500</v>
      </c>
      <c r="C142" s="29" t="s">
        <v>20</v>
      </c>
      <c r="D142" s="29" t="s">
        <v>466</v>
      </c>
      <c r="E142" s="29" t="s">
        <v>501</v>
      </c>
      <c r="F142" s="29" t="s">
        <v>502</v>
      </c>
      <c r="G142" s="28" t="s">
        <v>36</v>
      </c>
      <c r="H142" s="29" t="s">
        <v>56</v>
      </c>
      <c r="I142" s="34" t="s">
        <v>57</v>
      </c>
      <c r="J142" s="29" t="s">
        <v>57</v>
      </c>
      <c r="K142" s="28" t="str">
        <f t="shared" si="7"/>
        <v>2025-10</v>
      </c>
      <c r="L142" s="28" t="s">
        <v>27</v>
      </c>
      <c r="M142" s="29" t="s">
        <v>28</v>
      </c>
      <c r="N142" s="28" t="s">
        <v>39</v>
      </c>
      <c r="O142" s="28" t="s">
        <v>30</v>
      </c>
      <c r="P142" s="28" t="s">
        <v>358</v>
      </c>
      <c r="Q142" s="28"/>
    </row>
    <row r="143" s="23" customFormat="1" ht="45" customHeight="1" spans="1:17">
      <c r="A143" s="28">
        <f t="shared" si="6"/>
        <v>140</v>
      </c>
      <c r="B143" s="29" t="s">
        <v>503</v>
      </c>
      <c r="C143" s="29" t="s">
        <v>20</v>
      </c>
      <c r="D143" s="29" t="s">
        <v>466</v>
      </c>
      <c r="E143" s="29" t="s">
        <v>504</v>
      </c>
      <c r="F143" s="29" t="s">
        <v>505</v>
      </c>
      <c r="G143" s="28" t="s">
        <v>36</v>
      </c>
      <c r="H143" s="29" t="s">
        <v>56</v>
      </c>
      <c r="I143" s="34" t="s">
        <v>57</v>
      </c>
      <c r="J143" s="29" t="s">
        <v>57</v>
      </c>
      <c r="K143" s="28" t="str">
        <f t="shared" si="7"/>
        <v>2025-10</v>
      </c>
      <c r="L143" s="28" t="s">
        <v>27</v>
      </c>
      <c r="M143" s="29" t="s">
        <v>28</v>
      </c>
      <c r="N143" s="28" t="s">
        <v>39</v>
      </c>
      <c r="O143" s="28" t="s">
        <v>30</v>
      </c>
      <c r="P143" s="28" t="s">
        <v>247</v>
      </c>
      <c r="Q143" s="29" t="s">
        <v>375</v>
      </c>
    </row>
    <row r="144" s="23" customFormat="1" ht="45" customHeight="1" spans="1:17">
      <c r="A144" s="28">
        <f t="shared" si="6"/>
        <v>141</v>
      </c>
      <c r="B144" s="29" t="s">
        <v>506</v>
      </c>
      <c r="C144" s="29" t="s">
        <v>20</v>
      </c>
      <c r="D144" s="29" t="s">
        <v>48</v>
      </c>
      <c r="E144" s="29" t="s">
        <v>49</v>
      </c>
      <c r="F144" s="29" t="s">
        <v>507</v>
      </c>
      <c r="G144" s="28" t="s">
        <v>36</v>
      </c>
      <c r="H144" s="29" t="s">
        <v>56</v>
      </c>
      <c r="I144" s="34" t="s">
        <v>57</v>
      </c>
      <c r="J144" s="29" t="s">
        <v>57</v>
      </c>
      <c r="K144" s="28" t="str">
        <f t="shared" si="7"/>
        <v>2025-10</v>
      </c>
      <c r="L144" s="28" t="s">
        <v>27</v>
      </c>
      <c r="M144" s="29" t="s">
        <v>28</v>
      </c>
      <c r="N144" s="28" t="s">
        <v>29</v>
      </c>
      <c r="O144" s="28" t="s">
        <v>30</v>
      </c>
      <c r="P144" s="28" t="s">
        <v>247</v>
      </c>
      <c r="Q144" s="29" t="s">
        <v>256</v>
      </c>
    </row>
    <row r="145" s="23" customFormat="1" ht="45" customHeight="1" spans="1:17">
      <c r="A145" s="28">
        <f t="shared" si="6"/>
        <v>142</v>
      </c>
      <c r="B145" s="36" t="s">
        <v>508</v>
      </c>
      <c r="C145" s="36" t="s">
        <v>20</v>
      </c>
      <c r="D145" s="36" t="s">
        <v>509</v>
      </c>
      <c r="E145" s="36" t="s">
        <v>510</v>
      </c>
      <c r="F145" s="36" t="s">
        <v>511</v>
      </c>
      <c r="G145" s="28" t="s">
        <v>36</v>
      </c>
      <c r="H145" s="36" t="s">
        <v>56</v>
      </c>
      <c r="I145" s="37" t="s">
        <v>57</v>
      </c>
      <c r="J145" s="36" t="s">
        <v>57</v>
      </c>
      <c r="K145" s="28" t="str">
        <f t="shared" si="7"/>
        <v>2025-10</v>
      </c>
      <c r="L145" s="28" t="s">
        <v>512</v>
      </c>
      <c r="M145" s="36" t="s">
        <v>28</v>
      </c>
      <c r="N145" s="28" t="s">
        <v>29</v>
      </c>
      <c r="O145" s="28" t="s">
        <v>30</v>
      </c>
      <c r="P145" s="28" t="s">
        <v>247</v>
      </c>
      <c r="Q145" s="36" t="s">
        <v>248</v>
      </c>
    </row>
    <row r="146" s="23" customFormat="1" ht="45" customHeight="1" spans="1:17">
      <c r="A146" s="28">
        <f t="shared" si="6"/>
        <v>143</v>
      </c>
      <c r="B146" s="29" t="s">
        <v>513</v>
      </c>
      <c r="C146" s="29" t="s">
        <v>20</v>
      </c>
      <c r="D146" s="29" t="s">
        <v>217</v>
      </c>
      <c r="E146" s="29" t="s">
        <v>514</v>
      </c>
      <c r="F146" s="29" t="s">
        <v>515</v>
      </c>
      <c r="G146" s="28" t="s">
        <v>36</v>
      </c>
      <c r="H146" s="29" t="s">
        <v>56</v>
      </c>
      <c r="I146" s="34" t="s">
        <v>57</v>
      </c>
      <c r="J146" s="29" t="s">
        <v>57</v>
      </c>
      <c r="K146" s="28" t="str">
        <f t="shared" si="7"/>
        <v>2025-10</v>
      </c>
      <c r="L146" s="28" t="s">
        <v>27</v>
      </c>
      <c r="M146" s="29" t="s">
        <v>28</v>
      </c>
      <c r="N146" s="28" t="s">
        <v>39</v>
      </c>
      <c r="O146" s="28" t="s">
        <v>30</v>
      </c>
      <c r="P146" s="28" t="s">
        <v>247</v>
      </c>
      <c r="Q146" s="29" t="s">
        <v>256</v>
      </c>
    </row>
    <row r="147" s="23" customFormat="1" ht="45" customHeight="1" spans="1:17">
      <c r="A147" s="28">
        <f t="shared" si="6"/>
        <v>144</v>
      </c>
      <c r="B147" s="29" t="s">
        <v>516</v>
      </c>
      <c r="C147" s="29" t="s">
        <v>20</v>
      </c>
      <c r="D147" s="29" t="s">
        <v>217</v>
      </c>
      <c r="E147" s="29" t="s">
        <v>517</v>
      </c>
      <c r="F147" s="29" t="s">
        <v>518</v>
      </c>
      <c r="G147" s="28" t="s">
        <v>36</v>
      </c>
      <c r="H147" s="29" t="s">
        <v>56</v>
      </c>
      <c r="I147" s="34" t="s">
        <v>57</v>
      </c>
      <c r="J147" s="29" t="s">
        <v>57</v>
      </c>
      <c r="K147" s="28" t="str">
        <f t="shared" si="7"/>
        <v>2025-10</v>
      </c>
      <c r="L147" s="28" t="s">
        <v>27</v>
      </c>
      <c r="M147" s="29" t="s">
        <v>28</v>
      </c>
      <c r="N147" s="28" t="s">
        <v>39</v>
      </c>
      <c r="O147" s="28" t="s">
        <v>30</v>
      </c>
      <c r="P147" s="28" t="s">
        <v>358</v>
      </c>
      <c r="Q147" s="28"/>
    </row>
    <row r="148" s="23" customFormat="1" ht="45" customHeight="1" spans="1:17">
      <c r="A148" s="28">
        <f t="shared" si="6"/>
        <v>145</v>
      </c>
      <c r="B148" s="29" t="s">
        <v>519</v>
      </c>
      <c r="C148" s="29" t="s">
        <v>20</v>
      </c>
      <c r="D148" s="29" t="s">
        <v>217</v>
      </c>
      <c r="E148" s="29" t="s">
        <v>218</v>
      </c>
      <c r="F148" s="29" t="s">
        <v>520</v>
      </c>
      <c r="G148" s="28" t="s">
        <v>36</v>
      </c>
      <c r="H148" s="29" t="s">
        <v>56</v>
      </c>
      <c r="I148" s="34" t="s">
        <v>57</v>
      </c>
      <c r="J148" s="29" t="s">
        <v>57</v>
      </c>
      <c r="K148" s="28" t="str">
        <f t="shared" si="7"/>
        <v>2025-10</v>
      </c>
      <c r="L148" s="28" t="s">
        <v>27</v>
      </c>
      <c r="M148" s="29" t="s">
        <v>28</v>
      </c>
      <c r="N148" s="28" t="s">
        <v>39</v>
      </c>
      <c r="O148" s="28" t="s">
        <v>30</v>
      </c>
      <c r="P148" s="28" t="s">
        <v>247</v>
      </c>
      <c r="Q148" s="29" t="s">
        <v>256</v>
      </c>
    </row>
    <row r="149" s="23" customFormat="1" ht="45" customHeight="1" spans="1:17">
      <c r="A149" s="28">
        <f t="shared" si="6"/>
        <v>146</v>
      </c>
      <c r="B149" s="29" t="s">
        <v>521</v>
      </c>
      <c r="C149" s="29" t="s">
        <v>20</v>
      </c>
      <c r="D149" s="29" t="s">
        <v>258</v>
      </c>
      <c r="E149" s="29" t="s">
        <v>322</v>
      </c>
      <c r="F149" s="29" t="s">
        <v>522</v>
      </c>
      <c r="G149" s="28" t="s">
        <v>24</v>
      </c>
      <c r="H149" s="29" t="s">
        <v>56</v>
      </c>
      <c r="I149" s="34" t="s">
        <v>57</v>
      </c>
      <c r="J149" s="29" t="s">
        <v>57</v>
      </c>
      <c r="K149" s="28" t="str">
        <f t="shared" si="7"/>
        <v>2025-10</v>
      </c>
      <c r="L149" s="28" t="s">
        <v>27</v>
      </c>
      <c r="M149" s="29" t="s">
        <v>28</v>
      </c>
      <c r="N149" s="28" t="s">
        <v>39</v>
      </c>
      <c r="O149" s="28" t="s">
        <v>30</v>
      </c>
      <c r="P149" s="28" t="s">
        <v>166</v>
      </c>
      <c r="Q149" s="28"/>
    </row>
    <row r="150" s="23" customFormat="1" ht="45" customHeight="1" spans="1:17">
      <c r="A150" s="28">
        <f t="shared" si="6"/>
        <v>147</v>
      </c>
      <c r="B150" s="29" t="s">
        <v>523</v>
      </c>
      <c r="C150" s="29" t="s">
        <v>20</v>
      </c>
      <c r="D150" s="29" t="s">
        <v>258</v>
      </c>
      <c r="E150" s="29" t="s">
        <v>322</v>
      </c>
      <c r="F150" s="29" t="s">
        <v>524</v>
      </c>
      <c r="G150" s="28" t="s">
        <v>24</v>
      </c>
      <c r="H150" s="29" t="s">
        <v>56</v>
      </c>
      <c r="I150" s="34" t="s">
        <v>57</v>
      </c>
      <c r="J150" s="29" t="s">
        <v>57</v>
      </c>
      <c r="K150" s="28" t="str">
        <f t="shared" si="7"/>
        <v>2025-10</v>
      </c>
      <c r="L150" s="28" t="s">
        <v>27</v>
      </c>
      <c r="M150" s="29" t="s">
        <v>28</v>
      </c>
      <c r="N150" s="28" t="s">
        <v>39</v>
      </c>
      <c r="O150" s="28" t="s">
        <v>30</v>
      </c>
      <c r="P150" s="28" t="s">
        <v>166</v>
      </c>
      <c r="Q150" s="28"/>
    </row>
    <row r="151" s="23" customFormat="1" ht="45" customHeight="1" spans="1:17">
      <c r="A151" s="28">
        <f t="shared" si="6"/>
        <v>148</v>
      </c>
      <c r="B151" s="29" t="s">
        <v>525</v>
      </c>
      <c r="C151" s="29" t="s">
        <v>20</v>
      </c>
      <c r="D151" s="29" t="s">
        <v>258</v>
      </c>
      <c r="E151" s="29" t="s">
        <v>526</v>
      </c>
      <c r="F151" s="29" t="s">
        <v>527</v>
      </c>
      <c r="G151" s="28" t="s">
        <v>24</v>
      </c>
      <c r="H151" s="29" t="s">
        <v>56</v>
      </c>
      <c r="I151" s="34" t="s">
        <v>57</v>
      </c>
      <c r="J151" s="29" t="s">
        <v>57</v>
      </c>
      <c r="K151" s="28" t="str">
        <f t="shared" si="7"/>
        <v>2025-10</v>
      </c>
      <c r="L151" s="28" t="s">
        <v>27</v>
      </c>
      <c r="M151" s="29" t="s">
        <v>28</v>
      </c>
      <c r="N151" s="28" t="s">
        <v>39</v>
      </c>
      <c r="O151" s="28" t="s">
        <v>30</v>
      </c>
      <c r="P151" s="28" t="s">
        <v>358</v>
      </c>
      <c r="Q151" s="28"/>
    </row>
    <row r="152" s="23" customFormat="1" ht="45" customHeight="1" spans="1:17">
      <c r="A152" s="28">
        <f t="shared" si="6"/>
        <v>149</v>
      </c>
      <c r="B152" s="29" t="s">
        <v>528</v>
      </c>
      <c r="C152" s="29" t="s">
        <v>20</v>
      </c>
      <c r="D152" s="29" t="s">
        <v>258</v>
      </c>
      <c r="E152" s="29" t="s">
        <v>529</v>
      </c>
      <c r="F152" s="29" t="s">
        <v>530</v>
      </c>
      <c r="G152" s="28" t="s">
        <v>24</v>
      </c>
      <c r="H152" s="29" t="s">
        <v>56</v>
      </c>
      <c r="I152" s="34" t="s">
        <v>57</v>
      </c>
      <c r="J152" s="29" t="s">
        <v>57</v>
      </c>
      <c r="K152" s="28" t="str">
        <f t="shared" si="7"/>
        <v>2025-10</v>
      </c>
      <c r="L152" s="28" t="s">
        <v>27</v>
      </c>
      <c r="M152" s="29" t="s">
        <v>28</v>
      </c>
      <c r="N152" s="28" t="s">
        <v>39</v>
      </c>
      <c r="O152" s="28" t="s">
        <v>30</v>
      </c>
      <c r="P152" s="28" t="s">
        <v>364</v>
      </c>
      <c r="Q152" s="28"/>
    </row>
    <row r="153" s="23" customFormat="1" ht="45" customHeight="1" spans="1:17">
      <c r="A153" s="28">
        <f t="shared" si="6"/>
        <v>150</v>
      </c>
      <c r="B153" s="29" t="s">
        <v>531</v>
      </c>
      <c r="C153" s="29" t="s">
        <v>20</v>
      </c>
      <c r="D153" s="29" t="s">
        <v>200</v>
      </c>
      <c r="E153" s="29" t="s">
        <v>474</v>
      </c>
      <c r="F153" s="29" t="s">
        <v>532</v>
      </c>
      <c r="G153" s="28" t="s">
        <v>36</v>
      </c>
      <c r="H153" s="29" t="s">
        <v>56</v>
      </c>
      <c r="I153" s="34" t="s">
        <v>57</v>
      </c>
      <c r="J153" s="29" t="s">
        <v>57</v>
      </c>
      <c r="K153" s="28" t="str">
        <f t="shared" si="7"/>
        <v>2025-10</v>
      </c>
      <c r="L153" s="28" t="s">
        <v>27</v>
      </c>
      <c r="M153" s="29" t="s">
        <v>28</v>
      </c>
      <c r="N153" s="28" t="s">
        <v>29</v>
      </c>
      <c r="O153" s="28" t="s">
        <v>30</v>
      </c>
      <c r="P153" s="28" t="s">
        <v>358</v>
      </c>
      <c r="Q153" s="28"/>
    </row>
    <row r="154" s="23" customFormat="1" ht="45" customHeight="1" spans="1:17">
      <c r="A154" s="28">
        <f t="shared" si="6"/>
        <v>151</v>
      </c>
      <c r="B154" s="29" t="s">
        <v>533</v>
      </c>
      <c r="C154" s="29" t="s">
        <v>20</v>
      </c>
      <c r="D154" s="29" t="s">
        <v>200</v>
      </c>
      <c r="E154" s="29" t="s">
        <v>201</v>
      </c>
      <c r="F154" s="29" t="s">
        <v>534</v>
      </c>
      <c r="G154" s="28" t="s">
        <v>36</v>
      </c>
      <c r="H154" s="29" t="s">
        <v>203</v>
      </c>
      <c r="I154" s="34" t="s">
        <v>204</v>
      </c>
      <c r="J154" s="29" t="s">
        <v>204</v>
      </c>
      <c r="K154" s="28" t="str">
        <f t="shared" si="7"/>
        <v>2025-10</v>
      </c>
      <c r="L154" s="28" t="s">
        <v>27</v>
      </c>
      <c r="M154" s="29" t="s">
        <v>28</v>
      </c>
      <c r="N154" s="28" t="s">
        <v>29</v>
      </c>
      <c r="O154" s="28" t="s">
        <v>30</v>
      </c>
      <c r="P154" s="28" t="s">
        <v>535</v>
      </c>
      <c r="Q154" s="28"/>
    </row>
    <row r="155" s="23" customFormat="1" ht="45" customHeight="1" spans="1:17">
      <c r="A155" s="28">
        <f t="shared" si="6"/>
        <v>152</v>
      </c>
      <c r="B155" s="29" t="s">
        <v>536</v>
      </c>
      <c r="C155" s="29" t="s">
        <v>20</v>
      </c>
      <c r="D155" s="29" t="s">
        <v>537</v>
      </c>
      <c r="E155" s="29" t="s">
        <v>538</v>
      </c>
      <c r="F155" s="29" t="s">
        <v>539</v>
      </c>
      <c r="G155" s="28" t="s">
        <v>24</v>
      </c>
      <c r="H155" s="29" t="s">
        <v>203</v>
      </c>
      <c r="I155" s="34" t="s">
        <v>204</v>
      </c>
      <c r="J155" s="29" t="s">
        <v>204</v>
      </c>
      <c r="K155" s="28" t="str">
        <f t="shared" si="7"/>
        <v>2025-10</v>
      </c>
      <c r="L155" s="28" t="s">
        <v>27</v>
      </c>
      <c r="M155" s="29" t="s">
        <v>28</v>
      </c>
      <c r="N155" s="28" t="s">
        <v>39</v>
      </c>
      <c r="O155" s="28" t="s">
        <v>30</v>
      </c>
      <c r="P155" s="28" t="s">
        <v>261</v>
      </c>
      <c r="Q155" s="29" t="s">
        <v>375</v>
      </c>
    </row>
    <row r="156" s="23" customFormat="1" ht="45" customHeight="1" spans="1:17">
      <c r="A156" s="28">
        <f t="shared" si="6"/>
        <v>153</v>
      </c>
      <c r="B156" s="29" t="s">
        <v>540</v>
      </c>
      <c r="C156" s="29" t="s">
        <v>20</v>
      </c>
      <c r="D156" s="29" t="s">
        <v>541</v>
      </c>
      <c r="E156" s="29" t="s">
        <v>542</v>
      </c>
      <c r="F156" s="29" t="s">
        <v>543</v>
      </c>
      <c r="G156" s="28" t="s">
        <v>36</v>
      </c>
      <c r="H156" s="29" t="s">
        <v>203</v>
      </c>
      <c r="I156" s="34" t="s">
        <v>204</v>
      </c>
      <c r="J156" s="29" t="s">
        <v>204</v>
      </c>
      <c r="K156" s="28" t="str">
        <f t="shared" si="7"/>
        <v>2025-10</v>
      </c>
      <c r="L156" s="28" t="s">
        <v>27</v>
      </c>
      <c r="M156" s="29" t="s">
        <v>28</v>
      </c>
      <c r="N156" s="28" t="s">
        <v>39</v>
      </c>
      <c r="O156" s="28" t="s">
        <v>30</v>
      </c>
      <c r="P156" s="28" t="s">
        <v>166</v>
      </c>
      <c r="Q156" s="28"/>
    </row>
    <row r="157" s="23" customFormat="1" ht="45" customHeight="1" spans="1:17">
      <c r="A157" s="28">
        <f t="shared" si="6"/>
        <v>154</v>
      </c>
      <c r="B157" s="29" t="s">
        <v>544</v>
      </c>
      <c r="C157" s="29" t="s">
        <v>20</v>
      </c>
      <c r="D157" s="29" t="s">
        <v>100</v>
      </c>
      <c r="E157" s="29" t="s">
        <v>176</v>
      </c>
      <c r="F157" s="29" t="s">
        <v>545</v>
      </c>
      <c r="G157" s="28" t="s">
        <v>77</v>
      </c>
      <c r="H157" s="29" t="s">
        <v>178</v>
      </c>
      <c r="I157" s="34" t="s">
        <v>179</v>
      </c>
      <c r="J157" s="29" t="s">
        <v>179</v>
      </c>
      <c r="K157" s="28" t="str">
        <f t="shared" si="7"/>
        <v>2025-10</v>
      </c>
      <c r="L157" s="28" t="s">
        <v>27</v>
      </c>
      <c r="M157" s="29" t="s">
        <v>28</v>
      </c>
      <c r="N157" s="28" t="s">
        <v>29</v>
      </c>
      <c r="O157" s="28" t="s">
        <v>30</v>
      </c>
      <c r="P157" s="28" t="s">
        <v>247</v>
      </c>
      <c r="Q157" s="29" t="s">
        <v>248</v>
      </c>
    </row>
    <row r="158" s="23" customFormat="1" ht="45" customHeight="1" spans="1:17">
      <c r="A158" s="28">
        <f t="shared" si="6"/>
        <v>155</v>
      </c>
      <c r="B158" s="29" t="s">
        <v>546</v>
      </c>
      <c r="C158" s="29" t="s">
        <v>20</v>
      </c>
      <c r="D158" s="29" t="s">
        <v>100</v>
      </c>
      <c r="E158" s="29" t="s">
        <v>399</v>
      </c>
      <c r="F158" s="29" t="s">
        <v>547</v>
      </c>
      <c r="G158" s="28" t="s">
        <v>77</v>
      </c>
      <c r="H158" s="29" t="s">
        <v>178</v>
      </c>
      <c r="I158" s="34" t="s">
        <v>179</v>
      </c>
      <c r="J158" s="29" t="s">
        <v>179</v>
      </c>
      <c r="K158" s="28" t="str">
        <f t="shared" si="7"/>
        <v>2025-10</v>
      </c>
      <c r="L158" s="28" t="s">
        <v>27</v>
      </c>
      <c r="M158" s="29" t="s">
        <v>28</v>
      </c>
      <c r="N158" s="28" t="s">
        <v>29</v>
      </c>
      <c r="O158" s="28" t="s">
        <v>30</v>
      </c>
      <c r="P158" s="28" t="s">
        <v>364</v>
      </c>
      <c r="Q158" s="28"/>
    </row>
    <row r="159" s="23" customFormat="1" ht="45" customHeight="1" spans="1:17">
      <c r="A159" s="28">
        <f t="shared" si="6"/>
        <v>156</v>
      </c>
      <c r="B159" s="29" t="s">
        <v>548</v>
      </c>
      <c r="C159" s="29" t="s">
        <v>20</v>
      </c>
      <c r="D159" s="29" t="s">
        <v>549</v>
      </c>
      <c r="E159" s="29" t="s">
        <v>550</v>
      </c>
      <c r="F159" s="29" t="s">
        <v>551</v>
      </c>
      <c r="G159" s="28" t="s">
        <v>92</v>
      </c>
      <c r="H159" s="29" t="s">
        <v>203</v>
      </c>
      <c r="I159" s="34" t="s">
        <v>204</v>
      </c>
      <c r="J159" s="29" t="s">
        <v>204</v>
      </c>
      <c r="K159" s="28" t="str">
        <f t="shared" si="7"/>
        <v>2025-10</v>
      </c>
      <c r="L159" s="28" t="s">
        <v>27</v>
      </c>
      <c r="M159" s="29" t="s">
        <v>28</v>
      </c>
      <c r="N159" s="28" t="s">
        <v>39</v>
      </c>
      <c r="O159" s="28" t="s">
        <v>30</v>
      </c>
      <c r="P159" s="28" t="s">
        <v>166</v>
      </c>
      <c r="Q159" s="28"/>
    </row>
    <row r="160" s="23" customFormat="1" ht="45" customHeight="1" spans="1:17">
      <c r="A160" s="28">
        <f t="shared" si="6"/>
        <v>157</v>
      </c>
      <c r="B160" s="29" t="s">
        <v>552</v>
      </c>
      <c r="C160" s="29" t="s">
        <v>20</v>
      </c>
      <c r="D160" s="29" t="s">
        <v>115</v>
      </c>
      <c r="E160" s="29" t="s">
        <v>116</v>
      </c>
      <c r="F160" s="29" t="s">
        <v>553</v>
      </c>
      <c r="G160" s="28" t="s">
        <v>36</v>
      </c>
      <c r="H160" s="29" t="s">
        <v>97</v>
      </c>
      <c r="I160" s="34" t="s">
        <v>98</v>
      </c>
      <c r="J160" s="29" t="s">
        <v>98</v>
      </c>
      <c r="K160" s="28" t="str">
        <f t="shared" si="7"/>
        <v>2025-10</v>
      </c>
      <c r="L160" s="28" t="s">
        <v>27</v>
      </c>
      <c r="M160" s="29" t="s">
        <v>28</v>
      </c>
      <c r="N160" s="28" t="s">
        <v>39</v>
      </c>
      <c r="O160" s="28" t="s">
        <v>30</v>
      </c>
      <c r="P160" s="28" t="s">
        <v>261</v>
      </c>
      <c r="Q160" s="28"/>
    </row>
    <row r="161" s="23" customFormat="1" ht="45" customHeight="1" spans="1:17">
      <c r="A161" s="28">
        <f t="shared" si="6"/>
        <v>158</v>
      </c>
      <c r="B161" s="29" t="s">
        <v>554</v>
      </c>
      <c r="C161" s="29" t="s">
        <v>20</v>
      </c>
      <c r="D161" s="29" t="s">
        <v>295</v>
      </c>
      <c r="E161" s="29" t="s">
        <v>489</v>
      </c>
      <c r="F161" s="29" t="s">
        <v>555</v>
      </c>
      <c r="G161" s="28" t="s">
        <v>77</v>
      </c>
      <c r="H161" s="29" t="s">
        <v>556</v>
      </c>
      <c r="I161" s="34" t="s">
        <v>557</v>
      </c>
      <c r="J161" s="29" t="s">
        <v>557</v>
      </c>
      <c r="K161" s="28" t="str">
        <f t="shared" si="7"/>
        <v>2025-10</v>
      </c>
      <c r="L161" s="28" t="s">
        <v>27</v>
      </c>
      <c r="M161" s="29" t="s">
        <v>28</v>
      </c>
      <c r="N161" s="28" t="s">
        <v>29</v>
      </c>
      <c r="O161" s="28" t="s">
        <v>30</v>
      </c>
      <c r="P161" s="28" t="s">
        <v>166</v>
      </c>
      <c r="Q161" s="28"/>
    </row>
    <row r="162" s="23" customFormat="1" ht="45" customHeight="1" spans="1:17">
      <c r="A162" s="28">
        <f t="shared" si="6"/>
        <v>159</v>
      </c>
      <c r="B162" s="29" t="s">
        <v>558</v>
      </c>
      <c r="C162" s="29" t="s">
        <v>20</v>
      </c>
      <c r="D162" s="29" t="s">
        <v>100</v>
      </c>
      <c r="E162" s="29" t="s">
        <v>559</v>
      </c>
      <c r="F162" s="29" t="s">
        <v>560</v>
      </c>
      <c r="G162" s="28" t="s">
        <v>77</v>
      </c>
      <c r="H162" s="29" t="s">
        <v>561</v>
      </c>
      <c r="I162" s="34" t="s">
        <v>562</v>
      </c>
      <c r="J162" s="29" t="s">
        <v>562</v>
      </c>
      <c r="K162" s="28" t="str">
        <f>LEFT(J162,7)</f>
        <v>2025-12</v>
      </c>
      <c r="L162" s="28" t="s">
        <v>27</v>
      </c>
      <c r="M162" s="29" t="s">
        <v>28</v>
      </c>
      <c r="N162" s="28" t="s">
        <v>39</v>
      </c>
      <c r="O162" s="28" t="s">
        <v>30</v>
      </c>
      <c r="P162" s="28" t="s">
        <v>293</v>
      </c>
      <c r="Q162" s="28"/>
    </row>
    <row r="163" s="23" customFormat="1" ht="45" customHeight="1" spans="1:17">
      <c r="A163" s="28">
        <f t="shared" si="6"/>
        <v>160</v>
      </c>
      <c r="B163" s="29" t="s">
        <v>563</v>
      </c>
      <c r="C163" s="29" t="s">
        <v>20</v>
      </c>
      <c r="D163" s="29" t="s">
        <v>100</v>
      </c>
      <c r="E163" s="29" t="s">
        <v>564</v>
      </c>
      <c r="F163" s="29" t="s">
        <v>565</v>
      </c>
      <c r="G163" s="28" t="s">
        <v>77</v>
      </c>
      <c r="H163" s="29" t="s">
        <v>561</v>
      </c>
      <c r="I163" s="34" t="s">
        <v>562</v>
      </c>
      <c r="J163" s="29" t="s">
        <v>562</v>
      </c>
      <c r="K163" s="28" t="str">
        <f>LEFT(J163,7)</f>
        <v>2025-12</v>
      </c>
      <c r="L163" s="28" t="s">
        <v>27</v>
      </c>
      <c r="M163" s="29" t="s">
        <v>28</v>
      </c>
      <c r="N163" s="28" t="s">
        <v>39</v>
      </c>
      <c r="O163" s="28" t="s">
        <v>30</v>
      </c>
      <c r="P163" s="28" t="s">
        <v>293</v>
      </c>
      <c r="Q163" s="28"/>
    </row>
    <row r="164" s="23" customFormat="1" ht="45" customHeight="1" spans="1:17">
      <c r="A164" s="28">
        <f t="shared" si="6"/>
        <v>161</v>
      </c>
      <c r="B164" s="29" t="s">
        <v>566</v>
      </c>
      <c r="C164" s="29" t="s">
        <v>20</v>
      </c>
      <c r="D164" s="29" t="s">
        <v>100</v>
      </c>
      <c r="E164" s="29" t="s">
        <v>564</v>
      </c>
      <c r="F164" s="29" t="s">
        <v>567</v>
      </c>
      <c r="G164" s="28" t="s">
        <v>77</v>
      </c>
      <c r="H164" s="29" t="s">
        <v>561</v>
      </c>
      <c r="I164" s="34" t="s">
        <v>562</v>
      </c>
      <c r="J164" s="29" t="s">
        <v>562</v>
      </c>
      <c r="K164" s="28" t="str">
        <f>LEFT(J164,7)</f>
        <v>2025-12</v>
      </c>
      <c r="L164" s="28" t="s">
        <v>27</v>
      </c>
      <c r="M164" s="29" t="s">
        <v>28</v>
      </c>
      <c r="N164" s="28" t="s">
        <v>39</v>
      </c>
      <c r="O164" s="28" t="s">
        <v>30</v>
      </c>
      <c r="P164" s="28" t="s">
        <v>293</v>
      </c>
      <c r="Q164" s="28"/>
    </row>
    <row r="165" s="23" customFormat="1" ht="45" customHeight="1" spans="1:17">
      <c r="A165" s="28">
        <f t="shared" si="6"/>
        <v>162</v>
      </c>
      <c r="B165" s="29" t="s">
        <v>568</v>
      </c>
      <c r="C165" s="29" t="s">
        <v>20</v>
      </c>
      <c r="D165" s="29" t="s">
        <v>100</v>
      </c>
      <c r="E165" s="29" t="s">
        <v>564</v>
      </c>
      <c r="F165" s="29" t="s">
        <v>569</v>
      </c>
      <c r="G165" s="28" t="s">
        <v>77</v>
      </c>
      <c r="H165" s="29" t="s">
        <v>561</v>
      </c>
      <c r="I165" s="34" t="s">
        <v>562</v>
      </c>
      <c r="J165" s="29" t="s">
        <v>562</v>
      </c>
      <c r="K165" s="28" t="str">
        <f>LEFT(J165,7)</f>
        <v>2025-12</v>
      </c>
      <c r="L165" s="28" t="s">
        <v>27</v>
      </c>
      <c r="M165" s="29" t="s">
        <v>28</v>
      </c>
      <c r="N165" s="28" t="s">
        <v>39</v>
      </c>
      <c r="O165" s="28" t="s">
        <v>30</v>
      </c>
      <c r="P165" s="28" t="s">
        <v>293</v>
      </c>
      <c r="Q165" s="28"/>
    </row>
    <row r="166" s="23" customFormat="1" ht="45" customHeight="1" spans="1:17">
      <c r="A166" s="28">
        <f t="shared" si="6"/>
        <v>163</v>
      </c>
      <c r="B166" s="29" t="s">
        <v>570</v>
      </c>
      <c r="C166" s="29" t="s">
        <v>20</v>
      </c>
      <c r="D166" s="29" t="s">
        <v>100</v>
      </c>
      <c r="E166" s="29" t="s">
        <v>564</v>
      </c>
      <c r="F166" s="29" t="s">
        <v>571</v>
      </c>
      <c r="G166" s="28" t="s">
        <v>77</v>
      </c>
      <c r="H166" s="29" t="s">
        <v>561</v>
      </c>
      <c r="I166" s="34" t="s">
        <v>562</v>
      </c>
      <c r="J166" s="29" t="s">
        <v>562</v>
      </c>
      <c r="K166" s="28" t="str">
        <f>LEFT(J166,7)</f>
        <v>2025-12</v>
      </c>
      <c r="L166" s="28" t="s">
        <v>27</v>
      </c>
      <c r="M166" s="29" t="s">
        <v>28</v>
      </c>
      <c r="N166" s="28" t="s">
        <v>39</v>
      </c>
      <c r="O166" s="28" t="s">
        <v>30</v>
      </c>
      <c r="P166" s="28" t="s">
        <v>293</v>
      </c>
      <c r="Q166" s="28"/>
    </row>
    <row r="167" s="23" customFormat="1" ht="45" customHeight="1" spans="1:17">
      <c r="A167" s="28">
        <f t="shared" si="6"/>
        <v>164</v>
      </c>
      <c r="B167" s="29" t="s">
        <v>572</v>
      </c>
      <c r="C167" s="29" t="s">
        <v>20</v>
      </c>
      <c r="D167" s="29" t="s">
        <v>573</v>
      </c>
      <c r="E167" s="29" t="s">
        <v>574</v>
      </c>
      <c r="F167" s="29" t="s">
        <v>575</v>
      </c>
      <c r="G167" s="28" t="s">
        <v>44</v>
      </c>
      <c r="H167" s="29" t="s">
        <v>576</v>
      </c>
      <c r="I167" s="34" t="s">
        <v>577</v>
      </c>
      <c r="J167" s="29" t="s">
        <v>577</v>
      </c>
      <c r="K167" s="28" t="str">
        <f>LEFT(J167,7)</f>
        <v>2025-12</v>
      </c>
      <c r="L167" s="28" t="s">
        <v>27</v>
      </c>
      <c r="M167" s="29" t="s">
        <v>28</v>
      </c>
      <c r="N167" s="28" t="s">
        <v>29</v>
      </c>
      <c r="O167" s="28" t="s">
        <v>30</v>
      </c>
      <c r="P167" s="28" t="s">
        <v>578</v>
      </c>
      <c r="Q167" s="29" t="s">
        <v>579</v>
      </c>
    </row>
    <row r="168" s="23" customFormat="1" ht="45" customHeight="1" spans="1:17">
      <c r="A168" s="28">
        <f t="shared" si="6"/>
        <v>165</v>
      </c>
      <c r="B168" s="29" t="s">
        <v>580</v>
      </c>
      <c r="C168" s="29" t="s">
        <v>20</v>
      </c>
      <c r="D168" s="29" t="s">
        <v>573</v>
      </c>
      <c r="E168" s="29" t="s">
        <v>581</v>
      </c>
      <c r="F168" s="29" t="s">
        <v>582</v>
      </c>
      <c r="G168" s="28" t="s">
        <v>44</v>
      </c>
      <c r="H168" s="29" t="s">
        <v>576</v>
      </c>
      <c r="I168" s="34" t="s">
        <v>577</v>
      </c>
      <c r="J168" s="29" t="s">
        <v>577</v>
      </c>
      <c r="K168" s="28" t="str">
        <f>LEFT(J168,7)</f>
        <v>2025-12</v>
      </c>
      <c r="L168" s="28" t="s">
        <v>27</v>
      </c>
      <c r="M168" s="29" t="s">
        <v>28</v>
      </c>
      <c r="N168" s="28" t="s">
        <v>29</v>
      </c>
      <c r="O168" s="28" t="s">
        <v>30</v>
      </c>
      <c r="P168" s="28" t="s">
        <v>578</v>
      </c>
      <c r="Q168" s="29" t="s">
        <v>579</v>
      </c>
    </row>
    <row r="169" s="23" customFormat="1" ht="45" customHeight="1" spans="1:17">
      <c r="A169" s="28">
        <f t="shared" si="6"/>
        <v>166</v>
      </c>
      <c r="B169" s="29" t="s">
        <v>583</v>
      </c>
      <c r="C169" s="29" t="s">
        <v>20</v>
      </c>
      <c r="D169" s="29" t="s">
        <v>573</v>
      </c>
      <c r="E169" s="29" t="s">
        <v>574</v>
      </c>
      <c r="F169" s="29" t="s">
        <v>584</v>
      </c>
      <c r="G169" s="28" t="s">
        <v>44</v>
      </c>
      <c r="H169" s="29" t="s">
        <v>576</v>
      </c>
      <c r="I169" s="34" t="s">
        <v>577</v>
      </c>
      <c r="J169" s="29" t="s">
        <v>577</v>
      </c>
      <c r="K169" s="28" t="str">
        <f>LEFT(J169,7)</f>
        <v>2025-12</v>
      </c>
      <c r="L169" s="28" t="s">
        <v>27</v>
      </c>
      <c r="M169" s="29" t="s">
        <v>28</v>
      </c>
      <c r="N169" s="28" t="s">
        <v>29</v>
      </c>
      <c r="O169" s="28" t="s">
        <v>30</v>
      </c>
      <c r="P169" s="28" t="s">
        <v>578</v>
      </c>
      <c r="Q169" s="29" t="s">
        <v>579</v>
      </c>
    </row>
    <row r="170" s="23" customFormat="1" ht="45" customHeight="1" spans="1:17">
      <c r="A170" s="28">
        <f t="shared" si="6"/>
        <v>167</v>
      </c>
      <c r="B170" s="29" t="s">
        <v>585</v>
      </c>
      <c r="C170" s="29" t="s">
        <v>20</v>
      </c>
      <c r="D170" s="29" t="s">
        <v>573</v>
      </c>
      <c r="E170" s="29" t="s">
        <v>574</v>
      </c>
      <c r="F170" s="29" t="s">
        <v>586</v>
      </c>
      <c r="G170" s="28" t="s">
        <v>44</v>
      </c>
      <c r="H170" s="29" t="s">
        <v>576</v>
      </c>
      <c r="I170" s="34" t="s">
        <v>577</v>
      </c>
      <c r="J170" s="29" t="s">
        <v>577</v>
      </c>
      <c r="K170" s="28" t="str">
        <f>LEFT(J170,7)</f>
        <v>2025-12</v>
      </c>
      <c r="L170" s="28" t="s">
        <v>27</v>
      </c>
      <c r="M170" s="29" t="s">
        <v>28</v>
      </c>
      <c r="N170" s="28" t="s">
        <v>29</v>
      </c>
      <c r="O170" s="28" t="s">
        <v>30</v>
      </c>
      <c r="P170" s="28" t="s">
        <v>578</v>
      </c>
      <c r="Q170" s="29" t="s">
        <v>579</v>
      </c>
    </row>
    <row r="171" s="23" customFormat="1" ht="45" customHeight="1" spans="1:17">
      <c r="A171" s="28">
        <f t="shared" si="6"/>
        <v>168</v>
      </c>
      <c r="B171" s="29" t="s">
        <v>587</v>
      </c>
      <c r="C171" s="29" t="s">
        <v>20</v>
      </c>
      <c r="D171" s="29" t="s">
        <v>573</v>
      </c>
      <c r="E171" s="29" t="s">
        <v>574</v>
      </c>
      <c r="F171" s="29" t="s">
        <v>588</v>
      </c>
      <c r="G171" s="28" t="s">
        <v>44</v>
      </c>
      <c r="H171" s="29" t="s">
        <v>576</v>
      </c>
      <c r="I171" s="34" t="s">
        <v>577</v>
      </c>
      <c r="J171" s="29" t="s">
        <v>577</v>
      </c>
      <c r="K171" s="28" t="str">
        <f>LEFT(J171,7)</f>
        <v>2025-12</v>
      </c>
      <c r="L171" s="28" t="s">
        <v>27</v>
      </c>
      <c r="M171" s="29" t="s">
        <v>28</v>
      </c>
      <c r="N171" s="28" t="s">
        <v>29</v>
      </c>
      <c r="O171" s="28" t="s">
        <v>30</v>
      </c>
      <c r="P171" s="28" t="s">
        <v>578</v>
      </c>
      <c r="Q171" s="29" t="s">
        <v>579</v>
      </c>
    </row>
    <row r="172" s="23" customFormat="1" ht="45" customHeight="1" spans="1:17">
      <c r="A172" s="28">
        <f t="shared" si="6"/>
        <v>169</v>
      </c>
      <c r="B172" s="29" t="s">
        <v>589</v>
      </c>
      <c r="C172" s="29" t="s">
        <v>20</v>
      </c>
      <c r="D172" s="29" t="s">
        <v>460</v>
      </c>
      <c r="E172" s="29" t="s">
        <v>461</v>
      </c>
      <c r="F172" s="29" t="s">
        <v>590</v>
      </c>
      <c r="G172" s="28" t="s">
        <v>24</v>
      </c>
      <c r="H172" s="29" t="s">
        <v>591</v>
      </c>
      <c r="I172" s="34" t="s">
        <v>592</v>
      </c>
      <c r="J172" s="29" t="s">
        <v>592</v>
      </c>
      <c r="K172" s="28" t="str">
        <f>LEFT(J172,7)</f>
        <v>2025-12</v>
      </c>
      <c r="L172" s="28" t="s">
        <v>27</v>
      </c>
      <c r="M172" s="29" t="s">
        <v>28</v>
      </c>
      <c r="N172" s="28" t="s">
        <v>39</v>
      </c>
      <c r="O172" s="28" t="s">
        <v>30</v>
      </c>
      <c r="P172" s="28" t="s">
        <v>535</v>
      </c>
      <c r="Q172" s="28"/>
    </row>
    <row r="173" s="23" customFormat="1" ht="45" customHeight="1" spans="1:17">
      <c r="A173" s="28">
        <f t="shared" si="6"/>
        <v>170</v>
      </c>
      <c r="B173" s="29" t="s">
        <v>593</v>
      </c>
      <c r="C173" s="29" t="s">
        <v>20</v>
      </c>
      <c r="D173" s="29" t="s">
        <v>460</v>
      </c>
      <c r="E173" s="29" t="s">
        <v>461</v>
      </c>
      <c r="F173" s="29" t="s">
        <v>594</v>
      </c>
      <c r="G173" s="28" t="s">
        <v>24</v>
      </c>
      <c r="H173" s="29" t="s">
        <v>591</v>
      </c>
      <c r="I173" s="34" t="s">
        <v>592</v>
      </c>
      <c r="J173" s="29" t="s">
        <v>592</v>
      </c>
      <c r="K173" s="28" t="str">
        <f>LEFT(J173,7)</f>
        <v>2025-12</v>
      </c>
      <c r="L173" s="28" t="s">
        <v>27</v>
      </c>
      <c r="M173" s="29" t="s">
        <v>28</v>
      </c>
      <c r="N173" s="28" t="s">
        <v>39</v>
      </c>
      <c r="O173" s="28" t="s">
        <v>30</v>
      </c>
      <c r="P173" s="28" t="s">
        <v>358</v>
      </c>
      <c r="Q173" s="28"/>
    </row>
    <row r="174" s="23" customFormat="1" ht="45" customHeight="1" spans="1:17">
      <c r="A174" s="28">
        <f t="shared" si="6"/>
        <v>171</v>
      </c>
      <c r="B174" s="29" t="s">
        <v>595</v>
      </c>
      <c r="C174" s="29" t="s">
        <v>20</v>
      </c>
      <c r="D174" s="29" t="s">
        <v>596</v>
      </c>
      <c r="E174" s="29" t="s">
        <v>597</v>
      </c>
      <c r="F174" s="29" t="s">
        <v>598</v>
      </c>
      <c r="G174" s="28" t="s">
        <v>92</v>
      </c>
      <c r="H174" s="29" t="s">
        <v>599</v>
      </c>
      <c r="I174" s="34" t="s">
        <v>600</v>
      </c>
      <c r="J174" s="29" t="s">
        <v>600</v>
      </c>
      <c r="K174" s="28" t="str">
        <f>LEFT(J174,7)</f>
        <v>2025-12</v>
      </c>
      <c r="L174" s="28" t="s">
        <v>27</v>
      </c>
      <c r="M174" s="29" t="s">
        <v>28</v>
      </c>
      <c r="N174" s="28" t="s">
        <v>39</v>
      </c>
      <c r="O174" s="28" t="s">
        <v>30</v>
      </c>
      <c r="P174" s="28" t="s">
        <v>358</v>
      </c>
      <c r="Q174" s="28"/>
    </row>
    <row r="175" s="23" customFormat="1" ht="45" customHeight="1" spans="1:17">
      <c r="A175" s="28">
        <f t="shared" si="6"/>
        <v>172</v>
      </c>
      <c r="B175" s="29" t="s">
        <v>601</v>
      </c>
      <c r="C175" s="29" t="s">
        <v>20</v>
      </c>
      <c r="D175" s="29" t="s">
        <v>602</v>
      </c>
      <c r="E175" s="29" t="s">
        <v>603</v>
      </c>
      <c r="F175" s="29" t="s">
        <v>604</v>
      </c>
      <c r="G175" s="28" t="s">
        <v>24</v>
      </c>
      <c r="H175" s="29" t="s">
        <v>591</v>
      </c>
      <c r="I175" s="34" t="s">
        <v>592</v>
      </c>
      <c r="J175" s="29" t="s">
        <v>592</v>
      </c>
      <c r="K175" s="28" t="str">
        <f>LEFT(J175,7)</f>
        <v>2025-12</v>
      </c>
      <c r="L175" s="28" t="s">
        <v>27</v>
      </c>
      <c r="M175" s="29" t="s">
        <v>28</v>
      </c>
      <c r="N175" s="28" t="s">
        <v>39</v>
      </c>
      <c r="O175" s="28" t="s">
        <v>30</v>
      </c>
      <c r="P175" s="28" t="s">
        <v>578</v>
      </c>
      <c r="Q175" s="28"/>
    </row>
    <row r="176" s="23" customFormat="1" ht="45" customHeight="1" spans="1:17">
      <c r="A176" s="28">
        <f t="shared" si="6"/>
        <v>173</v>
      </c>
      <c r="B176" s="29" t="s">
        <v>605</v>
      </c>
      <c r="C176" s="29" t="s">
        <v>20</v>
      </c>
      <c r="D176" s="29" t="s">
        <v>460</v>
      </c>
      <c r="E176" s="29" t="s">
        <v>461</v>
      </c>
      <c r="F176" s="29" t="s">
        <v>606</v>
      </c>
      <c r="G176" s="28" t="s">
        <v>24</v>
      </c>
      <c r="H176" s="29" t="s">
        <v>591</v>
      </c>
      <c r="I176" s="34" t="s">
        <v>592</v>
      </c>
      <c r="J176" s="29" t="s">
        <v>592</v>
      </c>
      <c r="K176" s="28" t="str">
        <f>LEFT(J176,7)</f>
        <v>2025-12</v>
      </c>
      <c r="L176" s="28" t="s">
        <v>27</v>
      </c>
      <c r="M176" s="29" t="s">
        <v>28</v>
      </c>
      <c r="N176" s="28" t="s">
        <v>39</v>
      </c>
      <c r="O176" s="28" t="s">
        <v>30</v>
      </c>
      <c r="P176" s="28" t="s">
        <v>535</v>
      </c>
      <c r="Q176" s="28"/>
    </row>
    <row r="177" s="23" customFormat="1" ht="45" customHeight="1" spans="1:17">
      <c r="A177" s="28">
        <f t="shared" si="6"/>
        <v>174</v>
      </c>
      <c r="B177" s="29" t="s">
        <v>607</v>
      </c>
      <c r="C177" s="29" t="s">
        <v>20</v>
      </c>
      <c r="D177" s="29" t="s">
        <v>549</v>
      </c>
      <c r="E177" s="29" t="s">
        <v>608</v>
      </c>
      <c r="F177" s="29" t="s">
        <v>609</v>
      </c>
      <c r="G177" s="28" t="s">
        <v>92</v>
      </c>
      <c r="H177" s="29" t="s">
        <v>610</v>
      </c>
      <c r="I177" s="34" t="s">
        <v>611</v>
      </c>
      <c r="J177" s="29" t="s">
        <v>611</v>
      </c>
      <c r="K177" s="28" t="str">
        <f>LEFT(J177,7)</f>
        <v>2025-12</v>
      </c>
      <c r="L177" s="28" t="s">
        <v>27</v>
      </c>
      <c r="M177" s="29" t="s">
        <v>28</v>
      </c>
      <c r="N177" s="28" t="s">
        <v>39</v>
      </c>
      <c r="O177" s="28" t="s">
        <v>30</v>
      </c>
      <c r="P177" s="28" t="s">
        <v>358</v>
      </c>
      <c r="Q177" s="28"/>
    </row>
    <row r="178" s="23" customFormat="1" ht="45" customHeight="1" spans="1:17">
      <c r="A178" s="28">
        <f t="shared" si="6"/>
        <v>175</v>
      </c>
      <c r="B178" s="29" t="s">
        <v>612</v>
      </c>
      <c r="C178" s="29" t="s">
        <v>20</v>
      </c>
      <c r="D178" s="29" t="s">
        <v>100</v>
      </c>
      <c r="E178" s="29" t="s">
        <v>559</v>
      </c>
      <c r="F178" s="29" t="s">
        <v>613</v>
      </c>
      <c r="G178" s="28" t="s">
        <v>77</v>
      </c>
      <c r="H178" s="29" t="s">
        <v>561</v>
      </c>
      <c r="I178" s="34" t="s">
        <v>562</v>
      </c>
      <c r="J178" s="29" t="s">
        <v>562</v>
      </c>
      <c r="K178" s="28" t="str">
        <f>LEFT(J178,7)</f>
        <v>2025-12</v>
      </c>
      <c r="L178" s="28" t="s">
        <v>27</v>
      </c>
      <c r="M178" s="29" t="s">
        <v>28</v>
      </c>
      <c r="N178" s="28" t="s">
        <v>39</v>
      </c>
      <c r="O178" s="28" t="s">
        <v>30</v>
      </c>
      <c r="P178" s="28" t="s">
        <v>293</v>
      </c>
      <c r="Q178" s="28"/>
    </row>
    <row r="179" s="23" customFormat="1" ht="45" customHeight="1" spans="1:17">
      <c r="A179" s="28">
        <f t="shared" si="6"/>
        <v>176</v>
      </c>
      <c r="B179" s="29" t="s">
        <v>614</v>
      </c>
      <c r="C179" s="29" t="s">
        <v>20</v>
      </c>
      <c r="D179" s="29" t="s">
        <v>615</v>
      </c>
      <c r="E179" s="29" t="s">
        <v>616</v>
      </c>
      <c r="F179" s="29" t="s">
        <v>617</v>
      </c>
      <c r="G179" s="28" t="s">
        <v>24</v>
      </c>
      <c r="H179" s="29" t="s">
        <v>25</v>
      </c>
      <c r="I179" s="34" t="s">
        <v>26</v>
      </c>
      <c r="J179" s="29" t="s">
        <v>26</v>
      </c>
      <c r="K179" s="28" t="str">
        <f t="shared" ref="K179:K242" si="8">LEFT(J179,7)</f>
        <v>2026-02</v>
      </c>
      <c r="L179" s="28" t="s">
        <v>27</v>
      </c>
      <c r="M179" s="29" t="s">
        <v>28</v>
      </c>
      <c r="N179" s="28" t="s">
        <v>39</v>
      </c>
      <c r="O179" s="28" t="s">
        <v>30</v>
      </c>
      <c r="P179" s="28" t="s">
        <v>247</v>
      </c>
      <c r="Q179" s="29" t="s">
        <v>375</v>
      </c>
    </row>
    <row r="180" s="23" customFormat="1" ht="45" customHeight="1" spans="1:17">
      <c r="A180" s="28">
        <f t="shared" si="6"/>
        <v>177</v>
      </c>
      <c r="B180" s="29" t="s">
        <v>618</v>
      </c>
      <c r="C180" s="29" t="s">
        <v>20</v>
      </c>
      <c r="D180" s="29" t="s">
        <v>107</v>
      </c>
      <c r="E180" s="29" t="s">
        <v>108</v>
      </c>
      <c r="F180" s="29" t="s">
        <v>619</v>
      </c>
      <c r="G180" s="28" t="s">
        <v>24</v>
      </c>
      <c r="H180" s="29" t="s">
        <v>45</v>
      </c>
      <c r="I180" s="34" t="s">
        <v>46</v>
      </c>
      <c r="J180" s="29" t="s">
        <v>46</v>
      </c>
      <c r="K180" s="28" t="str">
        <f t="shared" si="8"/>
        <v>2025-10</v>
      </c>
      <c r="L180" s="28" t="s">
        <v>27</v>
      </c>
      <c r="M180" s="29" t="s">
        <v>28</v>
      </c>
      <c r="N180" s="28" t="s">
        <v>39</v>
      </c>
      <c r="O180" s="28" t="s">
        <v>30</v>
      </c>
      <c r="P180" s="28" t="s">
        <v>396</v>
      </c>
      <c r="Q180" s="29" t="s">
        <v>401</v>
      </c>
    </row>
    <row r="181" s="23" customFormat="1" ht="45" customHeight="1" spans="1:17">
      <c r="A181" s="28">
        <f t="shared" si="6"/>
        <v>178</v>
      </c>
      <c r="B181" s="29" t="s">
        <v>620</v>
      </c>
      <c r="C181" s="29" t="s">
        <v>20</v>
      </c>
      <c r="D181" s="29" t="s">
        <v>107</v>
      </c>
      <c r="E181" s="29" t="s">
        <v>108</v>
      </c>
      <c r="F181" s="29" t="s">
        <v>621</v>
      </c>
      <c r="G181" s="28" t="s">
        <v>24</v>
      </c>
      <c r="H181" s="29" t="s">
        <v>45</v>
      </c>
      <c r="I181" s="34" t="s">
        <v>46</v>
      </c>
      <c r="J181" s="29" t="s">
        <v>46</v>
      </c>
      <c r="K181" s="28" t="str">
        <f t="shared" si="8"/>
        <v>2025-10</v>
      </c>
      <c r="L181" s="28" t="s">
        <v>27</v>
      </c>
      <c r="M181" s="29" t="s">
        <v>28</v>
      </c>
      <c r="N181" s="28" t="s">
        <v>39</v>
      </c>
      <c r="O181" s="28" t="s">
        <v>30</v>
      </c>
      <c r="P181" s="28" t="s">
        <v>396</v>
      </c>
      <c r="Q181" s="29" t="s">
        <v>397</v>
      </c>
    </row>
    <row r="182" s="23" customFormat="1" ht="45" customHeight="1" spans="1:17">
      <c r="A182" s="28">
        <f t="shared" si="6"/>
        <v>179</v>
      </c>
      <c r="B182" s="29" t="s">
        <v>622</v>
      </c>
      <c r="C182" s="29" t="s">
        <v>20</v>
      </c>
      <c r="D182" s="29" t="s">
        <v>138</v>
      </c>
      <c r="E182" s="29" t="s">
        <v>221</v>
      </c>
      <c r="F182" s="29" t="s">
        <v>623</v>
      </c>
      <c r="G182" s="28" t="s">
        <v>36</v>
      </c>
      <c r="H182" s="29" t="s">
        <v>624</v>
      </c>
      <c r="I182" s="34" t="s">
        <v>625</v>
      </c>
      <c r="J182" s="29" t="s">
        <v>625</v>
      </c>
      <c r="K182" s="28" t="str">
        <f t="shared" si="8"/>
        <v>2026-02</v>
      </c>
      <c r="L182" s="28" t="s">
        <v>27</v>
      </c>
      <c r="M182" s="29" t="s">
        <v>28</v>
      </c>
      <c r="N182" s="28" t="s">
        <v>29</v>
      </c>
      <c r="O182" s="28" t="s">
        <v>30</v>
      </c>
      <c r="P182" s="28" t="s">
        <v>364</v>
      </c>
      <c r="Q182" s="28"/>
    </row>
    <row r="183" s="23" customFormat="1" ht="45" customHeight="1" spans="1:17">
      <c r="A183" s="28">
        <f t="shared" si="6"/>
        <v>180</v>
      </c>
      <c r="B183" s="29" t="s">
        <v>626</v>
      </c>
      <c r="C183" s="29" t="s">
        <v>20</v>
      </c>
      <c r="D183" s="29" t="s">
        <v>138</v>
      </c>
      <c r="E183" s="29" t="s">
        <v>152</v>
      </c>
      <c r="F183" s="29" t="s">
        <v>627</v>
      </c>
      <c r="G183" s="28" t="s">
        <v>36</v>
      </c>
      <c r="H183" s="29" t="s">
        <v>141</v>
      </c>
      <c r="I183" s="34" t="s">
        <v>142</v>
      </c>
      <c r="J183" s="29" t="s">
        <v>142</v>
      </c>
      <c r="K183" s="28" t="str">
        <f t="shared" si="8"/>
        <v>2025-10</v>
      </c>
      <c r="L183" s="28" t="s">
        <v>27</v>
      </c>
      <c r="M183" s="29" t="s">
        <v>28</v>
      </c>
      <c r="N183" s="28" t="s">
        <v>29</v>
      </c>
      <c r="O183" s="28" t="s">
        <v>30</v>
      </c>
      <c r="P183" s="28" t="s">
        <v>358</v>
      </c>
      <c r="Q183" s="28"/>
    </row>
    <row r="184" s="23" customFormat="1" ht="45" customHeight="1" spans="1:17">
      <c r="A184" s="28">
        <f t="shared" si="6"/>
        <v>181</v>
      </c>
      <c r="B184" s="29" t="s">
        <v>628</v>
      </c>
      <c r="C184" s="29" t="s">
        <v>20</v>
      </c>
      <c r="D184" s="29" t="s">
        <v>615</v>
      </c>
      <c r="E184" s="29" t="s">
        <v>629</v>
      </c>
      <c r="F184" s="29" t="s">
        <v>630</v>
      </c>
      <c r="G184" s="28" t="s">
        <v>24</v>
      </c>
      <c r="H184" s="29" t="s">
        <v>25</v>
      </c>
      <c r="I184" s="34" t="s">
        <v>26</v>
      </c>
      <c r="J184" s="29" t="s">
        <v>26</v>
      </c>
      <c r="K184" s="28" t="str">
        <f t="shared" si="8"/>
        <v>2026-02</v>
      </c>
      <c r="L184" s="28" t="s">
        <v>27</v>
      </c>
      <c r="M184" s="29" t="s">
        <v>28</v>
      </c>
      <c r="N184" s="28" t="s">
        <v>39</v>
      </c>
      <c r="O184" s="28" t="s">
        <v>30</v>
      </c>
      <c r="P184" s="28" t="s">
        <v>247</v>
      </c>
      <c r="Q184" s="29" t="s">
        <v>579</v>
      </c>
    </row>
    <row r="185" s="23" customFormat="1" ht="45" customHeight="1" spans="1:17">
      <c r="A185" s="28">
        <f t="shared" si="6"/>
        <v>182</v>
      </c>
      <c r="B185" s="29" t="s">
        <v>631</v>
      </c>
      <c r="C185" s="29" t="s">
        <v>20</v>
      </c>
      <c r="D185" s="29" t="s">
        <v>537</v>
      </c>
      <c r="E185" s="29" t="s">
        <v>616</v>
      </c>
      <c r="F185" s="29" t="s">
        <v>632</v>
      </c>
      <c r="G185" s="28" t="s">
        <v>24</v>
      </c>
      <c r="H185" s="29" t="s">
        <v>25</v>
      </c>
      <c r="I185" s="34" t="s">
        <v>26</v>
      </c>
      <c r="J185" s="29" t="s">
        <v>26</v>
      </c>
      <c r="K185" s="28" t="str">
        <f t="shared" si="8"/>
        <v>2026-02</v>
      </c>
      <c r="L185" s="28" t="s">
        <v>27</v>
      </c>
      <c r="M185" s="29" t="s">
        <v>28</v>
      </c>
      <c r="N185" s="28" t="s">
        <v>39</v>
      </c>
      <c r="O185" s="28" t="s">
        <v>30</v>
      </c>
      <c r="P185" s="28" t="s">
        <v>247</v>
      </c>
      <c r="Q185" s="29" t="s">
        <v>375</v>
      </c>
    </row>
    <row r="186" s="23" customFormat="1" ht="45" customHeight="1" spans="1:17">
      <c r="A186" s="28">
        <f t="shared" si="6"/>
        <v>183</v>
      </c>
      <c r="B186" s="29" t="s">
        <v>633</v>
      </c>
      <c r="C186" s="29" t="s">
        <v>20</v>
      </c>
      <c r="D186" s="29" t="s">
        <v>634</v>
      </c>
      <c r="E186" s="29" t="s">
        <v>116</v>
      </c>
      <c r="F186" s="29" t="s">
        <v>635</v>
      </c>
      <c r="G186" s="28" t="s">
        <v>36</v>
      </c>
      <c r="H186" s="29" t="s">
        <v>636</v>
      </c>
      <c r="I186" s="34" t="s">
        <v>637</v>
      </c>
      <c r="J186" s="29" t="s">
        <v>637</v>
      </c>
      <c r="K186" s="28" t="str">
        <f t="shared" si="8"/>
        <v>2026-02</v>
      </c>
      <c r="L186" s="28" t="s">
        <v>27</v>
      </c>
      <c r="M186" s="29" t="s">
        <v>28</v>
      </c>
      <c r="N186" s="28" t="s">
        <v>39</v>
      </c>
      <c r="O186" s="28" t="s">
        <v>30</v>
      </c>
      <c r="P186" s="28" t="s">
        <v>364</v>
      </c>
      <c r="Q186" s="28"/>
    </row>
    <row r="187" s="23" customFormat="1" ht="45" customHeight="1" spans="1:17">
      <c r="A187" s="28">
        <f t="shared" si="6"/>
        <v>184</v>
      </c>
      <c r="B187" s="29" t="s">
        <v>638</v>
      </c>
      <c r="C187" s="29" t="s">
        <v>20</v>
      </c>
      <c r="D187" s="29" t="s">
        <v>107</v>
      </c>
      <c r="E187" s="29" t="s">
        <v>108</v>
      </c>
      <c r="F187" s="29" t="s">
        <v>639</v>
      </c>
      <c r="G187" s="28" t="s">
        <v>24</v>
      </c>
      <c r="H187" s="29" t="s">
        <v>45</v>
      </c>
      <c r="I187" s="34" t="s">
        <v>46</v>
      </c>
      <c r="J187" s="29" t="s">
        <v>46</v>
      </c>
      <c r="K187" s="28" t="str">
        <f t="shared" si="8"/>
        <v>2025-10</v>
      </c>
      <c r="L187" s="28" t="s">
        <v>27</v>
      </c>
      <c r="M187" s="29" t="s">
        <v>28</v>
      </c>
      <c r="N187" s="28" t="s">
        <v>39</v>
      </c>
      <c r="O187" s="28" t="s">
        <v>30</v>
      </c>
      <c r="P187" s="28" t="s">
        <v>247</v>
      </c>
      <c r="Q187" s="29" t="s">
        <v>579</v>
      </c>
    </row>
    <row r="188" s="23" customFormat="1" ht="45" customHeight="1" spans="1:17">
      <c r="A188" s="28">
        <f t="shared" si="6"/>
        <v>185</v>
      </c>
      <c r="B188" s="29" t="s">
        <v>640</v>
      </c>
      <c r="C188" s="29" t="s">
        <v>20</v>
      </c>
      <c r="D188" s="29" t="s">
        <v>66</v>
      </c>
      <c r="E188" s="29" t="s">
        <v>67</v>
      </c>
      <c r="F188" s="29" t="s">
        <v>641</v>
      </c>
      <c r="G188" s="28" t="s">
        <v>44</v>
      </c>
      <c r="H188" s="29" t="s">
        <v>69</v>
      </c>
      <c r="I188" s="34" t="s">
        <v>70</v>
      </c>
      <c r="J188" s="29" t="s">
        <v>70</v>
      </c>
      <c r="K188" s="28" t="str">
        <f t="shared" si="8"/>
        <v>2026-01</v>
      </c>
      <c r="L188" s="28" t="s">
        <v>27</v>
      </c>
      <c r="M188" s="29" t="s">
        <v>28</v>
      </c>
      <c r="N188" s="28" t="s">
        <v>29</v>
      </c>
      <c r="O188" s="28" t="s">
        <v>30</v>
      </c>
      <c r="P188" s="28" t="s">
        <v>578</v>
      </c>
      <c r="Q188" s="29" t="s">
        <v>579</v>
      </c>
    </row>
    <row r="189" s="23" customFormat="1" ht="45" customHeight="1" spans="1:17">
      <c r="A189" s="28">
        <f t="shared" si="6"/>
        <v>186</v>
      </c>
      <c r="B189" s="29" t="s">
        <v>642</v>
      </c>
      <c r="C189" s="29" t="s">
        <v>20</v>
      </c>
      <c r="D189" s="29" t="s">
        <v>643</v>
      </c>
      <c r="E189" s="29" t="s">
        <v>644</v>
      </c>
      <c r="F189" s="29" t="s">
        <v>645</v>
      </c>
      <c r="G189" s="28" t="s">
        <v>77</v>
      </c>
      <c r="H189" s="29" t="s">
        <v>45</v>
      </c>
      <c r="I189" s="34" t="s">
        <v>46</v>
      </c>
      <c r="J189" s="29" t="s">
        <v>46</v>
      </c>
      <c r="K189" s="28" t="str">
        <f t="shared" si="8"/>
        <v>2025-10</v>
      </c>
      <c r="L189" s="28" t="s">
        <v>27</v>
      </c>
      <c r="M189" s="29" t="s">
        <v>28</v>
      </c>
      <c r="N189" s="28" t="s">
        <v>29</v>
      </c>
      <c r="O189" s="28" t="s">
        <v>30</v>
      </c>
      <c r="P189" s="28" t="s">
        <v>364</v>
      </c>
      <c r="Q189" s="28"/>
    </row>
    <row r="190" s="23" customFormat="1" ht="45" customHeight="1" spans="1:17">
      <c r="A190" s="28">
        <f t="shared" si="6"/>
        <v>187</v>
      </c>
      <c r="B190" s="29" t="s">
        <v>646</v>
      </c>
      <c r="C190" s="29" t="s">
        <v>20</v>
      </c>
      <c r="D190" s="29" t="s">
        <v>66</v>
      </c>
      <c r="E190" s="29" t="s">
        <v>67</v>
      </c>
      <c r="F190" s="29" t="s">
        <v>647</v>
      </c>
      <c r="G190" s="28" t="s">
        <v>44</v>
      </c>
      <c r="H190" s="29" t="s">
        <v>69</v>
      </c>
      <c r="I190" s="34" t="s">
        <v>70</v>
      </c>
      <c r="J190" s="29" t="s">
        <v>70</v>
      </c>
      <c r="K190" s="28" t="str">
        <f t="shared" si="8"/>
        <v>2026-01</v>
      </c>
      <c r="L190" s="28" t="s">
        <v>27</v>
      </c>
      <c r="M190" s="29" t="s">
        <v>28</v>
      </c>
      <c r="N190" s="28" t="s">
        <v>29</v>
      </c>
      <c r="O190" s="28" t="s">
        <v>30</v>
      </c>
      <c r="P190" s="28" t="s">
        <v>578</v>
      </c>
      <c r="Q190" s="29" t="s">
        <v>579</v>
      </c>
    </row>
    <row r="191" s="23" customFormat="1" ht="45" customHeight="1" spans="1:17">
      <c r="A191" s="28">
        <f t="shared" si="6"/>
        <v>188</v>
      </c>
      <c r="B191" s="29" t="s">
        <v>648</v>
      </c>
      <c r="C191" s="29" t="s">
        <v>20</v>
      </c>
      <c r="D191" s="29" t="s">
        <v>107</v>
      </c>
      <c r="E191" s="29" t="s">
        <v>108</v>
      </c>
      <c r="F191" s="29" t="s">
        <v>649</v>
      </c>
      <c r="G191" s="28" t="s">
        <v>24</v>
      </c>
      <c r="H191" s="29" t="s">
        <v>45</v>
      </c>
      <c r="I191" s="34" t="s">
        <v>46</v>
      </c>
      <c r="J191" s="29" t="s">
        <v>46</v>
      </c>
      <c r="K191" s="28" t="str">
        <f t="shared" si="8"/>
        <v>2025-10</v>
      </c>
      <c r="L191" s="28" t="s">
        <v>27</v>
      </c>
      <c r="M191" s="29" t="s">
        <v>28</v>
      </c>
      <c r="N191" s="28" t="s">
        <v>39</v>
      </c>
      <c r="O191" s="28" t="s">
        <v>30</v>
      </c>
      <c r="P191" s="28" t="s">
        <v>247</v>
      </c>
      <c r="Q191" s="29" t="s">
        <v>579</v>
      </c>
    </row>
    <row r="192" s="23" customFormat="1" ht="45" customHeight="1" spans="1:17">
      <c r="A192" s="28">
        <f t="shared" si="6"/>
        <v>189</v>
      </c>
      <c r="B192" s="29" t="s">
        <v>650</v>
      </c>
      <c r="C192" s="29" t="s">
        <v>20</v>
      </c>
      <c r="D192" s="29" t="s">
        <v>21</v>
      </c>
      <c r="E192" s="29" t="s">
        <v>22</v>
      </c>
      <c r="F192" s="29" t="s">
        <v>651</v>
      </c>
      <c r="G192" s="28" t="s">
        <v>24</v>
      </c>
      <c r="H192" s="29" t="s">
        <v>652</v>
      </c>
      <c r="I192" s="34" t="s">
        <v>653</v>
      </c>
      <c r="J192" s="29" t="s">
        <v>653</v>
      </c>
      <c r="K192" s="28" t="str">
        <f t="shared" si="8"/>
        <v>2026-02</v>
      </c>
      <c r="L192" s="28" t="s">
        <v>27</v>
      </c>
      <c r="M192" s="29" t="s">
        <v>28</v>
      </c>
      <c r="N192" s="28" t="s">
        <v>29</v>
      </c>
      <c r="O192" s="28" t="s">
        <v>30</v>
      </c>
      <c r="P192" s="28" t="s">
        <v>358</v>
      </c>
      <c r="Q192" s="28"/>
    </row>
    <row r="193" s="23" customFormat="1" ht="45" customHeight="1" spans="1:17">
      <c r="A193" s="28">
        <f t="shared" si="6"/>
        <v>190</v>
      </c>
      <c r="B193" s="29" t="s">
        <v>654</v>
      </c>
      <c r="C193" s="29" t="s">
        <v>20</v>
      </c>
      <c r="D193" s="29" t="s">
        <v>107</v>
      </c>
      <c r="E193" s="29" t="s">
        <v>108</v>
      </c>
      <c r="F193" s="29" t="s">
        <v>655</v>
      </c>
      <c r="G193" s="28" t="s">
        <v>24</v>
      </c>
      <c r="H193" s="29" t="s">
        <v>45</v>
      </c>
      <c r="I193" s="34" t="s">
        <v>46</v>
      </c>
      <c r="J193" s="29" t="s">
        <v>46</v>
      </c>
      <c r="K193" s="28" t="str">
        <f t="shared" si="8"/>
        <v>2025-10</v>
      </c>
      <c r="L193" s="28" t="s">
        <v>27</v>
      </c>
      <c r="M193" s="29" t="s">
        <v>28</v>
      </c>
      <c r="N193" s="28" t="s">
        <v>39</v>
      </c>
      <c r="O193" s="28" t="s">
        <v>30</v>
      </c>
      <c r="P193" s="28" t="s">
        <v>247</v>
      </c>
      <c r="Q193" s="29" t="s">
        <v>579</v>
      </c>
    </row>
    <row r="194" s="23" customFormat="1" ht="45" customHeight="1" spans="1:17">
      <c r="A194" s="28">
        <f t="shared" si="6"/>
        <v>191</v>
      </c>
      <c r="B194" s="29" t="s">
        <v>656</v>
      </c>
      <c r="C194" s="29" t="s">
        <v>20</v>
      </c>
      <c r="D194" s="29" t="s">
        <v>21</v>
      </c>
      <c r="E194" s="29" t="s">
        <v>22</v>
      </c>
      <c r="F194" s="29" t="s">
        <v>657</v>
      </c>
      <c r="G194" s="28" t="s">
        <v>24</v>
      </c>
      <c r="H194" s="29" t="s">
        <v>652</v>
      </c>
      <c r="I194" s="34" t="s">
        <v>653</v>
      </c>
      <c r="J194" s="29" t="s">
        <v>653</v>
      </c>
      <c r="K194" s="28" t="str">
        <f t="shared" si="8"/>
        <v>2026-02</v>
      </c>
      <c r="L194" s="28" t="s">
        <v>27</v>
      </c>
      <c r="M194" s="29" t="s">
        <v>28</v>
      </c>
      <c r="N194" s="28" t="s">
        <v>29</v>
      </c>
      <c r="O194" s="28" t="s">
        <v>30</v>
      </c>
      <c r="P194" s="28" t="s">
        <v>358</v>
      </c>
      <c r="Q194" s="28"/>
    </row>
    <row r="195" s="23" customFormat="1" ht="45" customHeight="1" spans="1:17">
      <c r="A195" s="28">
        <f t="shared" si="6"/>
        <v>192</v>
      </c>
      <c r="B195" s="29" t="s">
        <v>658</v>
      </c>
      <c r="C195" s="29" t="s">
        <v>20</v>
      </c>
      <c r="D195" s="29" t="s">
        <v>107</v>
      </c>
      <c r="E195" s="29" t="s">
        <v>108</v>
      </c>
      <c r="F195" s="29" t="s">
        <v>659</v>
      </c>
      <c r="G195" s="28" t="s">
        <v>24</v>
      </c>
      <c r="H195" s="29" t="s">
        <v>45</v>
      </c>
      <c r="I195" s="34" t="s">
        <v>46</v>
      </c>
      <c r="J195" s="29" t="s">
        <v>46</v>
      </c>
      <c r="K195" s="28" t="str">
        <f t="shared" si="8"/>
        <v>2025-10</v>
      </c>
      <c r="L195" s="28" t="s">
        <v>27</v>
      </c>
      <c r="M195" s="29" t="s">
        <v>28</v>
      </c>
      <c r="N195" s="28" t="s">
        <v>39</v>
      </c>
      <c r="O195" s="28" t="s">
        <v>30</v>
      </c>
      <c r="P195" s="28" t="s">
        <v>247</v>
      </c>
      <c r="Q195" s="29" t="s">
        <v>579</v>
      </c>
    </row>
    <row r="196" s="23" customFormat="1" ht="45" customHeight="1" spans="1:17">
      <c r="A196" s="28">
        <f t="shared" si="6"/>
        <v>193</v>
      </c>
      <c r="B196" s="29" t="s">
        <v>660</v>
      </c>
      <c r="C196" s="29" t="s">
        <v>20</v>
      </c>
      <c r="D196" s="29" t="s">
        <v>537</v>
      </c>
      <c r="E196" s="29" t="s">
        <v>538</v>
      </c>
      <c r="F196" s="29" t="s">
        <v>661</v>
      </c>
      <c r="G196" s="28" t="s">
        <v>24</v>
      </c>
      <c r="H196" s="29" t="s">
        <v>25</v>
      </c>
      <c r="I196" s="34" t="s">
        <v>26</v>
      </c>
      <c r="J196" s="29" t="s">
        <v>26</v>
      </c>
      <c r="K196" s="28" t="str">
        <f t="shared" si="8"/>
        <v>2026-02</v>
      </c>
      <c r="L196" s="28" t="s">
        <v>27</v>
      </c>
      <c r="M196" s="29" t="s">
        <v>28</v>
      </c>
      <c r="N196" s="28" t="s">
        <v>39</v>
      </c>
      <c r="O196" s="28" t="s">
        <v>30</v>
      </c>
      <c r="P196" s="28" t="s">
        <v>247</v>
      </c>
      <c r="Q196" s="29" t="s">
        <v>375</v>
      </c>
    </row>
    <row r="197" s="23" customFormat="1" ht="45" customHeight="1" spans="1:17">
      <c r="A197" s="28">
        <f t="shared" ref="A197:A260" si="9">ROW()-3</f>
        <v>194</v>
      </c>
      <c r="B197" s="29" t="s">
        <v>662</v>
      </c>
      <c r="C197" s="29" t="s">
        <v>20</v>
      </c>
      <c r="D197" s="29" t="s">
        <v>460</v>
      </c>
      <c r="E197" s="29" t="s">
        <v>461</v>
      </c>
      <c r="F197" s="29" t="s">
        <v>663</v>
      </c>
      <c r="G197" s="28" t="s">
        <v>24</v>
      </c>
      <c r="H197" s="29" t="s">
        <v>141</v>
      </c>
      <c r="I197" s="34" t="s">
        <v>142</v>
      </c>
      <c r="J197" s="29" t="s">
        <v>142</v>
      </c>
      <c r="K197" s="28" t="str">
        <f t="shared" si="8"/>
        <v>2025-10</v>
      </c>
      <c r="L197" s="28" t="s">
        <v>27</v>
      </c>
      <c r="M197" s="29" t="s">
        <v>28</v>
      </c>
      <c r="N197" s="28" t="s">
        <v>39</v>
      </c>
      <c r="O197" s="28" t="s">
        <v>30</v>
      </c>
      <c r="P197" s="28" t="s">
        <v>247</v>
      </c>
      <c r="Q197" s="29" t="s">
        <v>375</v>
      </c>
    </row>
    <row r="198" s="23" customFormat="1" ht="45" customHeight="1" spans="1:17">
      <c r="A198" s="28">
        <f t="shared" si="9"/>
        <v>195</v>
      </c>
      <c r="B198" s="29" t="s">
        <v>664</v>
      </c>
      <c r="C198" s="29" t="s">
        <v>20</v>
      </c>
      <c r="D198" s="29" t="s">
        <v>537</v>
      </c>
      <c r="E198" s="29" t="s">
        <v>538</v>
      </c>
      <c r="F198" s="29" t="s">
        <v>665</v>
      </c>
      <c r="G198" s="28" t="s">
        <v>24</v>
      </c>
      <c r="H198" s="29" t="s">
        <v>25</v>
      </c>
      <c r="I198" s="34" t="s">
        <v>26</v>
      </c>
      <c r="J198" s="29" t="s">
        <v>26</v>
      </c>
      <c r="K198" s="28" t="str">
        <f t="shared" si="8"/>
        <v>2026-02</v>
      </c>
      <c r="L198" s="28" t="s">
        <v>27</v>
      </c>
      <c r="M198" s="29" t="s">
        <v>28</v>
      </c>
      <c r="N198" s="28" t="s">
        <v>39</v>
      </c>
      <c r="O198" s="28" t="s">
        <v>30</v>
      </c>
      <c r="P198" s="28" t="s">
        <v>247</v>
      </c>
      <c r="Q198" s="29" t="s">
        <v>375</v>
      </c>
    </row>
    <row r="199" s="23" customFormat="1" ht="45" customHeight="1" spans="1:17">
      <c r="A199" s="28">
        <f t="shared" si="9"/>
        <v>196</v>
      </c>
      <c r="B199" s="29" t="s">
        <v>666</v>
      </c>
      <c r="C199" s="29" t="s">
        <v>20</v>
      </c>
      <c r="D199" s="29" t="s">
        <v>537</v>
      </c>
      <c r="E199" s="29" t="s">
        <v>538</v>
      </c>
      <c r="F199" s="29" t="s">
        <v>667</v>
      </c>
      <c r="G199" s="28" t="s">
        <v>24</v>
      </c>
      <c r="H199" s="29" t="s">
        <v>25</v>
      </c>
      <c r="I199" s="34" t="s">
        <v>26</v>
      </c>
      <c r="J199" s="29" t="s">
        <v>26</v>
      </c>
      <c r="K199" s="28" t="str">
        <f t="shared" si="8"/>
        <v>2026-02</v>
      </c>
      <c r="L199" s="28" t="s">
        <v>27</v>
      </c>
      <c r="M199" s="29" t="s">
        <v>28</v>
      </c>
      <c r="N199" s="28" t="s">
        <v>39</v>
      </c>
      <c r="O199" s="28" t="s">
        <v>30</v>
      </c>
      <c r="P199" s="28" t="s">
        <v>247</v>
      </c>
      <c r="Q199" s="29" t="s">
        <v>375</v>
      </c>
    </row>
    <row r="200" s="23" customFormat="1" ht="45" customHeight="1" spans="1:17">
      <c r="A200" s="28">
        <f t="shared" si="9"/>
        <v>197</v>
      </c>
      <c r="B200" s="29" t="s">
        <v>668</v>
      </c>
      <c r="C200" s="29" t="s">
        <v>20</v>
      </c>
      <c r="D200" s="29" t="s">
        <v>537</v>
      </c>
      <c r="E200" s="29" t="s">
        <v>538</v>
      </c>
      <c r="F200" s="29" t="s">
        <v>669</v>
      </c>
      <c r="G200" s="28" t="s">
        <v>24</v>
      </c>
      <c r="H200" s="29" t="s">
        <v>25</v>
      </c>
      <c r="I200" s="34" t="s">
        <v>26</v>
      </c>
      <c r="J200" s="29" t="s">
        <v>26</v>
      </c>
      <c r="K200" s="28" t="str">
        <f t="shared" si="8"/>
        <v>2026-02</v>
      </c>
      <c r="L200" s="28" t="s">
        <v>27</v>
      </c>
      <c r="M200" s="29" t="s">
        <v>28</v>
      </c>
      <c r="N200" s="28" t="s">
        <v>39</v>
      </c>
      <c r="O200" s="28" t="s">
        <v>30</v>
      </c>
      <c r="P200" s="28" t="s">
        <v>247</v>
      </c>
      <c r="Q200" s="29" t="s">
        <v>375</v>
      </c>
    </row>
    <row r="201" s="23" customFormat="1" ht="45" customHeight="1" spans="1:17">
      <c r="A201" s="28">
        <f t="shared" si="9"/>
        <v>198</v>
      </c>
      <c r="B201" s="29" t="s">
        <v>670</v>
      </c>
      <c r="C201" s="29" t="s">
        <v>20</v>
      </c>
      <c r="D201" s="29" t="s">
        <v>537</v>
      </c>
      <c r="E201" s="29" t="s">
        <v>538</v>
      </c>
      <c r="F201" s="29" t="s">
        <v>671</v>
      </c>
      <c r="G201" s="28" t="s">
        <v>24</v>
      </c>
      <c r="H201" s="29" t="s">
        <v>25</v>
      </c>
      <c r="I201" s="34" t="s">
        <v>26</v>
      </c>
      <c r="J201" s="29" t="s">
        <v>26</v>
      </c>
      <c r="K201" s="28" t="str">
        <f t="shared" si="8"/>
        <v>2026-02</v>
      </c>
      <c r="L201" s="28" t="s">
        <v>27</v>
      </c>
      <c r="M201" s="29" t="s">
        <v>28</v>
      </c>
      <c r="N201" s="28" t="s">
        <v>39</v>
      </c>
      <c r="O201" s="28" t="s">
        <v>30</v>
      </c>
      <c r="P201" s="28" t="s">
        <v>247</v>
      </c>
      <c r="Q201" s="29" t="s">
        <v>579</v>
      </c>
    </row>
    <row r="202" s="23" customFormat="1" ht="45" customHeight="1" spans="1:17">
      <c r="A202" s="28">
        <f t="shared" si="9"/>
        <v>199</v>
      </c>
      <c r="B202" s="29" t="s">
        <v>672</v>
      </c>
      <c r="C202" s="29" t="s">
        <v>20</v>
      </c>
      <c r="D202" s="29" t="s">
        <v>537</v>
      </c>
      <c r="E202" s="29" t="s">
        <v>538</v>
      </c>
      <c r="F202" s="29" t="s">
        <v>673</v>
      </c>
      <c r="G202" s="28" t="s">
        <v>24</v>
      </c>
      <c r="H202" s="29" t="s">
        <v>25</v>
      </c>
      <c r="I202" s="34" t="s">
        <v>26</v>
      </c>
      <c r="J202" s="29" t="s">
        <v>26</v>
      </c>
      <c r="K202" s="28" t="str">
        <f t="shared" si="8"/>
        <v>2026-02</v>
      </c>
      <c r="L202" s="28" t="s">
        <v>27</v>
      </c>
      <c r="M202" s="29" t="s">
        <v>28</v>
      </c>
      <c r="N202" s="28" t="s">
        <v>39</v>
      </c>
      <c r="O202" s="28" t="s">
        <v>30</v>
      </c>
      <c r="P202" s="28" t="s">
        <v>247</v>
      </c>
      <c r="Q202" s="29" t="s">
        <v>579</v>
      </c>
    </row>
    <row r="203" s="23" customFormat="1" ht="45" customHeight="1" spans="1:17">
      <c r="A203" s="28">
        <f t="shared" si="9"/>
        <v>200</v>
      </c>
      <c r="B203" s="29" t="s">
        <v>674</v>
      </c>
      <c r="C203" s="29" t="s">
        <v>20</v>
      </c>
      <c r="D203" s="29" t="s">
        <v>460</v>
      </c>
      <c r="E203" s="29" t="s">
        <v>461</v>
      </c>
      <c r="F203" s="29" t="s">
        <v>675</v>
      </c>
      <c r="G203" s="28" t="s">
        <v>24</v>
      </c>
      <c r="H203" s="29" t="s">
        <v>141</v>
      </c>
      <c r="I203" s="34" t="s">
        <v>142</v>
      </c>
      <c r="J203" s="29" t="s">
        <v>142</v>
      </c>
      <c r="K203" s="28" t="str">
        <f t="shared" si="8"/>
        <v>2025-10</v>
      </c>
      <c r="L203" s="28" t="s">
        <v>27</v>
      </c>
      <c r="M203" s="29" t="s">
        <v>28</v>
      </c>
      <c r="N203" s="28" t="s">
        <v>39</v>
      </c>
      <c r="O203" s="28" t="s">
        <v>30</v>
      </c>
      <c r="P203" s="28" t="s">
        <v>247</v>
      </c>
      <c r="Q203" s="29" t="s">
        <v>375</v>
      </c>
    </row>
    <row r="204" s="23" customFormat="1" ht="45" customHeight="1" spans="1:17">
      <c r="A204" s="28">
        <f t="shared" si="9"/>
        <v>201</v>
      </c>
      <c r="B204" s="29" t="s">
        <v>676</v>
      </c>
      <c r="C204" s="29" t="s">
        <v>20</v>
      </c>
      <c r="D204" s="29" t="s">
        <v>460</v>
      </c>
      <c r="E204" s="29" t="s">
        <v>461</v>
      </c>
      <c r="F204" s="29" t="s">
        <v>677</v>
      </c>
      <c r="G204" s="28" t="s">
        <v>24</v>
      </c>
      <c r="H204" s="29" t="s">
        <v>141</v>
      </c>
      <c r="I204" s="34" t="s">
        <v>142</v>
      </c>
      <c r="J204" s="29" t="s">
        <v>142</v>
      </c>
      <c r="K204" s="28" t="str">
        <f t="shared" si="8"/>
        <v>2025-10</v>
      </c>
      <c r="L204" s="28" t="s">
        <v>27</v>
      </c>
      <c r="M204" s="29" t="s">
        <v>28</v>
      </c>
      <c r="N204" s="28" t="s">
        <v>39</v>
      </c>
      <c r="O204" s="28" t="s">
        <v>30</v>
      </c>
      <c r="P204" s="28" t="s">
        <v>247</v>
      </c>
      <c r="Q204" s="29" t="s">
        <v>375</v>
      </c>
    </row>
    <row r="205" s="23" customFormat="1" ht="45" customHeight="1" spans="1:17">
      <c r="A205" s="28">
        <f t="shared" si="9"/>
        <v>202</v>
      </c>
      <c r="B205" s="29" t="s">
        <v>678</v>
      </c>
      <c r="C205" s="29" t="s">
        <v>20</v>
      </c>
      <c r="D205" s="29" t="s">
        <v>460</v>
      </c>
      <c r="E205" s="29" t="s">
        <v>461</v>
      </c>
      <c r="F205" s="29" t="s">
        <v>679</v>
      </c>
      <c r="G205" s="28" t="s">
        <v>24</v>
      </c>
      <c r="H205" s="29" t="s">
        <v>141</v>
      </c>
      <c r="I205" s="34" t="s">
        <v>142</v>
      </c>
      <c r="J205" s="29" t="s">
        <v>142</v>
      </c>
      <c r="K205" s="28" t="str">
        <f t="shared" si="8"/>
        <v>2025-10</v>
      </c>
      <c r="L205" s="28" t="s">
        <v>27</v>
      </c>
      <c r="M205" s="29" t="s">
        <v>28</v>
      </c>
      <c r="N205" s="28" t="s">
        <v>39</v>
      </c>
      <c r="O205" s="28" t="s">
        <v>30</v>
      </c>
      <c r="P205" s="28" t="s">
        <v>247</v>
      </c>
      <c r="Q205" s="29" t="s">
        <v>375</v>
      </c>
    </row>
    <row r="206" s="23" customFormat="1" ht="45" customHeight="1" spans="1:17">
      <c r="A206" s="28">
        <f t="shared" si="9"/>
        <v>203</v>
      </c>
      <c r="B206" s="29" t="s">
        <v>680</v>
      </c>
      <c r="C206" s="29" t="s">
        <v>20</v>
      </c>
      <c r="D206" s="29" t="s">
        <v>460</v>
      </c>
      <c r="E206" s="29" t="s">
        <v>461</v>
      </c>
      <c r="F206" s="29" t="s">
        <v>681</v>
      </c>
      <c r="G206" s="28" t="s">
        <v>24</v>
      </c>
      <c r="H206" s="29" t="s">
        <v>141</v>
      </c>
      <c r="I206" s="34" t="s">
        <v>142</v>
      </c>
      <c r="J206" s="29" t="s">
        <v>142</v>
      </c>
      <c r="K206" s="28" t="str">
        <f t="shared" si="8"/>
        <v>2025-10</v>
      </c>
      <c r="L206" s="28" t="s">
        <v>27</v>
      </c>
      <c r="M206" s="29" t="s">
        <v>28</v>
      </c>
      <c r="N206" s="28" t="s">
        <v>39</v>
      </c>
      <c r="O206" s="28" t="s">
        <v>30</v>
      </c>
      <c r="P206" s="28" t="s">
        <v>247</v>
      </c>
      <c r="Q206" s="29" t="s">
        <v>375</v>
      </c>
    </row>
    <row r="207" s="23" customFormat="1" ht="45" customHeight="1" spans="1:17">
      <c r="A207" s="28">
        <f t="shared" si="9"/>
        <v>204</v>
      </c>
      <c r="B207" s="29" t="s">
        <v>682</v>
      </c>
      <c r="C207" s="29" t="s">
        <v>20</v>
      </c>
      <c r="D207" s="29" t="s">
        <v>460</v>
      </c>
      <c r="E207" s="29" t="s">
        <v>461</v>
      </c>
      <c r="F207" s="29" t="s">
        <v>683</v>
      </c>
      <c r="G207" s="28" t="s">
        <v>24</v>
      </c>
      <c r="H207" s="29" t="s">
        <v>141</v>
      </c>
      <c r="I207" s="34" t="s">
        <v>142</v>
      </c>
      <c r="J207" s="29" t="s">
        <v>142</v>
      </c>
      <c r="K207" s="28" t="str">
        <f t="shared" si="8"/>
        <v>2025-10</v>
      </c>
      <c r="L207" s="28" t="s">
        <v>27</v>
      </c>
      <c r="M207" s="29" t="s">
        <v>28</v>
      </c>
      <c r="N207" s="28" t="s">
        <v>39</v>
      </c>
      <c r="O207" s="28" t="s">
        <v>30</v>
      </c>
      <c r="P207" s="28" t="s">
        <v>247</v>
      </c>
      <c r="Q207" s="29" t="s">
        <v>375</v>
      </c>
    </row>
    <row r="208" s="23" customFormat="1" ht="45" customHeight="1" spans="1:17">
      <c r="A208" s="28">
        <f t="shared" si="9"/>
        <v>205</v>
      </c>
      <c r="B208" s="29" t="s">
        <v>684</v>
      </c>
      <c r="C208" s="29" t="s">
        <v>20</v>
      </c>
      <c r="D208" s="29" t="s">
        <v>460</v>
      </c>
      <c r="E208" s="29" t="s">
        <v>461</v>
      </c>
      <c r="F208" s="29" t="s">
        <v>685</v>
      </c>
      <c r="G208" s="28" t="s">
        <v>24</v>
      </c>
      <c r="H208" s="29" t="s">
        <v>141</v>
      </c>
      <c r="I208" s="34" t="s">
        <v>142</v>
      </c>
      <c r="J208" s="29" t="s">
        <v>142</v>
      </c>
      <c r="K208" s="28" t="str">
        <f t="shared" si="8"/>
        <v>2025-10</v>
      </c>
      <c r="L208" s="28" t="s">
        <v>27</v>
      </c>
      <c r="M208" s="29" t="s">
        <v>28</v>
      </c>
      <c r="N208" s="28" t="s">
        <v>39</v>
      </c>
      <c r="O208" s="28" t="s">
        <v>30</v>
      </c>
      <c r="P208" s="28" t="s">
        <v>247</v>
      </c>
      <c r="Q208" s="29" t="s">
        <v>375</v>
      </c>
    </row>
    <row r="209" s="23" customFormat="1" ht="45" customHeight="1" spans="1:17">
      <c r="A209" s="28">
        <f t="shared" si="9"/>
        <v>206</v>
      </c>
      <c r="B209" s="29" t="s">
        <v>686</v>
      </c>
      <c r="C209" s="29" t="s">
        <v>20</v>
      </c>
      <c r="D209" s="29" t="s">
        <v>460</v>
      </c>
      <c r="E209" s="29" t="s">
        <v>461</v>
      </c>
      <c r="F209" s="29" t="s">
        <v>687</v>
      </c>
      <c r="G209" s="28" t="s">
        <v>24</v>
      </c>
      <c r="H209" s="29" t="s">
        <v>141</v>
      </c>
      <c r="I209" s="34" t="s">
        <v>142</v>
      </c>
      <c r="J209" s="29" t="s">
        <v>142</v>
      </c>
      <c r="K209" s="28" t="str">
        <f t="shared" si="8"/>
        <v>2025-10</v>
      </c>
      <c r="L209" s="28" t="s">
        <v>27</v>
      </c>
      <c r="M209" s="29" t="s">
        <v>28</v>
      </c>
      <c r="N209" s="28" t="s">
        <v>39</v>
      </c>
      <c r="O209" s="28" t="s">
        <v>30</v>
      </c>
      <c r="P209" s="28" t="s">
        <v>247</v>
      </c>
      <c r="Q209" s="29" t="s">
        <v>375</v>
      </c>
    </row>
    <row r="210" s="23" customFormat="1" ht="45" customHeight="1" spans="1:17">
      <c r="A210" s="28">
        <f t="shared" si="9"/>
        <v>207</v>
      </c>
      <c r="B210" s="29" t="s">
        <v>688</v>
      </c>
      <c r="C210" s="29" t="s">
        <v>20</v>
      </c>
      <c r="D210" s="29" t="s">
        <v>460</v>
      </c>
      <c r="E210" s="29" t="s">
        <v>461</v>
      </c>
      <c r="F210" s="29" t="s">
        <v>689</v>
      </c>
      <c r="G210" s="28" t="s">
        <v>24</v>
      </c>
      <c r="H210" s="29" t="s">
        <v>141</v>
      </c>
      <c r="I210" s="34" t="s">
        <v>142</v>
      </c>
      <c r="J210" s="29" t="s">
        <v>142</v>
      </c>
      <c r="K210" s="28" t="str">
        <f t="shared" si="8"/>
        <v>2025-10</v>
      </c>
      <c r="L210" s="28" t="s">
        <v>27</v>
      </c>
      <c r="M210" s="29" t="s">
        <v>28</v>
      </c>
      <c r="N210" s="28" t="s">
        <v>39</v>
      </c>
      <c r="O210" s="28" t="s">
        <v>30</v>
      </c>
      <c r="P210" s="28" t="s">
        <v>247</v>
      </c>
      <c r="Q210" s="29" t="s">
        <v>375</v>
      </c>
    </row>
    <row r="211" s="23" customFormat="1" ht="45" customHeight="1" spans="1:17">
      <c r="A211" s="28">
        <f t="shared" si="9"/>
        <v>208</v>
      </c>
      <c r="B211" s="29" t="s">
        <v>690</v>
      </c>
      <c r="C211" s="29" t="s">
        <v>20</v>
      </c>
      <c r="D211" s="29" t="s">
        <v>460</v>
      </c>
      <c r="E211" s="29" t="s">
        <v>461</v>
      </c>
      <c r="F211" s="29" t="s">
        <v>691</v>
      </c>
      <c r="G211" s="28" t="s">
        <v>24</v>
      </c>
      <c r="H211" s="29" t="s">
        <v>141</v>
      </c>
      <c r="I211" s="34" t="s">
        <v>142</v>
      </c>
      <c r="J211" s="29" t="s">
        <v>142</v>
      </c>
      <c r="K211" s="28" t="str">
        <f t="shared" si="8"/>
        <v>2025-10</v>
      </c>
      <c r="L211" s="28" t="s">
        <v>27</v>
      </c>
      <c r="M211" s="29" t="s">
        <v>28</v>
      </c>
      <c r="N211" s="28" t="s">
        <v>39</v>
      </c>
      <c r="O211" s="28" t="s">
        <v>30</v>
      </c>
      <c r="P211" s="28" t="s">
        <v>247</v>
      </c>
      <c r="Q211" s="29" t="s">
        <v>375</v>
      </c>
    </row>
    <row r="212" s="23" customFormat="1" ht="45" customHeight="1" spans="1:17">
      <c r="A212" s="28">
        <f t="shared" si="9"/>
        <v>209</v>
      </c>
      <c r="B212" s="29" t="s">
        <v>692</v>
      </c>
      <c r="C212" s="29" t="s">
        <v>20</v>
      </c>
      <c r="D212" s="29" t="s">
        <v>537</v>
      </c>
      <c r="E212" s="29" t="s">
        <v>538</v>
      </c>
      <c r="F212" s="29" t="s">
        <v>693</v>
      </c>
      <c r="G212" s="28" t="s">
        <v>24</v>
      </c>
      <c r="H212" s="29" t="s">
        <v>25</v>
      </c>
      <c r="I212" s="34" t="s">
        <v>26</v>
      </c>
      <c r="J212" s="29" t="s">
        <v>26</v>
      </c>
      <c r="K212" s="28" t="str">
        <f t="shared" si="8"/>
        <v>2026-02</v>
      </c>
      <c r="L212" s="28" t="s">
        <v>27</v>
      </c>
      <c r="M212" s="29" t="s">
        <v>28</v>
      </c>
      <c r="N212" s="28" t="s">
        <v>39</v>
      </c>
      <c r="O212" s="28" t="s">
        <v>30</v>
      </c>
      <c r="P212" s="28" t="s">
        <v>247</v>
      </c>
      <c r="Q212" s="29" t="s">
        <v>579</v>
      </c>
    </row>
    <row r="213" s="23" customFormat="1" ht="45" customHeight="1" spans="1:17">
      <c r="A213" s="28">
        <f t="shared" si="9"/>
        <v>210</v>
      </c>
      <c r="B213" s="29" t="s">
        <v>694</v>
      </c>
      <c r="C213" s="29" t="s">
        <v>20</v>
      </c>
      <c r="D213" s="29" t="s">
        <v>460</v>
      </c>
      <c r="E213" s="29" t="s">
        <v>461</v>
      </c>
      <c r="F213" s="29" t="s">
        <v>695</v>
      </c>
      <c r="G213" s="28" t="s">
        <v>24</v>
      </c>
      <c r="H213" s="29" t="s">
        <v>141</v>
      </c>
      <c r="I213" s="34" t="s">
        <v>142</v>
      </c>
      <c r="J213" s="29" t="s">
        <v>142</v>
      </c>
      <c r="K213" s="28" t="str">
        <f t="shared" si="8"/>
        <v>2025-10</v>
      </c>
      <c r="L213" s="28" t="s">
        <v>27</v>
      </c>
      <c r="M213" s="29" t="s">
        <v>28</v>
      </c>
      <c r="N213" s="28" t="s">
        <v>39</v>
      </c>
      <c r="O213" s="28" t="s">
        <v>30</v>
      </c>
      <c r="P213" s="28" t="s">
        <v>247</v>
      </c>
      <c r="Q213" s="29" t="s">
        <v>375</v>
      </c>
    </row>
    <row r="214" s="23" customFormat="1" ht="45" customHeight="1" spans="1:17">
      <c r="A214" s="28">
        <f t="shared" si="9"/>
        <v>211</v>
      </c>
      <c r="B214" s="29" t="s">
        <v>696</v>
      </c>
      <c r="C214" s="29" t="s">
        <v>20</v>
      </c>
      <c r="D214" s="29" t="s">
        <v>537</v>
      </c>
      <c r="E214" s="29" t="s">
        <v>538</v>
      </c>
      <c r="F214" s="29" t="s">
        <v>697</v>
      </c>
      <c r="G214" s="28" t="s">
        <v>24</v>
      </c>
      <c r="H214" s="29" t="s">
        <v>25</v>
      </c>
      <c r="I214" s="34" t="s">
        <v>26</v>
      </c>
      <c r="J214" s="29" t="s">
        <v>26</v>
      </c>
      <c r="K214" s="28" t="str">
        <f t="shared" si="8"/>
        <v>2026-02</v>
      </c>
      <c r="L214" s="28" t="s">
        <v>27</v>
      </c>
      <c r="M214" s="29" t="s">
        <v>28</v>
      </c>
      <c r="N214" s="28" t="s">
        <v>39</v>
      </c>
      <c r="O214" s="28" t="s">
        <v>30</v>
      </c>
      <c r="P214" s="28" t="s">
        <v>247</v>
      </c>
      <c r="Q214" s="29" t="s">
        <v>375</v>
      </c>
    </row>
    <row r="215" s="23" customFormat="1" ht="45" customHeight="1" spans="1:17">
      <c r="A215" s="28">
        <f t="shared" si="9"/>
        <v>212</v>
      </c>
      <c r="B215" s="29" t="s">
        <v>698</v>
      </c>
      <c r="C215" s="29" t="s">
        <v>20</v>
      </c>
      <c r="D215" s="29" t="s">
        <v>460</v>
      </c>
      <c r="E215" s="29" t="s">
        <v>461</v>
      </c>
      <c r="F215" s="29" t="s">
        <v>699</v>
      </c>
      <c r="G215" s="28" t="s">
        <v>24</v>
      </c>
      <c r="H215" s="29" t="s">
        <v>141</v>
      </c>
      <c r="I215" s="34" t="s">
        <v>142</v>
      </c>
      <c r="J215" s="29" t="s">
        <v>142</v>
      </c>
      <c r="K215" s="28" t="str">
        <f t="shared" si="8"/>
        <v>2025-10</v>
      </c>
      <c r="L215" s="28" t="s">
        <v>27</v>
      </c>
      <c r="M215" s="29" t="s">
        <v>28</v>
      </c>
      <c r="N215" s="28" t="s">
        <v>39</v>
      </c>
      <c r="O215" s="28" t="s">
        <v>30</v>
      </c>
      <c r="P215" s="28" t="s">
        <v>247</v>
      </c>
      <c r="Q215" s="29" t="s">
        <v>248</v>
      </c>
    </row>
    <row r="216" s="23" customFormat="1" ht="45" customHeight="1" spans="1:17">
      <c r="A216" s="28">
        <f t="shared" si="9"/>
        <v>213</v>
      </c>
      <c r="B216" s="29" t="s">
        <v>700</v>
      </c>
      <c r="C216" s="29" t="s">
        <v>20</v>
      </c>
      <c r="D216" s="29" t="s">
        <v>33</v>
      </c>
      <c r="E216" s="29" t="s">
        <v>116</v>
      </c>
      <c r="F216" s="29" t="s">
        <v>701</v>
      </c>
      <c r="G216" s="28" t="s">
        <v>36</v>
      </c>
      <c r="H216" s="29" t="s">
        <v>37</v>
      </c>
      <c r="I216" s="34" t="s">
        <v>38</v>
      </c>
      <c r="J216" s="29" t="s">
        <v>38</v>
      </c>
      <c r="K216" s="28" t="str">
        <f t="shared" si="8"/>
        <v>2026-02</v>
      </c>
      <c r="L216" s="28" t="s">
        <v>27</v>
      </c>
      <c r="M216" s="29" t="s">
        <v>28</v>
      </c>
      <c r="N216" s="28" t="s">
        <v>39</v>
      </c>
      <c r="O216" s="28" t="s">
        <v>30</v>
      </c>
      <c r="P216" s="28" t="s">
        <v>535</v>
      </c>
      <c r="Q216" s="28"/>
    </row>
    <row r="217" s="23" customFormat="1" ht="45" customHeight="1" spans="1:17">
      <c r="A217" s="28">
        <f t="shared" si="9"/>
        <v>214</v>
      </c>
      <c r="B217" s="29" t="s">
        <v>702</v>
      </c>
      <c r="C217" s="29" t="s">
        <v>20</v>
      </c>
      <c r="D217" s="29" t="s">
        <v>703</v>
      </c>
      <c r="E217" s="29" t="s">
        <v>495</v>
      </c>
      <c r="F217" s="29" t="s">
        <v>496</v>
      </c>
      <c r="G217" s="28" t="s">
        <v>481</v>
      </c>
      <c r="H217" s="29" t="s">
        <v>25</v>
      </c>
      <c r="I217" s="34" t="s">
        <v>26</v>
      </c>
      <c r="J217" s="29" t="s">
        <v>26</v>
      </c>
      <c r="K217" s="28" t="str">
        <f t="shared" si="8"/>
        <v>2026-02</v>
      </c>
      <c r="L217" s="28" t="s">
        <v>27</v>
      </c>
      <c r="M217" s="29" t="s">
        <v>28</v>
      </c>
      <c r="N217" s="28" t="s">
        <v>39</v>
      </c>
      <c r="O217" s="28" t="s">
        <v>30</v>
      </c>
      <c r="P217" s="28" t="s">
        <v>364</v>
      </c>
      <c r="Q217" s="28"/>
    </row>
    <row r="218" s="23" customFormat="1" ht="45" customHeight="1" spans="1:17">
      <c r="A218" s="28">
        <f t="shared" si="9"/>
        <v>215</v>
      </c>
      <c r="B218" s="29" t="s">
        <v>704</v>
      </c>
      <c r="C218" s="29" t="s">
        <v>20</v>
      </c>
      <c r="D218" s="29" t="s">
        <v>537</v>
      </c>
      <c r="E218" s="29" t="s">
        <v>538</v>
      </c>
      <c r="F218" s="29" t="s">
        <v>705</v>
      </c>
      <c r="G218" s="28" t="s">
        <v>24</v>
      </c>
      <c r="H218" s="29" t="s">
        <v>25</v>
      </c>
      <c r="I218" s="34" t="s">
        <v>26</v>
      </c>
      <c r="J218" s="29" t="s">
        <v>26</v>
      </c>
      <c r="K218" s="28" t="str">
        <f t="shared" si="8"/>
        <v>2026-02</v>
      </c>
      <c r="L218" s="28" t="s">
        <v>27</v>
      </c>
      <c r="M218" s="29" t="s">
        <v>28</v>
      </c>
      <c r="N218" s="28" t="s">
        <v>39</v>
      </c>
      <c r="O218" s="28" t="s">
        <v>30</v>
      </c>
      <c r="P218" s="28" t="s">
        <v>247</v>
      </c>
      <c r="Q218" s="29" t="s">
        <v>375</v>
      </c>
    </row>
    <row r="219" s="23" customFormat="1" ht="45" customHeight="1" spans="1:17">
      <c r="A219" s="28">
        <f t="shared" si="9"/>
        <v>216</v>
      </c>
      <c r="B219" s="29" t="s">
        <v>706</v>
      </c>
      <c r="C219" s="29" t="s">
        <v>20</v>
      </c>
      <c r="D219" s="29" t="s">
        <v>537</v>
      </c>
      <c r="E219" s="29" t="s">
        <v>538</v>
      </c>
      <c r="F219" s="29" t="s">
        <v>707</v>
      </c>
      <c r="G219" s="28" t="s">
        <v>24</v>
      </c>
      <c r="H219" s="29" t="s">
        <v>25</v>
      </c>
      <c r="I219" s="34" t="s">
        <v>26</v>
      </c>
      <c r="J219" s="29" t="s">
        <v>26</v>
      </c>
      <c r="K219" s="28" t="str">
        <f t="shared" si="8"/>
        <v>2026-02</v>
      </c>
      <c r="L219" s="28" t="s">
        <v>27</v>
      </c>
      <c r="M219" s="29" t="s">
        <v>28</v>
      </c>
      <c r="N219" s="28" t="s">
        <v>39</v>
      </c>
      <c r="O219" s="28" t="s">
        <v>30</v>
      </c>
      <c r="P219" s="28" t="s">
        <v>247</v>
      </c>
      <c r="Q219" s="29" t="s">
        <v>375</v>
      </c>
    </row>
    <row r="220" s="23" customFormat="1" ht="45" customHeight="1" spans="1:17">
      <c r="A220" s="28">
        <f t="shared" si="9"/>
        <v>217</v>
      </c>
      <c r="B220" s="29" t="s">
        <v>708</v>
      </c>
      <c r="C220" s="29" t="s">
        <v>20</v>
      </c>
      <c r="D220" s="29" t="s">
        <v>643</v>
      </c>
      <c r="E220" s="29" t="s">
        <v>644</v>
      </c>
      <c r="F220" s="29" t="s">
        <v>709</v>
      </c>
      <c r="G220" s="28" t="s">
        <v>77</v>
      </c>
      <c r="H220" s="29" t="s">
        <v>710</v>
      </c>
      <c r="I220" s="34" t="s">
        <v>711</v>
      </c>
      <c r="J220" s="29" t="s">
        <v>711</v>
      </c>
      <c r="K220" s="28" t="str">
        <f t="shared" si="8"/>
        <v>2026-03</v>
      </c>
      <c r="L220" s="28" t="s">
        <v>27</v>
      </c>
      <c r="M220" s="29" t="s">
        <v>28</v>
      </c>
      <c r="N220" s="28" t="s">
        <v>29</v>
      </c>
      <c r="O220" s="28" t="s">
        <v>30</v>
      </c>
      <c r="P220" s="28" t="s">
        <v>364</v>
      </c>
      <c r="Q220" s="28"/>
    </row>
    <row r="221" s="23" customFormat="1" ht="45" customHeight="1" spans="1:17">
      <c r="A221" s="28">
        <f t="shared" si="9"/>
        <v>218</v>
      </c>
      <c r="B221" s="29" t="s">
        <v>712</v>
      </c>
      <c r="C221" s="29" t="s">
        <v>20</v>
      </c>
      <c r="D221" s="29" t="s">
        <v>713</v>
      </c>
      <c r="E221" s="29" t="s">
        <v>714</v>
      </c>
      <c r="F221" s="29" t="s">
        <v>715</v>
      </c>
      <c r="G221" s="28" t="s">
        <v>36</v>
      </c>
      <c r="H221" s="29" t="s">
        <v>716</v>
      </c>
      <c r="I221" s="34" t="s">
        <v>717</v>
      </c>
      <c r="J221" s="29" t="s">
        <v>717</v>
      </c>
      <c r="K221" s="28" t="str">
        <f t="shared" si="8"/>
        <v>2026-03</v>
      </c>
      <c r="L221" s="28" t="s">
        <v>27</v>
      </c>
      <c r="M221" s="29" t="s">
        <v>28</v>
      </c>
      <c r="N221" s="28" t="s">
        <v>39</v>
      </c>
      <c r="O221" s="28" t="s">
        <v>30</v>
      </c>
      <c r="P221" s="28" t="s">
        <v>718</v>
      </c>
      <c r="Q221" s="28"/>
    </row>
    <row r="222" s="23" customFormat="1" ht="45" customHeight="1" spans="1:17">
      <c r="A222" s="28">
        <f t="shared" si="9"/>
        <v>219</v>
      </c>
      <c r="B222" s="29" t="s">
        <v>719</v>
      </c>
      <c r="C222" s="29" t="s">
        <v>20</v>
      </c>
      <c r="D222" s="29" t="s">
        <v>720</v>
      </c>
      <c r="E222" s="29" t="s">
        <v>467</v>
      </c>
      <c r="F222" s="29" t="s">
        <v>721</v>
      </c>
      <c r="G222" s="28" t="s">
        <v>36</v>
      </c>
      <c r="H222" s="29" t="s">
        <v>716</v>
      </c>
      <c r="I222" s="34" t="s">
        <v>717</v>
      </c>
      <c r="J222" s="29" t="s">
        <v>717</v>
      </c>
      <c r="K222" s="28" t="str">
        <f t="shared" si="8"/>
        <v>2026-03</v>
      </c>
      <c r="L222" s="28" t="s">
        <v>27</v>
      </c>
      <c r="M222" s="29" t="s">
        <v>28</v>
      </c>
      <c r="N222" s="28" t="s">
        <v>39</v>
      </c>
      <c r="O222" s="28" t="s">
        <v>30</v>
      </c>
      <c r="P222" s="28" t="s">
        <v>364</v>
      </c>
      <c r="Q222" s="28"/>
    </row>
    <row r="223" s="23" customFormat="1" ht="45" customHeight="1" spans="1:17">
      <c r="A223" s="28">
        <f t="shared" si="9"/>
        <v>220</v>
      </c>
      <c r="B223" s="29" t="s">
        <v>722</v>
      </c>
      <c r="C223" s="29" t="s">
        <v>20</v>
      </c>
      <c r="D223" s="29" t="s">
        <v>111</v>
      </c>
      <c r="E223" s="29" t="s">
        <v>723</v>
      </c>
      <c r="F223" s="29" t="s">
        <v>724</v>
      </c>
      <c r="G223" s="28" t="s">
        <v>92</v>
      </c>
      <c r="H223" s="29" t="s">
        <v>716</v>
      </c>
      <c r="I223" s="34" t="s">
        <v>717</v>
      </c>
      <c r="J223" s="29" t="s">
        <v>717</v>
      </c>
      <c r="K223" s="28" t="str">
        <f t="shared" si="8"/>
        <v>2026-03</v>
      </c>
      <c r="L223" s="28" t="s">
        <v>27</v>
      </c>
      <c r="M223" s="29" t="s">
        <v>28</v>
      </c>
      <c r="N223" s="28" t="s">
        <v>39</v>
      </c>
      <c r="O223" s="28" t="s">
        <v>30</v>
      </c>
      <c r="P223" s="28" t="s">
        <v>364</v>
      </c>
      <c r="Q223" s="28"/>
    </row>
    <row r="224" s="23" customFormat="1" ht="45" customHeight="1" spans="1:17">
      <c r="A224" s="28">
        <f t="shared" si="9"/>
        <v>221</v>
      </c>
      <c r="B224" s="29" t="s">
        <v>725</v>
      </c>
      <c r="C224" s="29" t="s">
        <v>20</v>
      </c>
      <c r="D224" s="29" t="s">
        <v>107</v>
      </c>
      <c r="E224" s="29" t="s">
        <v>726</v>
      </c>
      <c r="F224" s="29" t="s">
        <v>727</v>
      </c>
      <c r="G224" s="28" t="s">
        <v>24</v>
      </c>
      <c r="H224" s="29" t="s">
        <v>728</v>
      </c>
      <c r="I224" s="34" t="s">
        <v>729</v>
      </c>
      <c r="J224" s="29" t="s">
        <v>729</v>
      </c>
      <c r="K224" s="28" t="str">
        <f t="shared" si="8"/>
        <v>2026-03</v>
      </c>
      <c r="L224" s="28" t="s">
        <v>27</v>
      </c>
      <c r="M224" s="29" t="s">
        <v>28</v>
      </c>
      <c r="N224" s="28" t="s">
        <v>39</v>
      </c>
      <c r="O224" s="28" t="s">
        <v>30</v>
      </c>
      <c r="P224" s="28" t="s">
        <v>247</v>
      </c>
      <c r="Q224" s="29" t="s">
        <v>579</v>
      </c>
    </row>
    <row r="225" s="23" customFormat="1" ht="45" customHeight="1" spans="1:17">
      <c r="A225" s="28">
        <f t="shared" si="9"/>
        <v>222</v>
      </c>
      <c r="B225" s="29" t="s">
        <v>730</v>
      </c>
      <c r="C225" s="29" t="s">
        <v>20</v>
      </c>
      <c r="D225" s="29" t="s">
        <v>731</v>
      </c>
      <c r="E225" s="29" t="s">
        <v>732</v>
      </c>
      <c r="F225" s="29" t="s">
        <v>733</v>
      </c>
      <c r="G225" s="28" t="s">
        <v>24</v>
      </c>
      <c r="H225" s="29" t="s">
        <v>734</v>
      </c>
      <c r="I225" s="34" t="s">
        <v>735</v>
      </c>
      <c r="J225" s="29" t="s">
        <v>735</v>
      </c>
      <c r="K225" s="28" t="str">
        <f t="shared" si="8"/>
        <v>2026-03</v>
      </c>
      <c r="L225" s="28" t="s">
        <v>27</v>
      </c>
      <c r="M225" s="29" t="s">
        <v>28</v>
      </c>
      <c r="N225" s="28" t="s">
        <v>39</v>
      </c>
      <c r="O225" s="28" t="s">
        <v>30</v>
      </c>
      <c r="P225" s="28" t="s">
        <v>71</v>
      </c>
      <c r="Q225" s="28"/>
    </row>
    <row r="226" s="23" customFormat="1" ht="45" customHeight="1" spans="1:17">
      <c r="A226" s="28">
        <f t="shared" si="9"/>
        <v>223</v>
      </c>
      <c r="B226" s="29" t="s">
        <v>736</v>
      </c>
      <c r="C226" s="29" t="s">
        <v>20</v>
      </c>
      <c r="D226" s="29" t="s">
        <v>731</v>
      </c>
      <c r="E226" s="29" t="s">
        <v>732</v>
      </c>
      <c r="F226" s="29" t="s">
        <v>737</v>
      </c>
      <c r="G226" s="28" t="s">
        <v>24</v>
      </c>
      <c r="H226" s="29" t="s">
        <v>734</v>
      </c>
      <c r="I226" s="34" t="s">
        <v>735</v>
      </c>
      <c r="J226" s="29" t="s">
        <v>735</v>
      </c>
      <c r="K226" s="28" t="str">
        <f t="shared" si="8"/>
        <v>2026-03</v>
      </c>
      <c r="L226" s="28" t="s">
        <v>27</v>
      </c>
      <c r="M226" s="29" t="s">
        <v>28</v>
      </c>
      <c r="N226" s="28" t="s">
        <v>39</v>
      </c>
      <c r="O226" s="28" t="s">
        <v>30</v>
      </c>
      <c r="P226" s="28" t="s">
        <v>71</v>
      </c>
      <c r="Q226" s="28"/>
    </row>
    <row r="227" s="23" customFormat="1" ht="45" customHeight="1" spans="1:17">
      <c r="A227" s="28">
        <f t="shared" si="9"/>
        <v>224</v>
      </c>
      <c r="B227" s="29" t="s">
        <v>738</v>
      </c>
      <c r="C227" s="29" t="s">
        <v>20</v>
      </c>
      <c r="D227" s="29" t="s">
        <v>731</v>
      </c>
      <c r="E227" s="29" t="s">
        <v>732</v>
      </c>
      <c r="F227" s="29" t="s">
        <v>739</v>
      </c>
      <c r="G227" s="28" t="s">
        <v>24</v>
      </c>
      <c r="H227" s="29" t="s">
        <v>734</v>
      </c>
      <c r="I227" s="34" t="s">
        <v>735</v>
      </c>
      <c r="J227" s="29" t="s">
        <v>735</v>
      </c>
      <c r="K227" s="28" t="str">
        <f t="shared" si="8"/>
        <v>2026-03</v>
      </c>
      <c r="L227" s="28" t="s">
        <v>27</v>
      </c>
      <c r="M227" s="29" t="s">
        <v>28</v>
      </c>
      <c r="N227" s="28" t="s">
        <v>39</v>
      </c>
      <c r="O227" s="28" t="s">
        <v>30</v>
      </c>
      <c r="P227" s="28" t="s">
        <v>71</v>
      </c>
      <c r="Q227" s="28"/>
    </row>
    <row r="228" s="23" customFormat="1" ht="45" customHeight="1" spans="1:17">
      <c r="A228" s="28">
        <f t="shared" si="9"/>
        <v>225</v>
      </c>
      <c r="B228" s="29" t="s">
        <v>740</v>
      </c>
      <c r="C228" s="29" t="s">
        <v>20</v>
      </c>
      <c r="D228" s="29" t="s">
        <v>460</v>
      </c>
      <c r="E228" s="29" t="s">
        <v>741</v>
      </c>
      <c r="F228" s="29" t="s">
        <v>742</v>
      </c>
      <c r="G228" s="28" t="s">
        <v>24</v>
      </c>
      <c r="H228" s="29" t="s">
        <v>83</v>
      </c>
      <c r="I228" s="34" t="s">
        <v>84</v>
      </c>
      <c r="J228" s="29" t="s">
        <v>84</v>
      </c>
      <c r="K228" s="28" t="str">
        <f t="shared" si="8"/>
        <v>2026-03</v>
      </c>
      <c r="L228" s="28" t="s">
        <v>27</v>
      </c>
      <c r="M228" s="29" t="s">
        <v>28</v>
      </c>
      <c r="N228" s="28" t="s">
        <v>39</v>
      </c>
      <c r="O228" s="28" t="s">
        <v>30</v>
      </c>
      <c r="P228" s="28" t="s">
        <v>143</v>
      </c>
      <c r="Q228" s="28"/>
    </row>
    <row r="229" s="23" customFormat="1" ht="45" customHeight="1" spans="1:17">
      <c r="A229" s="28">
        <f t="shared" si="9"/>
        <v>226</v>
      </c>
      <c r="B229" s="29" t="s">
        <v>743</v>
      </c>
      <c r="C229" s="29" t="s">
        <v>20</v>
      </c>
      <c r="D229" s="29" t="s">
        <v>107</v>
      </c>
      <c r="E229" s="29" t="s">
        <v>726</v>
      </c>
      <c r="F229" s="29" t="s">
        <v>744</v>
      </c>
      <c r="G229" s="28" t="s">
        <v>24</v>
      </c>
      <c r="H229" s="29" t="s">
        <v>728</v>
      </c>
      <c r="I229" s="34" t="s">
        <v>729</v>
      </c>
      <c r="J229" s="29" t="s">
        <v>729</v>
      </c>
      <c r="K229" s="28" t="str">
        <f t="shared" si="8"/>
        <v>2026-03</v>
      </c>
      <c r="L229" s="28" t="s">
        <v>27</v>
      </c>
      <c r="M229" s="29" t="s">
        <v>28</v>
      </c>
      <c r="N229" s="28" t="s">
        <v>39</v>
      </c>
      <c r="O229" s="28" t="s">
        <v>30</v>
      </c>
      <c r="P229" s="28" t="s">
        <v>247</v>
      </c>
      <c r="Q229" s="29" t="s">
        <v>579</v>
      </c>
    </row>
    <row r="230" s="23" customFormat="1" ht="45" customHeight="1" spans="1:17">
      <c r="A230" s="28">
        <f t="shared" si="9"/>
        <v>227</v>
      </c>
      <c r="B230" s="29" t="s">
        <v>745</v>
      </c>
      <c r="C230" s="29" t="s">
        <v>20</v>
      </c>
      <c r="D230" s="29" t="s">
        <v>746</v>
      </c>
      <c r="E230" s="29" t="s">
        <v>747</v>
      </c>
      <c r="F230" s="29" t="s">
        <v>741</v>
      </c>
      <c r="G230" s="28" t="s">
        <v>92</v>
      </c>
      <c r="H230" s="29" t="s">
        <v>748</v>
      </c>
      <c r="I230" s="34" t="s">
        <v>749</v>
      </c>
      <c r="J230" s="29" t="s">
        <v>749</v>
      </c>
      <c r="K230" s="28" t="str">
        <f t="shared" si="8"/>
        <v>2026-02</v>
      </c>
      <c r="L230" s="28" t="s">
        <v>27</v>
      </c>
      <c r="M230" s="29" t="s">
        <v>28</v>
      </c>
      <c r="N230" s="28" t="s">
        <v>39</v>
      </c>
      <c r="O230" s="28" t="s">
        <v>30</v>
      </c>
      <c r="P230" s="28" t="s">
        <v>364</v>
      </c>
      <c r="Q230" s="28"/>
    </row>
    <row r="231" s="23" customFormat="1" ht="45" customHeight="1" spans="1:17">
      <c r="A231" s="28">
        <f t="shared" si="9"/>
        <v>228</v>
      </c>
      <c r="B231" s="29" t="s">
        <v>750</v>
      </c>
      <c r="C231" s="29" t="s">
        <v>20</v>
      </c>
      <c r="D231" s="29" t="s">
        <v>751</v>
      </c>
      <c r="E231" s="29" t="s">
        <v>752</v>
      </c>
      <c r="F231" s="29" t="s">
        <v>753</v>
      </c>
      <c r="G231" s="28" t="s">
        <v>36</v>
      </c>
      <c r="H231" s="29" t="s">
        <v>754</v>
      </c>
      <c r="I231" s="34" t="s">
        <v>755</v>
      </c>
      <c r="J231" s="29" t="s">
        <v>755</v>
      </c>
      <c r="K231" s="28" t="str">
        <f t="shared" si="8"/>
        <v>2026-02</v>
      </c>
      <c r="L231" s="28" t="s">
        <v>27</v>
      </c>
      <c r="M231" s="29" t="s">
        <v>28</v>
      </c>
      <c r="N231" s="28" t="s">
        <v>39</v>
      </c>
      <c r="O231" s="28" t="s">
        <v>30</v>
      </c>
      <c r="P231" s="28" t="s">
        <v>247</v>
      </c>
      <c r="Q231" s="29" t="s">
        <v>756</v>
      </c>
    </row>
    <row r="232" s="23" customFormat="1" ht="45" customHeight="1" spans="1:17">
      <c r="A232" s="28">
        <f t="shared" si="9"/>
        <v>229</v>
      </c>
      <c r="B232" s="29" t="s">
        <v>757</v>
      </c>
      <c r="C232" s="29" t="s">
        <v>20</v>
      </c>
      <c r="D232" s="29" t="s">
        <v>758</v>
      </c>
      <c r="E232" s="29" t="s">
        <v>67</v>
      </c>
      <c r="F232" s="29" t="s">
        <v>759</v>
      </c>
      <c r="G232" s="28" t="s">
        <v>44</v>
      </c>
      <c r="H232" s="29" t="s">
        <v>760</v>
      </c>
      <c r="I232" s="34" t="s">
        <v>761</v>
      </c>
      <c r="J232" s="29" t="s">
        <v>761</v>
      </c>
      <c r="K232" s="28" t="str">
        <f t="shared" si="8"/>
        <v>2026-02</v>
      </c>
      <c r="L232" s="28" t="s">
        <v>27</v>
      </c>
      <c r="M232" s="29" t="s">
        <v>28</v>
      </c>
      <c r="N232" s="28" t="s">
        <v>29</v>
      </c>
      <c r="O232" s="28" t="s">
        <v>30</v>
      </c>
      <c r="P232" s="28" t="s">
        <v>578</v>
      </c>
      <c r="Q232" s="29" t="s">
        <v>401</v>
      </c>
    </row>
    <row r="233" s="23" customFormat="1" ht="45" customHeight="1" spans="1:17">
      <c r="A233" s="28">
        <f t="shared" si="9"/>
        <v>230</v>
      </c>
      <c r="B233" s="29" t="s">
        <v>762</v>
      </c>
      <c r="C233" s="29" t="s">
        <v>20</v>
      </c>
      <c r="D233" s="29" t="s">
        <v>763</v>
      </c>
      <c r="E233" s="29" t="s">
        <v>34</v>
      </c>
      <c r="F233" s="29" t="s">
        <v>764</v>
      </c>
      <c r="G233" s="28" t="s">
        <v>36</v>
      </c>
      <c r="H233" s="29" t="s">
        <v>37</v>
      </c>
      <c r="I233" s="34" t="s">
        <v>38</v>
      </c>
      <c r="J233" s="29" t="s">
        <v>38</v>
      </c>
      <c r="K233" s="28" t="str">
        <f t="shared" si="8"/>
        <v>2026-02</v>
      </c>
      <c r="L233" s="28" t="s">
        <v>27</v>
      </c>
      <c r="M233" s="29" t="s">
        <v>28</v>
      </c>
      <c r="N233" s="28" t="s">
        <v>39</v>
      </c>
      <c r="O233" s="28" t="s">
        <v>30</v>
      </c>
      <c r="P233" s="28" t="s">
        <v>535</v>
      </c>
      <c r="Q233" s="28"/>
    </row>
    <row r="234" s="23" customFormat="1" ht="45" customHeight="1" spans="1:17">
      <c r="A234" s="28">
        <f t="shared" si="9"/>
        <v>231</v>
      </c>
      <c r="B234" s="29" t="s">
        <v>765</v>
      </c>
      <c r="C234" s="29" t="s">
        <v>20</v>
      </c>
      <c r="D234" s="29" t="s">
        <v>460</v>
      </c>
      <c r="E234" s="29" t="s">
        <v>766</v>
      </c>
      <c r="F234" s="29" t="s">
        <v>767</v>
      </c>
      <c r="G234" s="28" t="s">
        <v>24</v>
      </c>
      <c r="H234" s="29" t="s">
        <v>83</v>
      </c>
      <c r="I234" s="34" t="s">
        <v>84</v>
      </c>
      <c r="J234" s="29" t="s">
        <v>84</v>
      </c>
      <c r="K234" s="28" t="str">
        <f t="shared" si="8"/>
        <v>2026-03</v>
      </c>
      <c r="L234" s="28" t="s">
        <v>27</v>
      </c>
      <c r="M234" s="29" t="s">
        <v>28</v>
      </c>
      <c r="N234" s="28" t="s">
        <v>39</v>
      </c>
      <c r="O234" s="28" t="s">
        <v>30</v>
      </c>
      <c r="P234" s="28" t="s">
        <v>143</v>
      </c>
      <c r="Q234" s="28"/>
    </row>
    <row r="235" s="23" customFormat="1" ht="45" customHeight="1" spans="1:17">
      <c r="A235" s="28">
        <f t="shared" si="9"/>
        <v>232</v>
      </c>
      <c r="B235" s="29" t="s">
        <v>768</v>
      </c>
      <c r="C235" s="29" t="s">
        <v>20</v>
      </c>
      <c r="D235" s="29" t="s">
        <v>460</v>
      </c>
      <c r="E235" s="29" t="s">
        <v>769</v>
      </c>
      <c r="F235" s="29" t="s">
        <v>770</v>
      </c>
      <c r="G235" s="28" t="s">
        <v>24</v>
      </c>
      <c r="H235" s="29" t="s">
        <v>83</v>
      </c>
      <c r="I235" s="34" t="s">
        <v>84</v>
      </c>
      <c r="J235" s="29" t="s">
        <v>84</v>
      </c>
      <c r="K235" s="28" t="str">
        <f t="shared" si="8"/>
        <v>2026-03</v>
      </c>
      <c r="L235" s="28" t="s">
        <v>27</v>
      </c>
      <c r="M235" s="29" t="s">
        <v>28</v>
      </c>
      <c r="N235" s="28" t="s">
        <v>39</v>
      </c>
      <c r="O235" s="28" t="s">
        <v>30</v>
      </c>
      <c r="P235" s="28" t="s">
        <v>143</v>
      </c>
      <c r="Q235" s="28"/>
    </row>
    <row r="236" s="23" customFormat="1" ht="45" customHeight="1" spans="1:17">
      <c r="A236" s="28">
        <f t="shared" si="9"/>
        <v>233</v>
      </c>
      <c r="B236" s="29" t="s">
        <v>771</v>
      </c>
      <c r="C236" s="29" t="s">
        <v>20</v>
      </c>
      <c r="D236" s="29" t="s">
        <v>460</v>
      </c>
      <c r="E236" s="29" t="s">
        <v>769</v>
      </c>
      <c r="F236" s="29" t="s">
        <v>772</v>
      </c>
      <c r="G236" s="28" t="s">
        <v>24</v>
      </c>
      <c r="H236" s="29" t="s">
        <v>83</v>
      </c>
      <c r="I236" s="34" t="s">
        <v>84</v>
      </c>
      <c r="J236" s="29" t="s">
        <v>84</v>
      </c>
      <c r="K236" s="28" t="str">
        <f t="shared" si="8"/>
        <v>2026-03</v>
      </c>
      <c r="L236" s="28" t="s">
        <v>27</v>
      </c>
      <c r="M236" s="29" t="s">
        <v>28</v>
      </c>
      <c r="N236" s="28" t="s">
        <v>39</v>
      </c>
      <c r="O236" s="28" t="s">
        <v>30</v>
      </c>
      <c r="P236" s="28" t="s">
        <v>143</v>
      </c>
      <c r="Q236" s="28"/>
    </row>
    <row r="237" s="23" customFormat="1" ht="45" customHeight="1" spans="1:17">
      <c r="A237" s="28">
        <f t="shared" si="9"/>
        <v>234</v>
      </c>
      <c r="B237" s="29" t="s">
        <v>773</v>
      </c>
      <c r="C237" s="29" t="s">
        <v>20</v>
      </c>
      <c r="D237" s="29" t="s">
        <v>774</v>
      </c>
      <c r="E237" s="29" t="s">
        <v>775</v>
      </c>
      <c r="F237" s="29" t="s">
        <v>776</v>
      </c>
      <c r="G237" s="28" t="s">
        <v>315</v>
      </c>
      <c r="H237" s="29" t="s">
        <v>324</v>
      </c>
      <c r="I237" s="34" t="s">
        <v>325</v>
      </c>
      <c r="J237" s="29" t="s">
        <v>325</v>
      </c>
      <c r="K237" s="28" t="str">
        <f t="shared" si="8"/>
        <v>2026-03</v>
      </c>
      <c r="L237" s="28" t="s">
        <v>27</v>
      </c>
      <c r="M237" s="29" t="s">
        <v>28</v>
      </c>
      <c r="N237" s="28" t="s">
        <v>39</v>
      </c>
      <c r="O237" s="28" t="s">
        <v>30</v>
      </c>
      <c r="P237" s="28" t="s">
        <v>166</v>
      </c>
      <c r="Q237" s="28"/>
    </row>
    <row r="238" s="23" customFormat="1" ht="45" customHeight="1" spans="1:17">
      <c r="A238" s="28">
        <f t="shared" si="9"/>
        <v>235</v>
      </c>
      <c r="B238" s="29" t="s">
        <v>777</v>
      </c>
      <c r="C238" s="29" t="s">
        <v>20</v>
      </c>
      <c r="D238" s="29" t="s">
        <v>778</v>
      </c>
      <c r="E238" s="29" t="s">
        <v>779</v>
      </c>
      <c r="F238" s="29" t="s">
        <v>780</v>
      </c>
      <c r="G238" s="28" t="s">
        <v>315</v>
      </c>
      <c r="H238" s="29" t="s">
        <v>324</v>
      </c>
      <c r="I238" s="34" t="s">
        <v>325</v>
      </c>
      <c r="J238" s="29" t="s">
        <v>325</v>
      </c>
      <c r="K238" s="28" t="str">
        <f t="shared" si="8"/>
        <v>2026-03</v>
      </c>
      <c r="L238" s="28" t="s">
        <v>27</v>
      </c>
      <c r="M238" s="29" t="s">
        <v>28</v>
      </c>
      <c r="N238" s="28" t="s">
        <v>39</v>
      </c>
      <c r="O238" s="28" t="s">
        <v>30</v>
      </c>
      <c r="P238" s="28" t="s">
        <v>166</v>
      </c>
      <c r="Q238" s="28"/>
    </row>
    <row r="239" s="23" customFormat="1" ht="45" customHeight="1" spans="1:17">
      <c r="A239" s="28">
        <f t="shared" si="9"/>
        <v>236</v>
      </c>
      <c r="B239" s="29" t="s">
        <v>781</v>
      </c>
      <c r="C239" s="29" t="s">
        <v>20</v>
      </c>
      <c r="D239" s="29" t="s">
        <v>782</v>
      </c>
      <c r="E239" s="29" t="s">
        <v>783</v>
      </c>
      <c r="F239" s="29" t="s">
        <v>741</v>
      </c>
      <c r="G239" s="28" t="s">
        <v>92</v>
      </c>
      <c r="H239" s="29" t="s">
        <v>324</v>
      </c>
      <c r="I239" s="34" t="s">
        <v>325</v>
      </c>
      <c r="J239" s="29" t="s">
        <v>325</v>
      </c>
      <c r="K239" s="28" t="str">
        <f t="shared" si="8"/>
        <v>2026-03</v>
      </c>
      <c r="L239" s="28" t="s">
        <v>27</v>
      </c>
      <c r="M239" s="29" t="s">
        <v>28</v>
      </c>
      <c r="N239" s="28" t="s">
        <v>39</v>
      </c>
      <c r="O239" s="28" t="s">
        <v>30</v>
      </c>
      <c r="P239" s="28" t="s">
        <v>166</v>
      </c>
      <c r="Q239" s="28"/>
    </row>
    <row r="240" s="23" customFormat="1" ht="45" customHeight="1" spans="1:17">
      <c r="A240" s="28">
        <f t="shared" si="9"/>
        <v>237</v>
      </c>
      <c r="B240" s="29" t="s">
        <v>784</v>
      </c>
      <c r="C240" s="29" t="s">
        <v>20</v>
      </c>
      <c r="D240" s="29" t="s">
        <v>782</v>
      </c>
      <c r="E240" s="29" t="s">
        <v>785</v>
      </c>
      <c r="F240" s="29" t="s">
        <v>741</v>
      </c>
      <c r="G240" s="28" t="s">
        <v>92</v>
      </c>
      <c r="H240" s="29" t="s">
        <v>324</v>
      </c>
      <c r="I240" s="34" t="s">
        <v>325</v>
      </c>
      <c r="J240" s="29" t="s">
        <v>325</v>
      </c>
      <c r="K240" s="28" t="str">
        <f t="shared" si="8"/>
        <v>2026-03</v>
      </c>
      <c r="L240" s="28" t="s">
        <v>27</v>
      </c>
      <c r="M240" s="29" t="s">
        <v>28</v>
      </c>
      <c r="N240" s="28" t="s">
        <v>39</v>
      </c>
      <c r="O240" s="28" t="s">
        <v>30</v>
      </c>
      <c r="P240" s="28" t="s">
        <v>166</v>
      </c>
      <c r="Q240" s="28"/>
    </row>
    <row r="241" s="23" customFormat="1" ht="45" customHeight="1" spans="1:17">
      <c r="A241" s="28">
        <f t="shared" si="9"/>
        <v>238</v>
      </c>
      <c r="B241" s="29" t="s">
        <v>786</v>
      </c>
      <c r="C241" s="29" t="s">
        <v>20</v>
      </c>
      <c r="D241" s="29" t="s">
        <v>295</v>
      </c>
      <c r="E241" s="29" t="s">
        <v>787</v>
      </c>
      <c r="F241" s="29" t="s">
        <v>788</v>
      </c>
      <c r="G241" s="28" t="s">
        <v>77</v>
      </c>
      <c r="H241" s="29" t="s">
        <v>789</v>
      </c>
      <c r="I241" s="34" t="s">
        <v>790</v>
      </c>
      <c r="J241" s="29" t="s">
        <v>790</v>
      </c>
      <c r="K241" s="28" t="str">
        <f t="shared" si="8"/>
        <v>2026-03</v>
      </c>
      <c r="L241" s="28" t="s">
        <v>27</v>
      </c>
      <c r="M241" s="29" t="s">
        <v>28</v>
      </c>
      <c r="N241" s="28" t="s">
        <v>29</v>
      </c>
      <c r="O241" s="28" t="s">
        <v>30</v>
      </c>
      <c r="P241" s="28" t="s">
        <v>247</v>
      </c>
      <c r="Q241" s="29" t="s">
        <v>791</v>
      </c>
    </row>
    <row r="242" s="23" customFormat="1" ht="45" customHeight="1" spans="1:17">
      <c r="A242" s="28">
        <f t="shared" si="9"/>
        <v>239</v>
      </c>
      <c r="B242" s="29" t="s">
        <v>792</v>
      </c>
      <c r="C242" s="29" t="s">
        <v>20</v>
      </c>
      <c r="D242" s="29" t="s">
        <v>793</v>
      </c>
      <c r="E242" s="29" t="s">
        <v>116</v>
      </c>
      <c r="F242" s="29" t="s">
        <v>794</v>
      </c>
      <c r="G242" s="28" t="s">
        <v>36</v>
      </c>
      <c r="H242" s="29" t="s">
        <v>795</v>
      </c>
      <c r="I242" s="34" t="s">
        <v>796</v>
      </c>
      <c r="J242" s="29" t="s">
        <v>796</v>
      </c>
      <c r="K242" s="28" t="str">
        <f t="shared" si="8"/>
        <v>2026-03</v>
      </c>
      <c r="L242" s="28" t="s">
        <v>27</v>
      </c>
      <c r="M242" s="29" t="s">
        <v>28</v>
      </c>
      <c r="N242" s="28" t="s">
        <v>39</v>
      </c>
      <c r="O242" s="28" t="s">
        <v>30</v>
      </c>
      <c r="P242" s="28" t="s">
        <v>166</v>
      </c>
      <c r="Q242" s="28"/>
    </row>
    <row r="243" s="23" customFormat="1" ht="45" customHeight="1" spans="1:17">
      <c r="A243" s="28">
        <f t="shared" si="9"/>
        <v>240</v>
      </c>
      <c r="B243" s="29" t="s">
        <v>797</v>
      </c>
      <c r="C243" s="29" t="s">
        <v>20</v>
      </c>
      <c r="D243" s="29" t="s">
        <v>793</v>
      </c>
      <c r="E243" s="29" t="s">
        <v>34</v>
      </c>
      <c r="F243" s="29" t="s">
        <v>798</v>
      </c>
      <c r="G243" s="28" t="s">
        <v>36</v>
      </c>
      <c r="H243" s="29" t="s">
        <v>795</v>
      </c>
      <c r="I243" s="34" t="s">
        <v>796</v>
      </c>
      <c r="J243" s="29" t="s">
        <v>796</v>
      </c>
      <c r="K243" s="28" t="str">
        <f t="shared" ref="K243:K277" si="10">LEFT(J243,7)</f>
        <v>2026-03</v>
      </c>
      <c r="L243" s="28" t="s">
        <v>27</v>
      </c>
      <c r="M243" s="29" t="s">
        <v>28</v>
      </c>
      <c r="N243" s="28" t="s">
        <v>39</v>
      </c>
      <c r="O243" s="28" t="s">
        <v>30</v>
      </c>
      <c r="P243" s="28" t="s">
        <v>166</v>
      </c>
      <c r="Q243" s="28"/>
    </row>
    <row r="244" s="23" customFormat="1" ht="45" customHeight="1" spans="1:17">
      <c r="A244" s="28">
        <f t="shared" si="9"/>
        <v>241</v>
      </c>
      <c r="B244" s="29" t="s">
        <v>799</v>
      </c>
      <c r="C244" s="29" t="s">
        <v>20</v>
      </c>
      <c r="D244" s="29" t="s">
        <v>800</v>
      </c>
      <c r="E244" s="29" t="s">
        <v>34</v>
      </c>
      <c r="F244" s="29" t="s">
        <v>801</v>
      </c>
      <c r="G244" s="28" t="s">
        <v>36</v>
      </c>
      <c r="H244" s="29" t="s">
        <v>795</v>
      </c>
      <c r="I244" s="34" t="s">
        <v>796</v>
      </c>
      <c r="J244" s="29" t="s">
        <v>796</v>
      </c>
      <c r="K244" s="28" t="str">
        <f t="shared" si="10"/>
        <v>2026-03</v>
      </c>
      <c r="L244" s="28" t="s">
        <v>27</v>
      </c>
      <c r="M244" s="29" t="s">
        <v>28</v>
      </c>
      <c r="N244" s="28" t="s">
        <v>39</v>
      </c>
      <c r="O244" s="28" t="s">
        <v>30</v>
      </c>
      <c r="P244" s="28" t="s">
        <v>166</v>
      </c>
      <c r="Q244" s="28"/>
    </row>
    <row r="245" s="23" customFormat="1" ht="45" customHeight="1" spans="1:17">
      <c r="A245" s="28">
        <f t="shared" si="9"/>
        <v>242</v>
      </c>
      <c r="B245" s="29" t="s">
        <v>802</v>
      </c>
      <c r="C245" s="29" t="s">
        <v>20</v>
      </c>
      <c r="D245" s="29" t="s">
        <v>615</v>
      </c>
      <c r="E245" s="29" t="s">
        <v>538</v>
      </c>
      <c r="F245" s="29" t="s">
        <v>803</v>
      </c>
      <c r="G245" s="28" t="s">
        <v>24</v>
      </c>
      <c r="H245" s="29" t="s">
        <v>734</v>
      </c>
      <c r="I245" s="34" t="s">
        <v>735</v>
      </c>
      <c r="J245" s="29" t="s">
        <v>735</v>
      </c>
      <c r="K245" s="28" t="str">
        <f t="shared" si="10"/>
        <v>2026-03</v>
      </c>
      <c r="L245" s="28" t="s">
        <v>27</v>
      </c>
      <c r="M245" s="29" t="s">
        <v>28</v>
      </c>
      <c r="N245" s="28" t="s">
        <v>39</v>
      </c>
      <c r="O245" s="28" t="s">
        <v>30</v>
      </c>
      <c r="P245" s="28" t="s">
        <v>166</v>
      </c>
      <c r="Q245" s="28"/>
    </row>
    <row r="246" s="23" customFormat="1" ht="45" customHeight="1" spans="1:17">
      <c r="A246" s="28">
        <f t="shared" si="9"/>
        <v>243</v>
      </c>
      <c r="B246" s="29" t="s">
        <v>804</v>
      </c>
      <c r="C246" s="29" t="s">
        <v>20</v>
      </c>
      <c r="D246" s="29" t="s">
        <v>805</v>
      </c>
      <c r="E246" s="29" t="s">
        <v>806</v>
      </c>
      <c r="F246" s="29" t="s">
        <v>807</v>
      </c>
      <c r="G246" s="28" t="s">
        <v>36</v>
      </c>
      <c r="H246" s="29" t="s">
        <v>636</v>
      </c>
      <c r="I246" s="34" t="s">
        <v>808</v>
      </c>
      <c r="J246" s="29" t="s">
        <v>808</v>
      </c>
      <c r="K246" s="28" t="str">
        <f t="shared" si="10"/>
        <v>2028-02</v>
      </c>
      <c r="L246" s="28" t="s">
        <v>27</v>
      </c>
      <c r="M246" s="29" t="s">
        <v>809</v>
      </c>
      <c r="N246" s="28" t="s">
        <v>29</v>
      </c>
      <c r="O246" s="28" t="s">
        <v>30</v>
      </c>
      <c r="P246" s="28" t="s">
        <v>143</v>
      </c>
      <c r="Q246" s="29" t="s">
        <v>810</v>
      </c>
    </row>
    <row r="247" s="23" customFormat="1" ht="45" customHeight="1" spans="1:17">
      <c r="A247" s="28">
        <f t="shared" si="9"/>
        <v>244</v>
      </c>
      <c r="B247" s="29" t="s">
        <v>811</v>
      </c>
      <c r="C247" s="29" t="s">
        <v>20</v>
      </c>
      <c r="D247" s="29" t="s">
        <v>812</v>
      </c>
      <c r="E247" s="29" t="s">
        <v>813</v>
      </c>
      <c r="F247" s="29" t="s">
        <v>814</v>
      </c>
      <c r="G247" s="28" t="s">
        <v>36</v>
      </c>
      <c r="H247" s="29" t="s">
        <v>815</v>
      </c>
      <c r="I247" s="34" t="s">
        <v>816</v>
      </c>
      <c r="J247" s="29" t="s">
        <v>816</v>
      </c>
      <c r="K247" s="28" t="str">
        <f t="shared" si="10"/>
        <v>2027-04</v>
      </c>
      <c r="L247" s="28" t="s">
        <v>27</v>
      </c>
      <c r="M247" s="29" t="s">
        <v>809</v>
      </c>
      <c r="N247" s="28" t="s">
        <v>29</v>
      </c>
      <c r="O247" s="28" t="s">
        <v>30</v>
      </c>
      <c r="P247" s="28" t="s">
        <v>143</v>
      </c>
      <c r="Q247" s="28"/>
    </row>
    <row r="248" s="23" customFormat="1" ht="45" customHeight="1" spans="1:17">
      <c r="A248" s="28">
        <f t="shared" si="9"/>
        <v>245</v>
      </c>
      <c r="B248" s="29" t="s">
        <v>817</v>
      </c>
      <c r="C248" s="29" t="s">
        <v>20</v>
      </c>
      <c r="D248" s="29" t="s">
        <v>812</v>
      </c>
      <c r="E248" s="29" t="s">
        <v>813</v>
      </c>
      <c r="F248" s="29" t="s">
        <v>818</v>
      </c>
      <c r="G248" s="28" t="s">
        <v>36</v>
      </c>
      <c r="H248" s="29" t="s">
        <v>819</v>
      </c>
      <c r="I248" s="34" t="s">
        <v>820</v>
      </c>
      <c r="J248" s="29" t="s">
        <v>820</v>
      </c>
      <c r="K248" s="28" t="str">
        <f t="shared" si="10"/>
        <v>2027-03</v>
      </c>
      <c r="L248" s="28" t="s">
        <v>27</v>
      </c>
      <c r="M248" s="29" t="s">
        <v>809</v>
      </c>
      <c r="N248" s="28" t="s">
        <v>29</v>
      </c>
      <c r="O248" s="28" t="s">
        <v>30</v>
      </c>
      <c r="P248" s="28" t="s">
        <v>143</v>
      </c>
      <c r="Q248" s="28"/>
    </row>
    <row r="249" s="23" customFormat="1" ht="45" customHeight="1" spans="1:17">
      <c r="A249" s="28">
        <f t="shared" si="9"/>
        <v>246</v>
      </c>
      <c r="B249" s="29" t="s">
        <v>817</v>
      </c>
      <c r="C249" s="29" t="s">
        <v>20</v>
      </c>
      <c r="D249" s="29" t="s">
        <v>812</v>
      </c>
      <c r="E249" s="29" t="s">
        <v>813</v>
      </c>
      <c r="F249" s="29" t="s">
        <v>807</v>
      </c>
      <c r="G249" s="28" t="s">
        <v>36</v>
      </c>
      <c r="H249" s="29" t="s">
        <v>819</v>
      </c>
      <c r="I249" s="34" t="s">
        <v>820</v>
      </c>
      <c r="J249" s="29" t="s">
        <v>820</v>
      </c>
      <c r="K249" s="28" t="str">
        <f t="shared" si="10"/>
        <v>2027-03</v>
      </c>
      <c r="L249" s="28" t="s">
        <v>27</v>
      </c>
      <c r="M249" s="29" t="s">
        <v>809</v>
      </c>
      <c r="N249" s="28" t="s">
        <v>29</v>
      </c>
      <c r="O249" s="28" t="s">
        <v>30</v>
      </c>
      <c r="P249" s="28" t="s">
        <v>143</v>
      </c>
      <c r="Q249" s="28"/>
    </row>
    <row r="250" s="23" customFormat="1" ht="45" customHeight="1" spans="1:17">
      <c r="A250" s="28">
        <f t="shared" si="9"/>
        <v>247</v>
      </c>
      <c r="B250" s="29" t="s">
        <v>821</v>
      </c>
      <c r="C250" s="29" t="s">
        <v>20</v>
      </c>
      <c r="D250" s="29" t="s">
        <v>812</v>
      </c>
      <c r="E250" s="29" t="s">
        <v>813</v>
      </c>
      <c r="F250" s="29" t="s">
        <v>814</v>
      </c>
      <c r="G250" s="28" t="s">
        <v>36</v>
      </c>
      <c r="H250" s="29" t="s">
        <v>822</v>
      </c>
      <c r="I250" s="34" t="s">
        <v>823</v>
      </c>
      <c r="J250" s="29" t="s">
        <v>823</v>
      </c>
      <c r="K250" s="28" t="str">
        <f t="shared" si="10"/>
        <v>2026-11</v>
      </c>
      <c r="L250" s="28" t="s">
        <v>27</v>
      </c>
      <c r="M250" s="29" t="s">
        <v>809</v>
      </c>
      <c r="N250" s="28" t="s">
        <v>29</v>
      </c>
      <c r="O250" s="28" t="s">
        <v>30</v>
      </c>
      <c r="P250" s="28" t="s">
        <v>143</v>
      </c>
      <c r="Q250" s="28"/>
    </row>
    <row r="251" s="23" customFormat="1" ht="45" customHeight="1" spans="1:17">
      <c r="A251" s="28">
        <f t="shared" si="9"/>
        <v>248</v>
      </c>
      <c r="B251" s="29" t="s">
        <v>824</v>
      </c>
      <c r="C251" s="29" t="s">
        <v>20</v>
      </c>
      <c r="D251" s="29" t="s">
        <v>812</v>
      </c>
      <c r="E251" s="29" t="s">
        <v>825</v>
      </c>
      <c r="F251" s="29" t="s">
        <v>826</v>
      </c>
      <c r="G251" s="28" t="s">
        <v>36</v>
      </c>
      <c r="H251" s="29" t="s">
        <v>827</v>
      </c>
      <c r="I251" s="34" t="s">
        <v>828</v>
      </c>
      <c r="J251" s="29" t="s">
        <v>828</v>
      </c>
      <c r="K251" s="28" t="str">
        <f t="shared" si="10"/>
        <v>2026-10</v>
      </c>
      <c r="L251" s="28" t="s">
        <v>27</v>
      </c>
      <c r="M251" s="29" t="s">
        <v>809</v>
      </c>
      <c r="N251" s="28" t="s">
        <v>29</v>
      </c>
      <c r="O251" s="28" t="s">
        <v>30</v>
      </c>
      <c r="P251" s="28" t="s">
        <v>143</v>
      </c>
      <c r="Q251" s="28"/>
    </row>
    <row r="252" s="23" customFormat="1" ht="45" customHeight="1" spans="1:17">
      <c r="A252" s="28">
        <f t="shared" si="9"/>
        <v>249</v>
      </c>
      <c r="B252" s="29" t="s">
        <v>829</v>
      </c>
      <c r="C252" s="29" t="s">
        <v>20</v>
      </c>
      <c r="D252" s="29" t="s">
        <v>812</v>
      </c>
      <c r="E252" s="29" t="s">
        <v>813</v>
      </c>
      <c r="F252" s="29" t="s">
        <v>830</v>
      </c>
      <c r="G252" s="28" t="s">
        <v>36</v>
      </c>
      <c r="H252" s="29" t="s">
        <v>827</v>
      </c>
      <c r="I252" s="34" t="s">
        <v>828</v>
      </c>
      <c r="J252" s="29" t="s">
        <v>828</v>
      </c>
      <c r="K252" s="28" t="str">
        <f t="shared" si="10"/>
        <v>2026-10</v>
      </c>
      <c r="L252" s="28" t="s">
        <v>27</v>
      </c>
      <c r="M252" s="29" t="s">
        <v>809</v>
      </c>
      <c r="N252" s="28" t="s">
        <v>29</v>
      </c>
      <c r="O252" s="28" t="s">
        <v>30</v>
      </c>
      <c r="P252" s="28" t="s">
        <v>143</v>
      </c>
      <c r="Q252" s="28"/>
    </row>
    <row r="253" s="23" customFormat="1" ht="45" customHeight="1" spans="1:17">
      <c r="A253" s="28">
        <f t="shared" si="9"/>
        <v>250</v>
      </c>
      <c r="B253" s="29" t="s">
        <v>831</v>
      </c>
      <c r="C253" s="29" t="s">
        <v>20</v>
      </c>
      <c r="D253" s="29" t="s">
        <v>832</v>
      </c>
      <c r="E253" s="29" t="s">
        <v>833</v>
      </c>
      <c r="F253" s="29" t="s">
        <v>834</v>
      </c>
      <c r="G253" s="28" t="s">
        <v>36</v>
      </c>
      <c r="H253" s="29" t="s">
        <v>822</v>
      </c>
      <c r="I253" s="34" t="s">
        <v>823</v>
      </c>
      <c r="J253" s="29" t="s">
        <v>823</v>
      </c>
      <c r="K253" s="28" t="str">
        <f t="shared" si="10"/>
        <v>2026-11</v>
      </c>
      <c r="L253" s="28" t="s">
        <v>27</v>
      </c>
      <c r="M253" s="29" t="s">
        <v>809</v>
      </c>
      <c r="N253" s="28" t="s">
        <v>29</v>
      </c>
      <c r="O253" s="28" t="s">
        <v>30</v>
      </c>
      <c r="P253" s="28" t="s">
        <v>143</v>
      </c>
      <c r="Q253" s="28"/>
    </row>
    <row r="254" s="23" customFormat="1" ht="45" customHeight="1" spans="1:17">
      <c r="A254" s="28">
        <f t="shared" si="9"/>
        <v>251</v>
      </c>
      <c r="B254" s="29" t="s">
        <v>821</v>
      </c>
      <c r="C254" s="29" t="s">
        <v>20</v>
      </c>
      <c r="D254" s="29" t="s">
        <v>812</v>
      </c>
      <c r="E254" s="29" t="s">
        <v>813</v>
      </c>
      <c r="F254" s="29" t="s">
        <v>814</v>
      </c>
      <c r="G254" s="28" t="s">
        <v>36</v>
      </c>
      <c r="H254" s="29" t="s">
        <v>822</v>
      </c>
      <c r="I254" s="34" t="s">
        <v>823</v>
      </c>
      <c r="J254" s="29" t="s">
        <v>823</v>
      </c>
      <c r="K254" s="28" t="str">
        <f t="shared" si="10"/>
        <v>2026-11</v>
      </c>
      <c r="L254" s="28" t="s">
        <v>27</v>
      </c>
      <c r="M254" s="29" t="s">
        <v>809</v>
      </c>
      <c r="N254" s="28" t="s">
        <v>29</v>
      </c>
      <c r="O254" s="28" t="s">
        <v>30</v>
      </c>
      <c r="P254" s="28" t="s">
        <v>143</v>
      </c>
      <c r="Q254" s="28"/>
    </row>
    <row r="255" s="23" customFormat="1" ht="45" customHeight="1" spans="1:17">
      <c r="A255" s="28">
        <f t="shared" si="9"/>
        <v>252</v>
      </c>
      <c r="B255" s="29" t="s">
        <v>835</v>
      </c>
      <c r="C255" s="29" t="s">
        <v>20</v>
      </c>
      <c r="D255" s="29" t="s">
        <v>836</v>
      </c>
      <c r="E255" s="29" t="s">
        <v>837</v>
      </c>
      <c r="F255" s="29" t="s">
        <v>838</v>
      </c>
      <c r="G255" s="28" t="s">
        <v>36</v>
      </c>
      <c r="H255" s="29" t="s">
        <v>839</v>
      </c>
      <c r="I255" s="34" t="s">
        <v>840</v>
      </c>
      <c r="J255" s="29" t="s">
        <v>840</v>
      </c>
      <c r="K255" s="28" t="str">
        <f t="shared" si="10"/>
        <v>2025-10</v>
      </c>
      <c r="L255" s="28" t="s">
        <v>27</v>
      </c>
      <c r="M255" s="29" t="s">
        <v>841</v>
      </c>
      <c r="N255" s="28" t="s">
        <v>29</v>
      </c>
      <c r="O255" s="28" t="s">
        <v>30</v>
      </c>
      <c r="P255" s="28" t="s">
        <v>143</v>
      </c>
      <c r="Q255" s="28"/>
    </row>
    <row r="256" s="23" customFormat="1" ht="45" customHeight="1" spans="1:17">
      <c r="A256" s="28">
        <f t="shared" si="9"/>
        <v>253</v>
      </c>
      <c r="B256" s="29" t="s">
        <v>842</v>
      </c>
      <c r="C256" s="29" t="s">
        <v>20</v>
      </c>
      <c r="D256" s="29" t="s">
        <v>812</v>
      </c>
      <c r="E256" s="29" t="s">
        <v>843</v>
      </c>
      <c r="F256" s="29" t="s">
        <v>844</v>
      </c>
      <c r="G256" s="28" t="s">
        <v>36</v>
      </c>
      <c r="H256" s="29" t="s">
        <v>827</v>
      </c>
      <c r="I256" s="34" t="s">
        <v>828</v>
      </c>
      <c r="J256" s="29" t="s">
        <v>828</v>
      </c>
      <c r="K256" s="28" t="str">
        <f t="shared" si="10"/>
        <v>2026-10</v>
      </c>
      <c r="L256" s="28" t="s">
        <v>27</v>
      </c>
      <c r="M256" s="29" t="s">
        <v>809</v>
      </c>
      <c r="N256" s="28" t="s">
        <v>29</v>
      </c>
      <c r="O256" s="28" t="s">
        <v>30</v>
      </c>
      <c r="P256" s="28" t="s">
        <v>143</v>
      </c>
      <c r="Q256" s="28"/>
    </row>
    <row r="257" s="23" customFormat="1" ht="45" customHeight="1" spans="1:17">
      <c r="A257" s="28">
        <f t="shared" si="9"/>
        <v>254</v>
      </c>
      <c r="B257" s="29" t="s">
        <v>845</v>
      </c>
      <c r="C257" s="29" t="s">
        <v>20</v>
      </c>
      <c r="D257" s="29" t="s">
        <v>812</v>
      </c>
      <c r="E257" s="29" t="s">
        <v>843</v>
      </c>
      <c r="F257" s="29" t="s">
        <v>846</v>
      </c>
      <c r="G257" s="28" t="s">
        <v>36</v>
      </c>
      <c r="H257" s="29" t="s">
        <v>827</v>
      </c>
      <c r="I257" s="34" t="s">
        <v>828</v>
      </c>
      <c r="J257" s="29" t="s">
        <v>828</v>
      </c>
      <c r="K257" s="28" t="str">
        <f t="shared" si="10"/>
        <v>2026-10</v>
      </c>
      <c r="L257" s="28" t="s">
        <v>27</v>
      </c>
      <c r="M257" s="29" t="s">
        <v>809</v>
      </c>
      <c r="N257" s="28" t="s">
        <v>29</v>
      </c>
      <c r="O257" s="28" t="s">
        <v>30</v>
      </c>
      <c r="P257" s="28" t="s">
        <v>143</v>
      </c>
      <c r="Q257" s="28"/>
    </row>
    <row r="258" s="23" customFormat="1" ht="45" customHeight="1" spans="1:17">
      <c r="A258" s="28">
        <f t="shared" si="9"/>
        <v>255</v>
      </c>
      <c r="B258" s="29" t="s">
        <v>847</v>
      </c>
      <c r="C258" s="29" t="s">
        <v>20</v>
      </c>
      <c r="D258" s="29" t="s">
        <v>848</v>
      </c>
      <c r="E258" s="29" t="s">
        <v>849</v>
      </c>
      <c r="F258" s="29" t="s">
        <v>850</v>
      </c>
      <c r="G258" s="28" t="s">
        <v>36</v>
      </c>
      <c r="H258" s="29" t="s">
        <v>839</v>
      </c>
      <c r="I258" s="34" t="s">
        <v>840</v>
      </c>
      <c r="J258" s="29" t="s">
        <v>840</v>
      </c>
      <c r="K258" s="28" t="str">
        <f t="shared" si="10"/>
        <v>2025-10</v>
      </c>
      <c r="L258" s="28" t="s">
        <v>27</v>
      </c>
      <c r="M258" s="29" t="s">
        <v>841</v>
      </c>
      <c r="N258" s="28" t="s">
        <v>29</v>
      </c>
      <c r="O258" s="28" t="s">
        <v>30</v>
      </c>
      <c r="P258" s="28" t="s">
        <v>143</v>
      </c>
      <c r="Q258" s="28"/>
    </row>
    <row r="259" s="23" customFormat="1" ht="45" customHeight="1" spans="1:17">
      <c r="A259" s="28">
        <f t="shared" si="9"/>
        <v>256</v>
      </c>
      <c r="B259" s="29" t="s">
        <v>851</v>
      </c>
      <c r="C259" s="29" t="s">
        <v>20</v>
      </c>
      <c r="D259" s="29" t="s">
        <v>48</v>
      </c>
      <c r="E259" s="29" t="s">
        <v>852</v>
      </c>
      <c r="F259" s="29" t="s">
        <v>853</v>
      </c>
      <c r="G259" s="28" t="s">
        <v>36</v>
      </c>
      <c r="H259" s="30">
        <v>45771</v>
      </c>
      <c r="I259" s="34">
        <v>46135</v>
      </c>
      <c r="J259" s="34">
        <f>I259</f>
        <v>46135</v>
      </c>
      <c r="K259" s="28" t="str">
        <f t="shared" si="10"/>
        <v>46135</v>
      </c>
      <c r="L259" s="28" t="s">
        <v>27</v>
      </c>
      <c r="M259" s="29" t="s">
        <v>28</v>
      </c>
      <c r="N259" s="28" t="s">
        <v>39</v>
      </c>
      <c r="O259" s="28" t="s">
        <v>51</v>
      </c>
      <c r="P259" s="28" t="s">
        <v>718</v>
      </c>
      <c r="Q259" s="28"/>
    </row>
    <row r="260" s="23" customFormat="1" ht="45" customHeight="1" spans="1:17">
      <c r="A260" s="28">
        <f t="shared" si="9"/>
        <v>257</v>
      </c>
      <c r="B260" s="29" t="s">
        <v>854</v>
      </c>
      <c r="C260" s="29" t="s">
        <v>20</v>
      </c>
      <c r="D260" s="29" t="s">
        <v>163</v>
      </c>
      <c r="E260" s="29" t="s">
        <v>168</v>
      </c>
      <c r="F260" s="29" t="s">
        <v>855</v>
      </c>
      <c r="G260" s="28" t="s">
        <v>36</v>
      </c>
      <c r="H260" s="30">
        <v>45771</v>
      </c>
      <c r="I260" s="34">
        <v>46135</v>
      </c>
      <c r="J260" s="34">
        <f>I260</f>
        <v>46135</v>
      </c>
      <c r="K260" s="28" t="str">
        <f t="shared" si="10"/>
        <v>46135</v>
      </c>
      <c r="L260" s="28" t="s">
        <v>27</v>
      </c>
      <c r="M260" s="29" t="s">
        <v>28</v>
      </c>
      <c r="N260" s="28" t="s">
        <v>39</v>
      </c>
      <c r="O260" s="28" t="s">
        <v>51</v>
      </c>
      <c r="P260" s="28" t="s">
        <v>143</v>
      </c>
      <c r="Q260" s="28"/>
    </row>
    <row r="261" s="23" customFormat="1" ht="45" customHeight="1" spans="1:17">
      <c r="A261" s="28">
        <f t="shared" ref="A261:A307" si="11">ROW()-3</f>
        <v>258</v>
      </c>
      <c r="B261" s="29" t="s">
        <v>856</v>
      </c>
      <c r="C261" s="29" t="s">
        <v>20</v>
      </c>
      <c r="D261" s="29" t="s">
        <v>857</v>
      </c>
      <c r="E261" s="29" t="s">
        <v>858</v>
      </c>
      <c r="F261" s="29" t="s">
        <v>859</v>
      </c>
      <c r="G261" s="28" t="s">
        <v>92</v>
      </c>
      <c r="H261" s="29" t="s">
        <v>482</v>
      </c>
      <c r="I261" s="34" t="s">
        <v>483</v>
      </c>
      <c r="J261" s="29" t="s">
        <v>483</v>
      </c>
      <c r="K261" s="28" t="str">
        <f t="shared" si="10"/>
        <v>2025-10</v>
      </c>
      <c r="L261" s="28" t="s">
        <v>27</v>
      </c>
      <c r="M261" s="29" t="s">
        <v>28</v>
      </c>
      <c r="N261" s="28" t="s">
        <v>29</v>
      </c>
      <c r="O261" s="28" t="s">
        <v>51</v>
      </c>
      <c r="P261" s="28" t="s">
        <v>364</v>
      </c>
      <c r="Q261" s="28"/>
    </row>
    <row r="262" s="23" customFormat="1" ht="45" customHeight="1" spans="1:17">
      <c r="A262" s="28">
        <f t="shared" si="11"/>
        <v>259</v>
      </c>
      <c r="B262" s="29" t="s">
        <v>860</v>
      </c>
      <c r="C262" s="29" t="s">
        <v>20</v>
      </c>
      <c r="D262" s="29" t="s">
        <v>857</v>
      </c>
      <c r="E262" s="29" t="s">
        <v>858</v>
      </c>
      <c r="F262" s="29" t="s">
        <v>861</v>
      </c>
      <c r="G262" s="28" t="s">
        <v>92</v>
      </c>
      <c r="H262" s="29" t="s">
        <v>482</v>
      </c>
      <c r="I262" s="34" t="s">
        <v>483</v>
      </c>
      <c r="J262" s="29" t="s">
        <v>483</v>
      </c>
      <c r="K262" s="28" t="str">
        <f t="shared" si="10"/>
        <v>2025-10</v>
      </c>
      <c r="L262" s="28" t="s">
        <v>27</v>
      </c>
      <c r="M262" s="29" t="s">
        <v>28</v>
      </c>
      <c r="N262" s="28" t="s">
        <v>29</v>
      </c>
      <c r="O262" s="28" t="s">
        <v>51</v>
      </c>
      <c r="P262" s="28" t="s">
        <v>364</v>
      </c>
      <c r="Q262" s="28"/>
    </row>
    <row r="263" s="23" customFormat="1" ht="45" customHeight="1" spans="1:17">
      <c r="A263" s="28">
        <f t="shared" si="11"/>
        <v>260</v>
      </c>
      <c r="B263" s="29" t="s">
        <v>862</v>
      </c>
      <c r="C263" s="29" t="s">
        <v>20</v>
      </c>
      <c r="D263" s="29" t="s">
        <v>857</v>
      </c>
      <c r="E263" s="29" t="s">
        <v>858</v>
      </c>
      <c r="F263" s="29" t="s">
        <v>863</v>
      </c>
      <c r="G263" s="28" t="s">
        <v>92</v>
      </c>
      <c r="H263" s="29" t="s">
        <v>45</v>
      </c>
      <c r="I263" s="34" t="s">
        <v>46</v>
      </c>
      <c r="J263" s="29" t="s">
        <v>46</v>
      </c>
      <c r="K263" s="28" t="str">
        <f t="shared" si="10"/>
        <v>2025-10</v>
      </c>
      <c r="L263" s="28" t="s">
        <v>27</v>
      </c>
      <c r="M263" s="29" t="s">
        <v>28</v>
      </c>
      <c r="N263" s="28" t="s">
        <v>29</v>
      </c>
      <c r="O263" s="28" t="s">
        <v>51</v>
      </c>
      <c r="P263" s="28" t="s">
        <v>364</v>
      </c>
      <c r="Q263" s="28"/>
    </row>
    <row r="264" s="23" customFormat="1" ht="45" customHeight="1" spans="1:17">
      <c r="A264" s="28">
        <f t="shared" si="11"/>
        <v>261</v>
      </c>
      <c r="B264" s="29" t="s">
        <v>864</v>
      </c>
      <c r="C264" s="29" t="s">
        <v>20</v>
      </c>
      <c r="D264" s="29" t="s">
        <v>89</v>
      </c>
      <c r="E264" s="29" t="s">
        <v>865</v>
      </c>
      <c r="F264" s="29" t="s">
        <v>866</v>
      </c>
      <c r="G264" s="28" t="s">
        <v>92</v>
      </c>
      <c r="H264" s="29" t="s">
        <v>482</v>
      </c>
      <c r="I264" s="34" t="s">
        <v>483</v>
      </c>
      <c r="J264" s="29" t="s">
        <v>483</v>
      </c>
      <c r="K264" s="28" t="str">
        <f t="shared" si="10"/>
        <v>2025-10</v>
      </c>
      <c r="L264" s="28" t="s">
        <v>27</v>
      </c>
      <c r="M264" s="29" t="s">
        <v>28</v>
      </c>
      <c r="N264" s="28" t="s">
        <v>29</v>
      </c>
      <c r="O264" s="28" t="s">
        <v>51</v>
      </c>
      <c r="P264" s="28" t="s">
        <v>364</v>
      </c>
      <c r="Q264" s="28"/>
    </row>
    <row r="265" s="23" customFormat="1" ht="45" customHeight="1" spans="1:17">
      <c r="A265" s="28">
        <f t="shared" si="11"/>
        <v>262</v>
      </c>
      <c r="B265" s="29" t="s">
        <v>867</v>
      </c>
      <c r="C265" s="29" t="s">
        <v>20</v>
      </c>
      <c r="D265" s="29" t="s">
        <v>868</v>
      </c>
      <c r="E265" s="29" t="s">
        <v>869</v>
      </c>
      <c r="F265" s="29" t="s">
        <v>870</v>
      </c>
      <c r="G265" s="28" t="s">
        <v>92</v>
      </c>
      <c r="H265" s="29" t="s">
        <v>482</v>
      </c>
      <c r="I265" s="34" t="s">
        <v>483</v>
      </c>
      <c r="J265" s="29" t="s">
        <v>483</v>
      </c>
      <c r="K265" s="28" t="str">
        <f t="shared" si="10"/>
        <v>2025-10</v>
      </c>
      <c r="L265" s="28" t="s">
        <v>27</v>
      </c>
      <c r="M265" s="29" t="s">
        <v>28</v>
      </c>
      <c r="N265" s="28" t="s">
        <v>29</v>
      </c>
      <c r="O265" s="28" t="s">
        <v>51</v>
      </c>
      <c r="P265" s="28" t="s">
        <v>166</v>
      </c>
      <c r="Q265" s="28"/>
    </row>
    <row r="266" s="23" customFormat="1" ht="45" customHeight="1" spans="1:17">
      <c r="A266" s="28">
        <f t="shared" si="11"/>
        <v>263</v>
      </c>
      <c r="B266" s="29" t="s">
        <v>871</v>
      </c>
      <c r="C266" s="29" t="s">
        <v>20</v>
      </c>
      <c r="D266" s="29" t="s">
        <v>872</v>
      </c>
      <c r="E266" s="29" t="s">
        <v>873</v>
      </c>
      <c r="F266" s="29" t="s">
        <v>874</v>
      </c>
      <c r="G266" s="28" t="s">
        <v>36</v>
      </c>
      <c r="H266" s="30">
        <v>45930</v>
      </c>
      <c r="I266" s="34">
        <v>46294</v>
      </c>
      <c r="J266" s="34">
        <f>I266</f>
        <v>46294</v>
      </c>
      <c r="K266" s="28" t="str">
        <f t="shared" si="10"/>
        <v>46294</v>
      </c>
      <c r="L266" s="28" t="s">
        <v>27</v>
      </c>
      <c r="M266" s="29" t="s">
        <v>28</v>
      </c>
      <c r="N266" s="28" t="s">
        <v>29</v>
      </c>
      <c r="O266" s="28" t="s">
        <v>51</v>
      </c>
      <c r="P266" s="28" t="s">
        <v>247</v>
      </c>
      <c r="Q266" s="29" t="s">
        <v>875</v>
      </c>
    </row>
    <row r="267" s="23" customFormat="1" ht="45" customHeight="1" spans="1:17">
      <c r="A267" s="28">
        <f t="shared" si="11"/>
        <v>264</v>
      </c>
      <c r="B267" s="29" t="s">
        <v>871</v>
      </c>
      <c r="C267" s="29" t="s">
        <v>20</v>
      </c>
      <c r="D267" s="29" t="s">
        <v>872</v>
      </c>
      <c r="E267" s="29" t="s">
        <v>876</v>
      </c>
      <c r="F267" s="29" t="s">
        <v>877</v>
      </c>
      <c r="G267" s="28" t="s">
        <v>36</v>
      </c>
      <c r="H267" s="30">
        <v>45930</v>
      </c>
      <c r="I267" s="34">
        <v>46294</v>
      </c>
      <c r="J267" s="34">
        <f t="shared" ref="J267:J273" si="12">I267</f>
        <v>46294</v>
      </c>
      <c r="K267" s="28" t="str">
        <f t="shared" si="10"/>
        <v>46294</v>
      </c>
      <c r="L267" s="28" t="s">
        <v>27</v>
      </c>
      <c r="M267" s="29" t="s">
        <v>28</v>
      </c>
      <c r="N267" s="28" t="s">
        <v>29</v>
      </c>
      <c r="O267" s="28" t="s">
        <v>51</v>
      </c>
      <c r="P267" s="28" t="s">
        <v>247</v>
      </c>
      <c r="Q267" s="29" t="s">
        <v>878</v>
      </c>
    </row>
    <row r="268" s="23" customFormat="1" ht="45" customHeight="1" spans="1:17">
      <c r="A268" s="28">
        <f t="shared" si="11"/>
        <v>265</v>
      </c>
      <c r="B268" s="29" t="s">
        <v>879</v>
      </c>
      <c r="C268" s="29" t="s">
        <v>20</v>
      </c>
      <c r="D268" s="29" t="s">
        <v>872</v>
      </c>
      <c r="E268" s="29" t="s">
        <v>873</v>
      </c>
      <c r="F268" s="29" t="s">
        <v>880</v>
      </c>
      <c r="G268" s="28" t="s">
        <v>36</v>
      </c>
      <c r="H268" s="30">
        <v>45930</v>
      </c>
      <c r="I268" s="34">
        <v>46294</v>
      </c>
      <c r="J268" s="34">
        <f t="shared" si="12"/>
        <v>46294</v>
      </c>
      <c r="K268" s="28" t="str">
        <f t="shared" si="10"/>
        <v>46294</v>
      </c>
      <c r="L268" s="28" t="s">
        <v>27</v>
      </c>
      <c r="M268" s="29" t="s">
        <v>28</v>
      </c>
      <c r="N268" s="28" t="s">
        <v>29</v>
      </c>
      <c r="O268" s="28" t="s">
        <v>51</v>
      </c>
      <c r="P268" s="28" t="s">
        <v>247</v>
      </c>
      <c r="Q268" s="29" t="s">
        <v>579</v>
      </c>
    </row>
    <row r="269" s="23" customFormat="1" ht="45" customHeight="1" spans="1:17">
      <c r="A269" s="28">
        <f t="shared" si="11"/>
        <v>266</v>
      </c>
      <c r="B269" s="29" t="s">
        <v>881</v>
      </c>
      <c r="C269" s="29" t="s">
        <v>20</v>
      </c>
      <c r="D269" s="29" t="s">
        <v>872</v>
      </c>
      <c r="E269" s="29" t="s">
        <v>882</v>
      </c>
      <c r="F269" s="29" t="s">
        <v>883</v>
      </c>
      <c r="G269" s="28" t="s">
        <v>36</v>
      </c>
      <c r="H269" s="30">
        <v>45930</v>
      </c>
      <c r="I269" s="34">
        <v>46294</v>
      </c>
      <c r="J269" s="34">
        <f t="shared" si="12"/>
        <v>46294</v>
      </c>
      <c r="K269" s="28" t="str">
        <f t="shared" si="10"/>
        <v>46294</v>
      </c>
      <c r="L269" s="28" t="s">
        <v>27</v>
      </c>
      <c r="M269" s="29" t="s">
        <v>28</v>
      </c>
      <c r="N269" s="28" t="s">
        <v>29</v>
      </c>
      <c r="O269" s="28" t="s">
        <v>51</v>
      </c>
      <c r="P269" s="28" t="s">
        <v>247</v>
      </c>
      <c r="Q269" s="29" t="s">
        <v>884</v>
      </c>
    </row>
    <row r="270" s="23" customFormat="1" ht="45" customHeight="1" spans="1:17">
      <c r="A270" s="28">
        <f t="shared" si="11"/>
        <v>267</v>
      </c>
      <c r="B270" s="29" t="s">
        <v>871</v>
      </c>
      <c r="C270" s="29" t="s">
        <v>20</v>
      </c>
      <c r="D270" s="29" t="s">
        <v>872</v>
      </c>
      <c r="E270" s="29" t="s">
        <v>873</v>
      </c>
      <c r="F270" s="29" t="s">
        <v>885</v>
      </c>
      <c r="G270" s="28" t="s">
        <v>36</v>
      </c>
      <c r="H270" s="30">
        <v>45930</v>
      </c>
      <c r="I270" s="34">
        <v>46294</v>
      </c>
      <c r="J270" s="34">
        <f t="shared" si="12"/>
        <v>46294</v>
      </c>
      <c r="K270" s="28" t="str">
        <f t="shared" si="10"/>
        <v>46294</v>
      </c>
      <c r="L270" s="28" t="s">
        <v>27</v>
      </c>
      <c r="M270" s="29" t="s">
        <v>28</v>
      </c>
      <c r="N270" s="28" t="s">
        <v>29</v>
      </c>
      <c r="O270" s="28" t="s">
        <v>51</v>
      </c>
      <c r="P270" s="28" t="s">
        <v>247</v>
      </c>
      <c r="Q270" s="29" t="s">
        <v>886</v>
      </c>
    </row>
    <row r="271" s="23" customFormat="1" ht="45" customHeight="1" spans="1:17">
      <c r="A271" s="28">
        <f t="shared" si="11"/>
        <v>268</v>
      </c>
      <c r="B271" s="29" t="s">
        <v>887</v>
      </c>
      <c r="C271" s="29" t="s">
        <v>20</v>
      </c>
      <c r="D271" s="29" t="s">
        <v>872</v>
      </c>
      <c r="E271" s="29" t="s">
        <v>882</v>
      </c>
      <c r="F271" s="29" t="s">
        <v>888</v>
      </c>
      <c r="G271" s="28" t="s">
        <v>36</v>
      </c>
      <c r="H271" s="30">
        <v>45930</v>
      </c>
      <c r="I271" s="34">
        <v>46294</v>
      </c>
      <c r="J271" s="34">
        <f t="shared" si="12"/>
        <v>46294</v>
      </c>
      <c r="K271" s="28" t="str">
        <f t="shared" si="10"/>
        <v>46294</v>
      </c>
      <c r="L271" s="28" t="s">
        <v>27</v>
      </c>
      <c r="M271" s="29" t="s">
        <v>28</v>
      </c>
      <c r="N271" s="28" t="s">
        <v>29</v>
      </c>
      <c r="O271" s="28" t="s">
        <v>51</v>
      </c>
      <c r="P271" s="28" t="s">
        <v>247</v>
      </c>
      <c r="Q271" s="29" t="s">
        <v>889</v>
      </c>
    </row>
    <row r="272" s="23" customFormat="1" ht="45" customHeight="1" spans="1:17">
      <c r="A272" s="28">
        <f t="shared" si="11"/>
        <v>269</v>
      </c>
      <c r="B272" s="29" t="s">
        <v>890</v>
      </c>
      <c r="C272" s="29" t="s">
        <v>20</v>
      </c>
      <c r="D272" s="29" t="s">
        <v>872</v>
      </c>
      <c r="E272" s="29" t="s">
        <v>873</v>
      </c>
      <c r="F272" s="29" t="s">
        <v>891</v>
      </c>
      <c r="G272" s="28" t="s">
        <v>36</v>
      </c>
      <c r="H272" s="30">
        <v>45930</v>
      </c>
      <c r="I272" s="34">
        <v>46294</v>
      </c>
      <c r="J272" s="34">
        <f t="shared" si="12"/>
        <v>46294</v>
      </c>
      <c r="K272" s="28" t="str">
        <f t="shared" si="10"/>
        <v>46294</v>
      </c>
      <c r="L272" s="28" t="s">
        <v>27</v>
      </c>
      <c r="M272" s="29" t="s">
        <v>28</v>
      </c>
      <c r="N272" s="28" t="s">
        <v>29</v>
      </c>
      <c r="O272" s="28" t="s">
        <v>51</v>
      </c>
      <c r="P272" s="28" t="s">
        <v>247</v>
      </c>
      <c r="Q272" s="29" t="s">
        <v>579</v>
      </c>
    </row>
    <row r="273" s="23" customFormat="1" ht="45" customHeight="1" spans="1:17">
      <c r="A273" s="28">
        <f t="shared" si="11"/>
        <v>270</v>
      </c>
      <c r="B273" s="29" t="s">
        <v>871</v>
      </c>
      <c r="C273" s="29" t="s">
        <v>20</v>
      </c>
      <c r="D273" s="29" t="s">
        <v>872</v>
      </c>
      <c r="E273" s="29" t="s">
        <v>873</v>
      </c>
      <c r="F273" s="29" t="s">
        <v>892</v>
      </c>
      <c r="G273" s="28" t="s">
        <v>36</v>
      </c>
      <c r="H273" s="29" t="s">
        <v>893</v>
      </c>
      <c r="I273" s="34">
        <v>46294</v>
      </c>
      <c r="J273" s="34">
        <f t="shared" si="12"/>
        <v>46294</v>
      </c>
      <c r="K273" s="28" t="str">
        <f t="shared" si="10"/>
        <v>46294</v>
      </c>
      <c r="L273" s="28" t="s">
        <v>27</v>
      </c>
      <c r="M273" s="29" t="s">
        <v>28</v>
      </c>
      <c r="N273" s="28" t="s">
        <v>29</v>
      </c>
      <c r="O273" s="28" t="s">
        <v>51</v>
      </c>
      <c r="P273" s="28" t="s">
        <v>247</v>
      </c>
      <c r="Q273" s="29" t="s">
        <v>894</v>
      </c>
    </row>
    <row r="274" s="23" customFormat="1" ht="45" customHeight="1" spans="1:17">
      <c r="A274" s="28">
        <f>ROW()-3</f>
        <v>271</v>
      </c>
      <c r="B274" s="29" t="s">
        <v>895</v>
      </c>
      <c r="C274" s="29" t="s">
        <v>20</v>
      </c>
      <c r="D274" s="29" t="s">
        <v>295</v>
      </c>
      <c r="E274" s="29" t="s">
        <v>896</v>
      </c>
      <c r="F274" s="29" t="s">
        <v>818</v>
      </c>
      <c r="G274" s="28" t="s">
        <v>77</v>
      </c>
      <c r="H274" s="30">
        <v>45815</v>
      </c>
      <c r="I274" s="34">
        <v>46179</v>
      </c>
      <c r="J274" s="34">
        <f>I274</f>
        <v>46179</v>
      </c>
      <c r="K274" s="28" t="str">
        <f>LEFT(J274,7)</f>
        <v>46179</v>
      </c>
      <c r="L274" s="28" t="s">
        <v>27</v>
      </c>
      <c r="M274" s="29" t="s">
        <v>28</v>
      </c>
      <c r="N274" s="28" t="s">
        <v>29</v>
      </c>
      <c r="O274" s="28" t="s">
        <v>51</v>
      </c>
      <c r="P274" s="28" t="s">
        <v>578</v>
      </c>
      <c r="Q274" s="29" t="s">
        <v>579</v>
      </c>
    </row>
    <row r="275" s="23" customFormat="1" ht="45" customHeight="1" spans="1:17">
      <c r="A275" s="28">
        <f>ROW()-3</f>
        <v>272</v>
      </c>
      <c r="B275" s="29" t="s">
        <v>897</v>
      </c>
      <c r="C275" s="29" t="s">
        <v>20</v>
      </c>
      <c r="D275" s="29" t="s">
        <v>138</v>
      </c>
      <c r="E275" s="29" t="s">
        <v>898</v>
      </c>
      <c r="F275" s="29" t="s">
        <v>899</v>
      </c>
      <c r="G275" s="28" t="s">
        <v>36</v>
      </c>
      <c r="H275" s="29" t="s">
        <v>900</v>
      </c>
      <c r="I275" s="34" t="s">
        <v>901</v>
      </c>
      <c r="J275" s="29" t="s">
        <v>901</v>
      </c>
      <c r="K275" s="28" t="str">
        <f>LEFT(J275,7)</f>
        <v>2026-4-</v>
      </c>
      <c r="L275" s="28" t="s">
        <v>27</v>
      </c>
      <c r="M275" s="29" t="s">
        <v>28</v>
      </c>
      <c r="N275" s="28" t="s">
        <v>29</v>
      </c>
      <c r="O275" s="28" t="s">
        <v>30</v>
      </c>
      <c r="P275" s="28" t="s">
        <v>143</v>
      </c>
      <c r="Q275" s="28"/>
    </row>
    <row r="276" s="23" customFormat="1" ht="45" customHeight="1" spans="1:17">
      <c r="A276" s="28">
        <f>ROW()-3</f>
        <v>273</v>
      </c>
      <c r="B276" s="29" t="s">
        <v>897</v>
      </c>
      <c r="C276" s="29" t="s">
        <v>20</v>
      </c>
      <c r="D276" s="29" t="s">
        <v>138</v>
      </c>
      <c r="E276" s="29" t="s">
        <v>902</v>
      </c>
      <c r="F276" s="29" t="s">
        <v>903</v>
      </c>
      <c r="G276" s="28" t="s">
        <v>36</v>
      </c>
      <c r="H276" s="29" t="s">
        <v>900</v>
      </c>
      <c r="I276" s="34" t="s">
        <v>901</v>
      </c>
      <c r="J276" s="29" t="s">
        <v>901</v>
      </c>
      <c r="K276" s="28" t="str">
        <f>LEFT(J276,7)</f>
        <v>2026-4-</v>
      </c>
      <c r="L276" s="28" t="s">
        <v>27</v>
      </c>
      <c r="M276" s="29" t="s">
        <v>28</v>
      </c>
      <c r="N276" s="28" t="s">
        <v>29</v>
      </c>
      <c r="O276" s="28" t="s">
        <v>30</v>
      </c>
      <c r="P276" s="28" t="s">
        <v>143</v>
      </c>
      <c r="Q276" s="28"/>
    </row>
    <row r="277" s="23" customFormat="1" ht="45" customHeight="1" spans="1:17">
      <c r="A277" s="28">
        <f>ROW()-3</f>
        <v>274</v>
      </c>
      <c r="B277" s="29" t="s">
        <v>904</v>
      </c>
      <c r="C277" s="29" t="s">
        <v>20</v>
      </c>
      <c r="D277" s="29" t="s">
        <v>494</v>
      </c>
      <c r="E277" s="29" t="s">
        <v>495</v>
      </c>
      <c r="F277" s="29" t="s">
        <v>496</v>
      </c>
      <c r="G277" s="28" t="s">
        <v>481</v>
      </c>
      <c r="H277" s="29" t="s">
        <v>905</v>
      </c>
      <c r="I277" s="34" t="s">
        <v>906</v>
      </c>
      <c r="J277" s="29" t="s">
        <v>907</v>
      </c>
      <c r="K277" s="28" t="str">
        <f>LEFT(J277,7)</f>
        <v>2025-8-</v>
      </c>
      <c r="L277" s="28" t="s">
        <v>27</v>
      </c>
      <c r="M277" s="29" t="s">
        <v>28</v>
      </c>
      <c r="N277" s="28" t="s">
        <v>39</v>
      </c>
      <c r="O277" s="28" t="s">
        <v>30</v>
      </c>
      <c r="P277" s="28" t="s">
        <v>364</v>
      </c>
      <c r="Q277" s="28"/>
    </row>
    <row r="278" s="23" customFormat="1" ht="45" customHeight="1" spans="1:17">
      <c r="A278" s="28">
        <f>ROW()-3</f>
        <v>275</v>
      </c>
      <c r="B278" s="29" t="s">
        <v>908</v>
      </c>
      <c r="C278" s="29" t="s">
        <v>20</v>
      </c>
      <c r="D278" s="29" t="s">
        <v>758</v>
      </c>
      <c r="E278" s="29" t="s">
        <v>67</v>
      </c>
      <c r="F278" s="29" t="s">
        <v>909</v>
      </c>
      <c r="G278" s="28" t="s">
        <v>44</v>
      </c>
      <c r="H278" s="29" t="s">
        <v>910</v>
      </c>
      <c r="I278" s="34" t="s">
        <v>911</v>
      </c>
      <c r="J278" s="29" t="s">
        <v>911</v>
      </c>
      <c r="K278" s="28" t="str">
        <f>LEFT(J278,7)</f>
        <v>2026-4-</v>
      </c>
      <c r="L278" s="28" t="s">
        <v>27</v>
      </c>
      <c r="M278" s="29" t="s">
        <v>28</v>
      </c>
      <c r="N278" s="28" t="s">
        <v>39</v>
      </c>
      <c r="O278" s="28" t="s">
        <v>30</v>
      </c>
      <c r="P278" s="28" t="s">
        <v>578</v>
      </c>
      <c r="Q278" s="29" t="s">
        <v>401</v>
      </c>
    </row>
    <row r="279" s="23" customFormat="1" ht="45" customHeight="1" spans="1:17">
      <c r="A279" s="28">
        <f>ROW()-3</f>
        <v>276</v>
      </c>
      <c r="B279" s="29" t="s">
        <v>912</v>
      </c>
      <c r="C279" s="29" t="s">
        <v>20</v>
      </c>
      <c r="D279" s="29" t="s">
        <v>758</v>
      </c>
      <c r="E279" s="29" t="s">
        <v>67</v>
      </c>
      <c r="F279" s="29" t="s">
        <v>913</v>
      </c>
      <c r="G279" s="28" t="s">
        <v>44</v>
      </c>
      <c r="H279" s="29" t="s">
        <v>910</v>
      </c>
      <c r="I279" s="34" t="s">
        <v>911</v>
      </c>
      <c r="J279" s="29" t="s">
        <v>911</v>
      </c>
      <c r="K279" s="28" t="str">
        <f>LEFT(J279,7)</f>
        <v>2026-4-</v>
      </c>
      <c r="L279" s="28" t="s">
        <v>27</v>
      </c>
      <c r="M279" s="29" t="s">
        <v>28</v>
      </c>
      <c r="N279" s="28" t="s">
        <v>39</v>
      </c>
      <c r="O279" s="28" t="s">
        <v>30</v>
      </c>
      <c r="P279" s="28" t="s">
        <v>578</v>
      </c>
      <c r="Q279" s="29" t="s">
        <v>397</v>
      </c>
    </row>
    <row r="280" s="23" customFormat="1" ht="45" customHeight="1" spans="1:17">
      <c r="A280" s="28">
        <f>ROW()-3</f>
        <v>277</v>
      </c>
      <c r="B280" s="29" t="s">
        <v>897</v>
      </c>
      <c r="C280" s="29" t="s">
        <v>20</v>
      </c>
      <c r="D280" s="29" t="s">
        <v>914</v>
      </c>
      <c r="E280" s="29" t="s">
        <v>915</v>
      </c>
      <c r="F280" s="29" t="s">
        <v>916</v>
      </c>
      <c r="G280" s="28" t="s">
        <v>24</v>
      </c>
      <c r="H280" s="29" t="s">
        <v>917</v>
      </c>
      <c r="I280" s="34" t="s">
        <v>918</v>
      </c>
      <c r="J280" s="29" t="s">
        <v>918</v>
      </c>
      <c r="K280" s="28" t="str">
        <f>LEFT(J280,7)</f>
        <v>2026-03</v>
      </c>
      <c r="L280" s="28" t="s">
        <v>27</v>
      </c>
      <c r="M280" s="29" t="s">
        <v>28</v>
      </c>
      <c r="N280" s="28" t="s">
        <v>29</v>
      </c>
      <c r="O280" s="28" t="s">
        <v>51</v>
      </c>
      <c r="P280" s="28" t="s">
        <v>166</v>
      </c>
      <c r="Q280" s="28"/>
    </row>
    <row r="281" s="23" customFormat="1" ht="45" customHeight="1" spans="1:17">
      <c r="A281" s="28">
        <f>ROW()-3</f>
        <v>278</v>
      </c>
      <c r="B281" s="29" t="s">
        <v>897</v>
      </c>
      <c r="C281" s="29" t="s">
        <v>20</v>
      </c>
      <c r="D281" s="29" t="s">
        <v>914</v>
      </c>
      <c r="E281" s="29" t="s">
        <v>915</v>
      </c>
      <c r="F281" s="29" t="s">
        <v>919</v>
      </c>
      <c r="G281" s="28" t="s">
        <v>24</v>
      </c>
      <c r="H281" s="29" t="s">
        <v>917</v>
      </c>
      <c r="I281" s="34" t="s">
        <v>918</v>
      </c>
      <c r="J281" s="29" t="s">
        <v>918</v>
      </c>
      <c r="K281" s="28" t="str">
        <f>LEFT(J281,7)</f>
        <v>2026-03</v>
      </c>
      <c r="L281" s="28" t="s">
        <v>27</v>
      </c>
      <c r="M281" s="29" t="s">
        <v>28</v>
      </c>
      <c r="N281" s="28" t="s">
        <v>29</v>
      </c>
      <c r="O281" s="28" t="s">
        <v>51</v>
      </c>
      <c r="P281" s="28" t="s">
        <v>166</v>
      </c>
      <c r="Q281" s="28"/>
    </row>
    <row r="282" s="23" customFormat="1" ht="45" customHeight="1" spans="1:17">
      <c r="A282" s="28">
        <f>ROW()-3</f>
        <v>279</v>
      </c>
      <c r="B282" s="29" t="s">
        <v>897</v>
      </c>
      <c r="C282" s="29" t="s">
        <v>20</v>
      </c>
      <c r="D282" s="29" t="s">
        <v>914</v>
      </c>
      <c r="E282" s="29" t="s">
        <v>920</v>
      </c>
      <c r="F282" s="29" t="s">
        <v>921</v>
      </c>
      <c r="G282" s="28" t="s">
        <v>24</v>
      </c>
      <c r="H282" s="29" t="s">
        <v>917</v>
      </c>
      <c r="I282" s="34" t="s">
        <v>918</v>
      </c>
      <c r="J282" s="29" t="s">
        <v>918</v>
      </c>
      <c r="K282" s="28" t="str">
        <f>LEFT(J282,7)</f>
        <v>2026-03</v>
      </c>
      <c r="L282" s="28" t="s">
        <v>27</v>
      </c>
      <c r="M282" s="29" t="s">
        <v>28</v>
      </c>
      <c r="N282" s="28" t="s">
        <v>29</v>
      </c>
      <c r="O282" s="28" t="s">
        <v>51</v>
      </c>
      <c r="P282" s="28" t="s">
        <v>166</v>
      </c>
      <c r="Q282" s="28"/>
    </row>
    <row r="283" s="23" customFormat="1" ht="45" customHeight="1" spans="1:17">
      <c r="A283" s="28">
        <f>ROW()-3</f>
        <v>280</v>
      </c>
      <c r="B283" s="29" t="s">
        <v>897</v>
      </c>
      <c r="C283" s="29" t="s">
        <v>20</v>
      </c>
      <c r="D283" s="29" t="s">
        <v>914</v>
      </c>
      <c r="E283" s="29" t="s">
        <v>920</v>
      </c>
      <c r="F283" s="29" t="s">
        <v>922</v>
      </c>
      <c r="G283" s="28" t="s">
        <v>24</v>
      </c>
      <c r="H283" s="29" t="s">
        <v>917</v>
      </c>
      <c r="I283" s="34" t="s">
        <v>918</v>
      </c>
      <c r="J283" s="29" t="s">
        <v>918</v>
      </c>
      <c r="K283" s="28" t="str">
        <f>LEFT(J283,7)</f>
        <v>2026-03</v>
      </c>
      <c r="L283" s="28" t="s">
        <v>27</v>
      </c>
      <c r="M283" s="29" t="s">
        <v>28</v>
      </c>
      <c r="N283" s="28" t="s">
        <v>29</v>
      </c>
      <c r="O283" s="28" t="s">
        <v>51</v>
      </c>
      <c r="P283" s="28" t="s">
        <v>166</v>
      </c>
      <c r="Q283" s="28"/>
    </row>
    <row r="284" s="23" customFormat="1" ht="45" customHeight="1" spans="1:17">
      <c r="A284" s="28">
        <f>ROW()-3</f>
        <v>281</v>
      </c>
      <c r="B284" s="29" t="s">
        <v>923</v>
      </c>
      <c r="C284" s="29" t="s">
        <v>20</v>
      </c>
      <c r="D284" s="29" t="s">
        <v>924</v>
      </c>
      <c r="E284" s="29" t="s">
        <v>461</v>
      </c>
      <c r="F284" s="29" t="s">
        <v>925</v>
      </c>
      <c r="G284" s="28" t="s">
        <v>24</v>
      </c>
      <c r="H284" s="29" t="s">
        <v>917</v>
      </c>
      <c r="I284" s="34" t="s">
        <v>918</v>
      </c>
      <c r="J284" s="29" t="s">
        <v>918</v>
      </c>
      <c r="K284" s="28" t="str">
        <f>LEFT(J284,7)</f>
        <v>2026-03</v>
      </c>
      <c r="L284" s="28" t="s">
        <v>27</v>
      </c>
      <c r="M284" s="29" t="s">
        <v>28</v>
      </c>
      <c r="N284" s="28" t="s">
        <v>39</v>
      </c>
      <c r="O284" s="28" t="s">
        <v>51</v>
      </c>
      <c r="P284" s="28" t="s">
        <v>166</v>
      </c>
      <c r="Q284" s="28"/>
    </row>
    <row r="285" s="23" customFormat="1" ht="45" customHeight="1" spans="1:17">
      <c r="A285" s="28">
        <f>ROW()-3</f>
        <v>282</v>
      </c>
      <c r="B285" s="29" t="s">
        <v>926</v>
      </c>
      <c r="C285" s="29" t="s">
        <v>20</v>
      </c>
      <c r="D285" s="29" t="s">
        <v>924</v>
      </c>
      <c r="E285" s="29" t="s">
        <v>927</v>
      </c>
      <c r="F285" s="29" t="s">
        <v>928</v>
      </c>
      <c r="G285" s="28" t="s">
        <v>24</v>
      </c>
      <c r="H285" s="29" t="s">
        <v>917</v>
      </c>
      <c r="I285" s="34" t="s">
        <v>918</v>
      </c>
      <c r="J285" s="29" t="s">
        <v>918</v>
      </c>
      <c r="K285" s="28" t="str">
        <f>LEFT(J285,7)</f>
        <v>2026-03</v>
      </c>
      <c r="L285" s="28" t="s">
        <v>27</v>
      </c>
      <c r="M285" s="29" t="s">
        <v>28</v>
      </c>
      <c r="N285" s="28" t="s">
        <v>39</v>
      </c>
      <c r="O285" s="28" t="s">
        <v>51</v>
      </c>
      <c r="P285" s="28" t="s">
        <v>247</v>
      </c>
      <c r="Q285" s="29" t="s">
        <v>929</v>
      </c>
    </row>
    <row r="286" s="23" customFormat="1" ht="45" customHeight="1" spans="1:17">
      <c r="A286" s="28">
        <f>ROW()-3</f>
        <v>283</v>
      </c>
      <c r="B286" s="29" t="s">
        <v>930</v>
      </c>
      <c r="C286" s="29" t="s">
        <v>20</v>
      </c>
      <c r="D286" s="29" t="s">
        <v>924</v>
      </c>
      <c r="E286" s="29" t="s">
        <v>927</v>
      </c>
      <c r="F286" s="29" t="s">
        <v>931</v>
      </c>
      <c r="G286" s="28" t="s">
        <v>24</v>
      </c>
      <c r="H286" s="29" t="s">
        <v>917</v>
      </c>
      <c r="I286" s="34" t="s">
        <v>918</v>
      </c>
      <c r="J286" s="29" t="s">
        <v>918</v>
      </c>
      <c r="K286" s="28" t="str">
        <f>LEFT(J286,7)</f>
        <v>2026-03</v>
      </c>
      <c r="L286" s="28" t="s">
        <v>27</v>
      </c>
      <c r="M286" s="29" t="s">
        <v>28</v>
      </c>
      <c r="N286" s="28" t="s">
        <v>39</v>
      </c>
      <c r="O286" s="28" t="s">
        <v>51</v>
      </c>
      <c r="P286" s="28" t="s">
        <v>247</v>
      </c>
      <c r="Q286" s="29" t="s">
        <v>929</v>
      </c>
    </row>
    <row r="287" s="23" customFormat="1" ht="45" customHeight="1" spans="1:17">
      <c r="A287" s="28">
        <f>ROW()-3</f>
        <v>284</v>
      </c>
      <c r="B287" s="29" t="s">
        <v>932</v>
      </c>
      <c r="C287" s="29" t="s">
        <v>20</v>
      </c>
      <c r="D287" s="29" t="s">
        <v>924</v>
      </c>
      <c r="E287" s="29" t="s">
        <v>927</v>
      </c>
      <c r="F287" s="29" t="s">
        <v>933</v>
      </c>
      <c r="G287" s="28" t="s">
        <v>24</v>
      </c>
      <c r="H287" s="29" t="s">
        <v>917</v>
      </c>
      <c r="I287" s="34" t="s">
        <v>918</v>
      </c>
      <c r="J287" s="29" t="s">
        <v>918</v>
      </c>
      <c r="K287" s="28" t="str">
        <f>LEFT(J287,7)</f>
        <v>2026-03</v>
      </c>
      <c r="L287" s="28" t="s">
        <v>27</v>
      </c>
      <c r="M287" s="29" t="s">
        <v>28</v>
      </c>
      <c r="N287" s="28" t="s">
        <v>39</v>
      </c>
      <c r="O287" s="28" t="s">
        <v>51</v>
      </c>
      <c r="P287" s="28" t="s">
        <v>247</v>
      </c>
      <c r="Q287" s="29" t="s">
        <v>929</v>
      </c>
    </row>
    <row r="288" s="23" customFormat="1" ht="45" customHeight="1" spans="1:17">
      <c r="A288" s="28">
        <f>ROW()-3</f>
        <v>285</v>
      </c>
      <c r="B288" s="29" t="s">
        <v>897</v>
      </c>
      <c r="C288" s="29" t="s">
        <v>20</v>
      </c>
      <c r="D288" s="29" t="s">
        <v>914</v>
      </c>
      <c r="E288" s="29" t="s">
        <v>920</v>
      </c>
      <c r="F288" s="29" t="s">
        <v>934</v>
      </c>
      <c r="G288" s="28" t="s">
        <v>24</v>
      </c>
      <c r="H288" s="29" t="s">
        <v>917</v>
      </c>
      <c r="I288" s="34" t="s">
        <v>918</v>
      </c>
      <c r="J288" s="29" t="s">
        <v>918</v>
      </c>
      <c r="K288" s="28" t="str">
        <f>LEFT(J288,7)</f>
        <v>2026-03</v>
      </c>
      <c r="L288" s="28" t="s">
        <v>27</v>
      </c>
      <c r="M288" s="29" t="s">
        <v>28</v>
      </c>
      <c r="N288" s="28" t="s">
        <v>29</v>
      </c>
      <c r="O288" s="28" t="s">
        <v>51</v>
      </c>
      <c r="P288" s="28" t="s">
        <v>166</v>
      </c>
      <c r="Q288" s="28"/>
    </row>
    <row r="289" s="23" customFormat="1" ht="45" customHeight="1" spans="1:17">
      <c r="A289" s="28">
        <f>ROW()-3</f>
        <v>286</v>
      </c>
      <c r="B289" s="29" t="s">
        <v>935</v>
      </c>
      <c r="C289" s="29" t="s">
        <v>20</v>
      </c>
      <c r="D289" s="29" t="s">
        <v>924</v>
      </c>
      <c r="E289" s="29" t="s">
        <v>461</v>
      </c>
      <c r="F289" s="29" t="s">
        <v>936</v>
      </c>
      <c r="G289" s="28" t="s">
        <v>24</v>
      </c>
      <c r="H289" s="29" t="s">
        <v>917</v>
      </c>
      <c r="I289" s="34" t="s">
        <v>918</v>
      </c>
      <c r="J289" s="29" t="s">
        <v>918</v>
      </c>
      <c r="K289" s="28" t="str">
        <f>LEFT(J289,7)</f>
        <v>2026-03</v>
      </c>
      <c r="L289" s="28" t="s">
        <v>27</v>
      </c>
      <c r="M289" s="29" t="s">
        <v>28</v>
      </c>
      <c r="N289" s="28" t="s">
        <v>39</v>
      </c>
      <c r="O289" s="28" t="s">
        <v>51</v>
      </c>
      <c r="P289" s="28" t="s">
        <v>166</v>
      </c>
      <c r="Q289" s="28"/>
    </row>
    <row r="290" s="23" customFormat="1" ht="45" customHeight="1" spans="1:17">
      <c r="A290" s="28">
        <f>ROW()-3</f>
        <v>287</v>
      </c>
      <c r="B290" s="29" t="s">
        <v>937</v>
      </c>
      <c r="C290" s="29" t="s">
        <v>20</v>
      </c>
      <c r="D290" s="29" t="s">
        <v>924</v>
      </c>
      <c r="E290" s="29" t="s">
        <v>461</v>
      </c>
      <c r="F290" s="29" t="s">
        <v>938</v>
      </c>
      <c r="G290" s="28" t="s">
        <v>24</v>
      </c>
      <c r="H290" s="29" t="s">
        <v>917</v>
      </c>
      <c r="I290" s="34" t="s">
        <v>918</v>
      </c>
      <c r="J290" s="29" t="s">
        <v>918</v>
      </c>
      <c r="K290" s="28" t="str">
        <f>LEFT(J290,7)</f>
        <v>2026-03</v>
      </c>
      <c r="L290" s="28" t="s">
        <v>27</v>
      </c>
      <c r="M290" s="29" t="s">
        <v>28</v>
      </c>
      <c r="N290" s="28" t="s">
        <v>39</v>
      </c>
      <c r="O290" s="28" t="s">
        <v>51</v>
      </c>
      <c r="P290" s="28" t="s">
        <v>166</v>
      </c>
      <c r="Q290" s="28"/>
    </row>
    <row r="291" s="23" customFormat="1" ht="45" customHeight="1" spans="1:17">
      <c r="A291" s="28">
        <f>ROW()-3</f>
        <v>288</v>
      </c>
      <c r="B291" s="29" t="s">
        <v>939</v>
      </c>
      <c r="C291" s="29" t="s">
        <v>20</v>
      </c>
      <c r="D291" s="29" t="s">
        <v>924</v>
      </c>
      <c r="E291" s="29" t="s">
        <v>927</v>
      </c>
      <c r="F291" s="29" t="s">
        <v>940</v>
      </c>
      <c r="G291" s="28" t="s">
        <v>24</v>
      </c>
      <c r="H291" s="29" t="s">
        <v>917</v>
      </c>
      <c r="I291" s="34" t="s">
        <v>918</v>
      </c>
      <c r="J291" s="29" t="s">
        <v>918</v>
      </c>
      <c r="K291" s="28" t="str">
        <f>LEFT(J291,7)</f>
        <v>2026-03</v>
      </c>
      <c r="L291" s="28" t="s">
        <v>27</v>
      </c>
      <c r="M291" s="29" t="s">
        <v>28</v>
      </c>
      <c r="N291" s="28" t="s">
        <v>39</v>
      </c>
      <c r="O291" s="28" t="s">
        <v>51</v>
      </c>
      <c r="P291" s="28" t="s">
        <v>247</v>
      </c>
      <c r="Q291" s="29" t="s">
        <v>929</v>
      </c>
    </row>
    <row r="292" s="23" customFormat="1" ht="45" customHeight="1" spans="1:17">
      <c r="A292" s="28">
        <f>ROW()-3</f>
        <v>289</v>
      </c>
      <c r="B292" s="29" t="s">
        <v>941</v>
      </c>
      <c r="C292" s="29" t="s">
        <v>20</v>
      </c>
      <c r="D292" s="29" t="s">
        <v>924</v>
      </c>
      <c r="E292" s="29" t="s">
        <v>927</v>
      </c>
      <c r="F292" s="29" t="s">
        <v>942</v>
      </c>
      <c r="G292" s="28" t="s">
        <v>24</v>
      </c>
      <c r="H292" s="29" t="s">
        <v>917</v>
      </c>
      <c r="I292" s="34" t="s">
        <v>918</v>
      </c>
      <c r="J292" s="29" t="s">
        <v>918</v>
      </c>
      <c r="K292" s="28" t="str">
        <f>LEFT(J292,7)</f>
        <v>2026-03</v>
      </c>
      <c r="L292" s="28" t="s">
        <v>27</v>
      </c>
      <c r="M292" s="29" t="s">
        <v>28</v>
      </c>
      <c r="N292" s="28" t="s">
        <v>39</v>
      </c>
      <c r="O292" s="28" t="s">
        <v>51</v>
      </c>
      <c r="P292" s="28" t="s">
        <v>247</v>
      </c>
      <c r="Q292" s="29" t="s">
        <v>929</v>
      </c>
    </row>
    <row r="293" s="23" customFormat="1" ht="45" customHeight="1" spans="1:17">
      <c r="A293" s="28">
        <f>ROW()-3</f>
        <v>290</v>
      </c>
      <c r="B293" s="29" t="s">
        <v>943</v>
      </c>
      <c r="C293" s="29" t="s">
        <v>20</v>
      </c>
      <c r="D293" s="29" t="s">
        <v>924</v>
      </c>
      <c r="E293" s="29" t="s">
        <v>927</v>
      </c>
      <c r="F293" s="29" t="s">
        <v>944</v>
      </c>
      <c r="G293" s="28" t="s">
        <v>24</v>
      </c>
      <c r="H293" s="29" t="s">
        <v>917</v>
      </c>
      <c r="I293" s="34" t="s">
        <v>918</v>
      </c>
      <c r="J293" s="29" t="s">
        <v>918</v>
      </c>
      <c r="K293" s="28" t="str">
        <f>LEFT(J293,7)</f>
        <v>2026-03</v>
      </c>
      <c r="L293" s="28" t="s">
        <v>27</v>
      </c>
      <c r="M293" s="29" t="s">
        <v>28</v>
      </c>
      <c r="N293" s="28" t="s">
        <v>39</v>
      </c>
      <c r="O293" s="28" t="s">
        <v>51</v>
      </c>
      <c r="P293" s="28" t="s">
        <v>247</v>
      </c>
      <c r="Q293" s="29" t="s">
        <v>929</v>
      </c>
    </row>
    <row r="294" s="23" customFormat="1" ht="45" customHeight="1" spans="1:17">
      <c r="A294" s="28">
        <f>ROW()-3</f>
        <v>291</v>
      </c>
      <c r="B294" s="29" t="s">
        <v>945</v>
      </c>
      <c r="C294" s="29" t="s">
        <v>20</v>
      </c>
      <c r="D294" s="29" t="s">
        <v>946</v>
      </c>
      <c r="E294" s="29" t="s">
        <v>947</v>
      </c>
      <c r="F294" s="29" t="s">
        <v>948</v>
      </c>
      <c r="G294" s="28" t="s">
        <v>247</v>
      </c>
      <c r="H294" s="29" t="s">
        <v>949</v>
      </c>
      <c r="I294" s="34" t="s">
        <v>950</v>
      </c>
      <c r="J294" s="29" t="s">
        <v>950</v>
      </c>
      <c r="K294" s="28" t="str">
        <f>LEFT(J294,7)</f>
        <v>2026/3/</v>
      </c>
      <c r="L294" s="28" t="s">
        <v>27</v>
      </c>
      <c r="M294" s="29" t="s">
        <v>28</v>
      </c>
      <c r="N294" s="28" t="s">
        <v>29</v>
      </c>
      <c r="O294" s="28" t="s">
        <v>30</v>
      </c>
      <c r="P294" s="28" t="s">
        <v>166</v>
      </c>
      <c r="Q294" s="28"/>
    </row>
    <row r="295" s="23" customFormat="1" ht="45" customHeight="1" spans="1:17">
      <c r="A295" s="28">
        <f>ROW()-3</f>
        <v>292</v>
      </c>
      <c r="B295" s="29" t="s">
        <v>951</v>
      </c>
      <c r="C295" s="29" t="s">
        <v>20</v>
      </c>
      <c r="D295" s="29" t="s">
        <v>952</v>
      </c>
      <c r="E295" s="29" t="s">
        <v>953</v>
      </c>
      <c r="F295" s="29" t="s">
        <v>954</v>
      </c>
      <c r="G295" s="28" t="s">
        <v>315</v>
      </c>
      <c r="H295" s="29" t="s">
        <v>955</v>
      </c>
      <c r="I295" s="34" t="s">
        <v>956</v>
      </c>
      <c r="J295" s="35" t="str">
        <f>I295</f>
        <v>2027-5-7</v>
      </c>
      <c r="K295" s="28" t="str">
        <f>LEFT(J295,7)</f>
        <v>2027-5-</v>
      </c>
      <c r="L295" s="28" t="s">
        <v>27</v>
      </c>
      <c r="M295" s="29" t="s">
        <v>809</v>
      </c>
      <c r="N295" s="28" t="s">
        <v>29</v>
      </c>
      <c r="O295" s="28" t="s">
        <v>957</v>
      </c>
      <c r="P295" s="28" t="s">
        <v>247</v>
      </c>
      <c r="Q295" s="29" t="s">
        <v>958</v>
      </c>
    </row>
    <row r="296" s="23" customFormat="1" ht="45" customHeight="1" spans="1:17">
      <c r="A296" s="28">
        <f>ROW()-3</f>
        <v>293</v>
      </c>
      <c r="B296" s="29" t="s">
        <v>959</v>
      </c>
      <c r="C296" s="29" t="s">
        <v>20</v>
      </c>
      <c r="D296" s="29" t="s">
        <v>960</v>
      </c>
      <c r="E296" s="29" t="s">
        <v>961</v>
      </c>
      <c r="F296" s="29" t="s">
        <v>962</v>
      </c>
      <c r="G296" s="28" t="s">
        <v>315</v>
      </c>
      <c r="H296" s="29" t="s">
        <v>963</v>
      </c>
      <c r="I296" s="34" t="s">
        <v>964</v>
      </c>
      <c r="J296" s="38" t="str">
        <f>I296</f>
        <v>2025-9-10</v>
      </c>
      <c r="K296" s="28" t="str">
        <f>LEFT(J296,7)</f>
        <v>2025-9-</v>
      </c>
      <c r="L296" s="39" t="s">
        <v>965</v>
      </c>
      <c r="M296" s="29" t="s">
        <v>841</v>
      </c>
      <c r="N296" s="28" t="s">
        <v>29</v>
      </c>
      <c r="O296" s="28" t="s">
        <v>957</v>
      </c>
      <c r="P296" s="28" t="s">
        <v>247</v>
      </c>
      <c r="Q296" s="29" t="s">
        <v>878</v>
      </c>
    </row>
    <row r="297" s="23" customFormat="1" ht="45" customHeight="1" spans="1:17">
      <c r="A297" s="28">
        <f>ROW()-3</f>
        <v>294</v>
      </c>
      <c r="B297" s="29" t="s">
        <v>966</v>
      </c>
      <c r="C297" s="29" t="s">
        <v>20</v>
      </c>
      <c r="D297" s="29" t="s">
        <v>967</v>
      </c>
      <c r="E297" s="29" t="s">
        <v>968</v>
      </c>
      <c r="F297" s="29" t="s">
        <v>969</v>
      </c>
      <c r="G297" s="28" t="s">
        <v>315</v>
      </c>
      <c r="H297" s="29" t="s">
        <v>970</v>
      </c>
      <c r="I297" s="34" t="s">
        <v>971</v>
      </c>
      <c r="J297" s="35" t="str">
        <f>I297</f>
        <v>2026-3-22</v>
      </c>
      <c r="K297" s="28" t="str">
        <f>LEFT(J297,7)</f>
        <v>2026-3-</v>
      </c>
      <c r="L297" s="28" t="s">
        <v>27</v>
      </c>
      <c r="M297" s="29" t="s">
        <v>809</v>
      </c>
      <c r="N297" s="28" t="s">
        <v>29</v>
      </c>
      <c r="O297" s="28" t="s">
        <v>957</v>
      </c>
      <c r="P297" s="28" t="s">
        <v>247</v>
      </c>
      <c r="Q297" s="29" t="s">
        <v>886</v>
      </c>
    </row>
    <row r="298" s="23" customFormat="1" ht="45" customHeight="1" spans="1:17">
      <c r="A298" s="28">
        <f>ROW()-3</f>
        <v>295</v>
      </c>
      <c r="B298" s="29" t="s">
        <v>972</v>
      </c>
      <c r="C298" s="29" t="s">
        <v>20</v>
      </c>
      <c r="D298" s="29" t="s">
        <v>967</v>
      </c>
      <c r="E298" s="29" t="s">
        <v>973</v>
      </c>
      <c r="F298" s="29" t="s">
        <v>974</v>
      </c>
      <c r="G298" s="28" t="s">
        <v>315</v>
      </c>
      <c r="H298" s="29" t="s">
        <v>818</v>
      </c>
      <c r="I298" s="34" t="s">
        <v>818</v>
      </c>
      <c r="J298" s="35" t="str">
        <f>I298</f>
        <v>-</v>
      </c>
      <c r="K298" s="28" t="str">
        <f>LEFT(J298,7)</f>
        <v>-</v>
      </c>
      <c r="L298" s="39" t="s">
        <v>965</v>
      </c>
      <c r="M298" s="29" t="s">
        <v>809</v>
      </c>
      <c r="N298" s="28" t="s">
        <v>29</v>
      </c>
      <c r="O298" s="28" t="s">
        <v>957</v>
      </c>
      <c r="P298" s="28" t="s">
        <v>247</v>
      </c>
      <c r="Q298" s="29" t="s">
        <v>894</v>
      </c>
    </row>
    <row r="299" s="23" customFormat="1" ht="45" customHeight="1" spans="1:17">
      <c r="A299" s="28">
        <f>ROW()-3</f>
        <v>296</v>
      </c>
      <c r="B299" s="29" t="s">
        <v>975</v>
      </c>
      <c r="C299" s="29" t="s">
        <v>20</v>
      </c>
      <c r="D299" s="29" t="s">
        <v>967</v>
      </c>
      <c r="E299" s="29" t="s">
        <v>968</v>
      </c>
      <c r="F299" s="29" t="s">
        <v>976</v>
      </c>
      <c r="G299" s="28" t="s">
        <v>315</v>
      </c>
      <c r="H299" s="29" t="s">
        <v>977</v>
      </c>
      <c r="I299" s="34" t="s">
        <v>978</v>
      </c>
      <c r="J299" s="35" t="str">
        <f>I299</f>
        <v>2026-4-25</v>
      </c>
      <c r="K299" s="28" t="str">
        <f>LEFT(J299,7)</f>
        <v>2026-4-</v>
      </c>
      <c r="L299" s="28" t="s">
        <v>27</v>
      </c>
      <c r="M299" s="29" t="s">
        <v>809</v>
      </c>
      <c r="N299" s="28" t="s">
        <v>29</v>
      </c>
      <c r="O299" s="28" t="s">
        <v>957</v>
      </c>
      <c r="P299" s="28" t="s">
        <v>247</v>
      </c>
      <c r="Q299" s="29" t="s">
        <v>875</v>
      </c>
    </row>
    <row r="300" s="23" customFormat="1" ht="45" customHeight="1" spans="1:17">
      <c r="A300" s="28">
        <f>ROW()-3</f>
        <v>297</v>
      </c>
      <c r="B300" s="29" t="s">
        <v>897</v>
      </c>
      <c r="C300" s="29" t="s">
        <v>20</v>
      </c>
      <c r="D300" s="29" t="s">
        <v>138</v>
      </c>
      <c r="E300" s="29" t="s">
        <v>898</v>
      </c>
      <c r="F300" s="29" t="s">
        <v>899</v>
      </c>
      <c r="G300" s="28" t="s">
        <v>36</v>
      </c>
      <c r="H300" s="29" t="s">
        <v>900</v>
      </c>
      <c r="I300" s="34" t="s">
        <v>901</v>
      </c>
      <c r="J300" s="29" t="s">
        <v>901</v>
      </c>
      <c r="K300" s="28" t="str">
        <f>LEFT(J300,7)</f>
        <v>2026-4-</v>
      </c>
      <c r="L300" s="28" t="s">
        <v>27</v>
      </c>
      <c r="M300" s="29" t="s">
        <v>28</v>
      </c>
      <c r="N300" s="28" t="s">
        <v>29</v>
      </c>
      <c r="O300" s="28" t="s">
        <v>30</v>
      </c>
      <c r="P300" s="28" t="s">
        <v>247</v>
      </c>
      <c r="Q300" s="29" t="s">
        <v>248</v>
      </c>
    </row>
    <row r="301" s="23" customFormat="1" ht="45" customHeight="1" spans="1:17">
      <c r="A301" s="28">
        <f>ROW()-3</f>
        <v>298</v>
      </c>
      <c r="B301" s="29" t="s">
        <v>897</v>
      </c>
      <c r="C301" s="29" t="s">
        <v>20</v>
      </c>
      <c r="D301" s="29" t="s">
        <v>138</v>
      </c>
      <c r="E301" s="29" t="s">
        <v>902</v>
      </c>
      <c r="F301" s="29" t="s">
        <v>903</v>
      </c>
      <c r="G301" s="28" t="s">
        <v>36</v>
      </c>
      <c r="H301" s="29" t="s">
        <v>900</v>
      </c>
      <c r="I301" s="34" t="s">
        <v>901</v>
      </c>
      <c r="J301" s="29" t="s">
        <v>901</v>
      </c>
      <c r="K301" s="28" t="str">
        <f>LEFT(J301,7)</f>
        <v>2026-4-</v>
      </c>
      <c r="L301" s="28" t="s">
        <v>27</v>
      </c>
      <c r="M301" s="29" t="s">
        <v>28</v>
      </c>
      <c r="N301" s="28" t="s">
        <v>29</v>
      </c>
      <c r="O301" s="28" t="s">
        <v>30</v>
      </c>
      <c r="P301" s="28" t="s">
        <v>247</v>
      </c>
      <c r="Q301" s="29" t="s">
        <v>248</v>
      </c>
    </row>
  </sheetData>
  <autoFilter xmlns:etc="http://www.wps.cn/officeDocument/2017/etCustomData" ref="A3:Q301" etc:filterBottomFollowUsedRange="0">
    <extLst/>
  </autoFilter>
  <mergeCells count="2">
    <mergeCell ref="A1:Q1"/>
    <mergeCell ref="A2:Q2"/>
  </mergeCells>
  <pageMargins left="0.196850393700787" right="0.196850393700787" top="0.196850393700787" bottom="0.196850393700787" header="0.511811023622047" footer="0.511811023622047"/>
  <pageSetup paperSize="9" scale="18" fitToHeight="0" orientation="landscape"/>
  <headerFooter/>
  <rowBreaks count="7" manualBreakCount="7">
    <brk id="50" max="16" man="1"/>
    <brk id="102" max="16" man="1"/>
    <brk id="173" max="16" man="1"/>
    <brk id="229" max="16" man="1"/>
    <brk id="284" max="16" man="1"/>
    <brk id="301" max="16383" man="1"/>
  </rowBreaks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34"/>
  <sheetViews>
    <sheetView view="pageBreakPreview" zoomScale="85" zoomScaleNormal="85" workbookViewId="0">
      <pane ySplit="3" topLeftCell="A270" activePane="bottomLeft" state="frozen"/>
      <selection/>
      <selection pane="bottomLeft" activeCell="N26" sqref="N26"/>
    </sheetView>
  </sheetViews>
  <sheetFormatPr defaultColWidth="10.2857142857143" defaultRowHeight="12.75" outlineLevelCol="6"/>
  <cols>
    <col min="1" max="1" width="5.71428571428571" customWidth="1"/>
    <col min="2" max="2" width="21.7142857142857" style="3" customWidth="1"/>
    <col min="3" max="3" width="17" style="3" customWidth="1"/>
    <col min="4" max="4" width="13.7142857142857" style="3" customWidth="1"/>
    <col min="5" max="5" width="16" style="3"/>
    <col min="6" max="6" width="28.7142857142857" style="3" customWidth="1"/>
    <col min="7" max="7" width="51.2857142857143" style="3" customWidth="1"/>
  </cols>
  <sheetData>
    <row r="1" ht="21.95" customHeight="1" spans="1:7">
      <c r="A1" s="11" t="s">
        <v>979</v>
      </c>
      <c r="B1" s="11"/>
      <c r="C1" s="11"/>
      <c r="D1" s="11"/>
      <c r="E1" s="11"/>
      <c r="F1" s="11"/>
      <c r="G1" s="11"/>
    </row>
    <row r="2" ht="15.95" customHeight="1" spans="1:7">
      <c r="A2" s="11"/>
      <c r="B2" s="11"/>
      <c r="C2" s="11"/>
      <c r="D2" s="11"/>
      <c r="E2" s="11"/>
      <c r="F2" s="11"/>
      <c r="G2" s="11"/>
    </row>
    <row r="3" ht="15.95" customHeight="1" spans="1:7">
      <c r="A3" s="12" t="s">
        <v>2</v>
      </c>
      <c r="B3" s="12" t="s">
        <v>5</v>
      </c>
      <c r="C3" s="12" t="s">
        <v>6</v>
      </c>
      <c r="D3" s="12" t="s">
        <v>7</v>
      </c>
      <c r="E3" s="12" t="s">
        <v>16</v>
      </c>
      <c r="F3" s="12" t="s">
        <v>17</v>
      </c>
      <c r="G3" s="12" t="s">
        <v>18</v>
      </c>
    </row>
    <row r="4" ht="14.85" customHeight="1" spans="2:7">
      <c r="B4" s="13" t="s">
        <v>21</v>
      </c>
      <c r="C4" s="13" t="s">
        <v>22</v>
      </c>
      <c r="D4" s="13" t="s">
        <v>23</v>
      </c>
      <c r="E4" s="14" t="s">
        <v>30</v>
      </c>
      <c r="F4" s="14" t="s">
        <v>31</v>
      </c>
      <c r="G4" s="14"/>
    </row>
    <row r="5" ht="14.85" customHeight="1" spans="2:7">
      <c r="B5" s="13" t="s">
        <v>33</v>
      </c>
      <c r="C5" s="13" t="s">
        <v>34</v>
      </c>
      <c r="D5" s="13" t="s">
        <v>35</v>
      </c>
      <c r="E5" s="14" t="s">
        <v>30</v>
      </c>
      <c r="F5" s="14" t="s">
        <v>31</v>
      </c>
      <c r="G5" s="14"/>
    </row>
    <row r="6" ht="14.85" customHeight="1" spans="2:7">
      <c r="B6" s="13" t="s">
        <v>41</v>
      </c>
      <c r="C6" s="13" t="s">
        <v>42</v>
      </c>
      <c r="D6" s="13" t="s">
        <v>43</v>
      </c>
      <c r="E6" s="14" t="s">
        <v>30</v>
      </c>
      <c r="F6" s="14" t="s">
        <v>31</v>
      </c>
      <c r="G6" s="14"/>
    </row>
    <row r="7" ht="14.85" customHeight="1" spans="2:7">
      <c r="B7" s="13" t="s">
        <v>980</v>
      </c>
      <c r="C7" s="13" t="s">
        <v>112</v>
      </c>
      <c r="D7" s="13" t="s">
        <v>981</v>
      </c>
      <c r="E7" s="14" t="s">
        <v>30</v>
      </c>
      <c r="F7" s="14" t="s">
        <v>31</v>
      </c>
      <c r="G7" s="14"/>
    </row>
    <row r="8" ht="14.85" customHeight="1" spans="2:7">
      <c r="B8" s="13" t="s">
        <v>982</v>
      </c>
      <c r="C8" s="13" t="s">
        <v>983</v>
      </c>
      <c r="D8" s="13" t="s">
        <v>984</v>
      </c>
      <c r="E8" s="14" t="s">
        <v>30</v>
      </c>
      <c r="F8" s="14" t="s">
        <v>61</v>
      </c>
      <c r="G8" s="14"/>
    </row>
    <row r="9" ht="14.85" customHeight="1" spans="2:7">
      <c r="B9" s="15" t="s">
        <v>985</v>
      </c>
      <c r="C9" s="15" t="s">
        <v>986</v>
      </c>
      <c r="D9" s="15" t="s">
        <v>987</v>
      </c>
      <c r="E9" s="16" t="s">
        <v>30</v>
      </c>
      <c r="F9" s="16" t="s">
        <v>124</v>
      </c>
      <c r="G9" s="16"/>
    </row>
    <row r="10" s="10" customFormat="1" ht="22.5" customHeight="1" spans="1:7">
      <c r="A10" s="17">
        <v>1</v>
      </c>
      <c r="B10" s="13" t="s">
        <v>48</v>
      </c>
      <c r="C10" s="13" t="s">
        <v>49</v>
      </c>
      <c r="D10" s="13" t="s">
        <v>50</v>
      </c>
      <c r="E10" s="14" t="s">
        <v>51</v>
      </c>
      <c r="F10" s="14" t="s">
        <v>31</v>
      </c>
      <c r="G10" s="14"/>
    </row>
    <row r="11" ht="14.85" customHeight="1" spans="2:7">
      <c r="B11" s="18" t="s">
        <v>53</v>
      </c>
      <c r="C11" s="18" t="s">
        <v>54</v>
      </c>
      <c r="D11" s="18" t="s">
        <v>55</v>
      </c>
      <c r="E11" s="19" t="s">
        <v>30</v>
      </c>
      <c r="F11" s="19" t="s">
        <v>31</v>
      </c>
      <c r="G11" s="19"/>
    </row>
    <row r="12" ht="14.85" customHeight="1" spans="2:7">
      <c r="B12" s="13" t="s">
        <v>982</v>
      </c>
      <c r="C12" s="13" t="s">
        <v>983</v>
      </c>
      <c r="D12" s="13" t="s">
        <v>988</v>
      </c>
      <c r="E12" s="14" t="s">
        <v>30</v>
      </c>
      <c r="F12" s="14" t="s">
        <v>31</v>
      </c>
      <c r="G12" s="14"/>
    </row>
    <row r="13" ht="14.85" customHeight="1" spans="2:7">
      <c r="B13" s="15" t="s">
        <v>989</v>
      </c>
      <c r="C13" s="15" t="s">
        <v>990</v>
      </c>
      <c r="D13" s="15" t="s">
        <v>991</v>
      </c>
      <c r="E13" s="16" t="s">
        <v>30</v>
      </c>
      <c r="F13" s="16" t="s">
        <v>61</v>
      </c>
      <c r="G13" s="16"/>
    </row>
    <row r="14" s="10" customFormat="1" ht="22.5" customHeight="1" spans="1:7">
      <c r="A14" s="17">
        <v>2</v>
      </c>
      <c r="B14" s="13" t="s">
        <v>48</v>
      </c>
      <c r="C14" s="13" t="s">
        <v>59</v>
      </c>
      <c r="D14" s="13" t="s">
        <v>60</v>
      </c>
      <c r="E14" s="14" t="s">
        <v>51</v>
      </c>
      <c r="F14" s="14" t="s">
        <v>61</v>
      </c>
      <c r="G14" s="14"/>
    </row>
    <row r="15" ht="14.85" customHeight="1" spans="2:7">
      <c r="B15" s="18" t="s">
        <v>63</v>
      </c>
      <c r="C15" s="18" t="s">
        <v>54</v>
      </c>
      <c r="D15" s="18" t="s">
        <v>64</v>
      </c>
      <c r="E15" s="19" t="s">
        <v>30</v>
      </c>
      <c r="F15" s="19" t="s">
        <v>61</v>
      </c>
      <c r="G15" s="19"/>
    </row>
    <row r="16" ht="14.85" customHeight="1" spans="2:7">
      <c r="B16" s="13" t="s">
        <v>33</v>
      </c>
      <c r="C16" s="13" t="s">
        <v>116</v>
      </c>
      <c r="D16" s="13" t="s">
        <v>992</v>
      </c>
      <c r="E16" s="14" t="s">
        <v>30</v>
      </c>
      <c r="F16" s="14" t="s">
        <v>61</v>
      </c>
      <c r="G16" s="14"/>
    </row>
    <row r="17" ht="14.85" customHeight="1" spans="2:7">
      <c r="B17" s="15" t="s">
        <v>66</v>
      </c>
      <c r="C17" s="15" t="s">
        <v>67</v>
      </c>
      <c r="D17" s="15" t="s">
        <v>68</v>
      </c>
      <c r="E17" s="16" t="s">
        <v>30</v>
      </c>
      <c r="F17" s="16" t="s">
        <v>71</v>
      </c>
      <c r="G17" s="15" t="s">
        <v>72</v>
      </c>
    </row>
    <row r="18" s="10" customFormat="1" ht="22.5" customHeight="1" spans="1:7">
      <c r="A18" s="17">
        <v>3</v>
      </c>
      <c r="B18" s="13" t="s">
        <v>48</v>
      </c>
      <c r="C18" s="13" t="s">
        <v>49</v>
      </c>
      <c r="D18" s="13" t="s">
        <v>86</v>
      </c>
      <c r="E18" s="14" t="s">
        <v>51</v>
      </c>
      <c r="F18" s="14" t="s">
        <v>87</v>
      </c>
      <c r="G18" s="14"/>
    </row>
    <row r="19" ht="14.85" customHeight="1" spans="2:7">
      <c r="B19" s="20" t="s">
        <v>460</v>
      </c>
      <c r="C19" s="20" t="s">
        <v>461</v>
      </c>
      <c r="D19" s="20" t="s">
        <v>993</v>
      </c>
      <c r="E19" s="21" t="s">
        <v>30</v>
      </c>
      <c r="F19" s="21" t="s">
        <v>166</v>
      </c>
      <c r="G19" s="21"/>
    </row>
    <row r="20" s="10" customFormat="1" ht="22.5" customHeight="1" spans="1:7">
      <c r="A20" s="17">
        <v>4</v>
      </c>
      <c r="B20" s="13" t="s">
        <v>48</v>
      </c>
      <c r="C20" s="13" t="s">
        <v>49</v>
      </c>
      <c r="D20" s="13" t="s">
        <v>231</v>
      </c>
      <c r="E20" s="14" t="s">
        <v>51</v>
      </c>
      <c r="F20" s="14" t="s">
        <v>166</v>
      </c>
      <c r="G20" s="14"/>
    </row>
    <row r="21" ht="14.85" customHeight="1" spans="2:7">
      <c r="B21" s="18" t="s">
        <v>41</v>
      </c>
      <c r="C21" s="18" t="s">
        <v>42</v>
      </c>
      <c r="D21" s="18" t="s">
        <v>82</v>
      </c>
      <c r="E21" s="19" t="s">
        <v>30</v>
      </c>
      <c r="F21" s="19" t="s">
        <v>61</v>
      </c>
      <c r="G21" s="19"/>
    </row>
    <row r="22" ht="14.85" customHeight="1" spans="2:7">
      <c r="B22" s="13" t="s">
        <v>460</v>
      </c>
      <c r="C22" s="13" t="s">
        <v>461</v>
      </c>
      <c r="D22" s="13" t="s">
        <v>994</v>
      </c>
      <c r="E22" s="14" t="s">
        <v>30</v>
      </c>
      <c r="F22" s="14" t="s">
        <v>71</v>
      </c>
      <c r="G22" s="14"/>
    </row>
    <row r="23" ht="14.85" customHeight="1" spans="2:7">
      <c r="B23" s="15" t="s">
        <v>982</v>
      </c>
      <c r="C23" s="15" t="s">
        <v>983</v>
      </c>
      <c r="D23" s="15" t="s">
        <v>995</v>
      </c>
      <c r="E23" s="16" t="s">
        <v>30</v>
      </c>
      <c r="F23" s="16" t="s">
        <v>87</v>
      </c>
      <c r="G23" s="16"/>
    </row>
    <row r="24" s="10" customFormat="1" ht="22.5" customHeight="1" spans="1:7">
      <c r="A24" s="17">
        <v>5</v>
      </c>
      <c r="B24" s="13" t="s">
        <v>48</v>
      </c>
      <c r="C24" s="13" t="s">
        <v>59</v>
      </c>
      <c r="D24" s="13" t="s">
        <v>357</v>
      </c>
      <c r="E24" s="14" t="s">
        <v>51</v>
      </c>
      <c r="F24" s="14" t="s">
        <v>358</v>
      </c>
      <c r="G24" s="14"/>
    </row>
    <row r="25" ht="14.85" customHeight="1" spans="2:7">
      <c r="B25" s="18" t="s">
        <v>89</v>
      </c>
      <c r="C25" s="18" t="s">
        <v>90</v>
      </c>
      <c r="D25" s="18" t="s">
        <v>91</v>
      </c>
      <c r="E25" s="19" t="s">
        <v>30</v>
      </c>
      <c r="F25" s="19" t="s">
        <v>87</v>
      </c>
      <c r="G25" s="19"/>
    </row>
    <row r="26" ht="14.85" customHeight="1" spans="2:7">
      <c r="B26" s="13" t="s">
        <v>41</v>
      </c>
      <c r="C26" s="13" t="s">
        <v>42</v>
      </c>
      <c r="D26" s="13" t="s">
        <v>96</v>
      </c>
      <c r="E26" s="14" t="s">
        <v>30</v>
      </c>
      <c r="F26" s="14" t="s">
        <v>87</v>
      </c>
      <c r="G26" s="14"/>
    </row>
    <row r="27" ht="14.85" customHeight="1" spans="2:7">
      <c r="B27" s="15" t="s">
        <v>985</v>
      </c>
      <c r="C27" s="15" t="s">
        <v>986</v>
      </c>
      <c r="D27" s="15" t="s">
        <v>996</v>
      </c>
      <c r="E27" s="16" t="s">
        <v>30</v>
      </c>
      <c r="F27" s="16" t="s">
        <v>136</v>
      </c>
      <c r="G27" s="16"/>
    </row>
    <row r="28" s="10" customFormat="1" ht="22.5" customHeight="1" spans="1:7">
      <c r="A28" s="17">
        <v>6</v>
      </c>
      <c r="B28" s="13" t="s">
        <v>48</v>
      </c>
      <c r="C28" s="13" t="s">
        <v>362</v>
      </c>
      <c r="D28" s="13" t="s">
        <v>363</v>
      </c>
      <c r="E28" s="14" t="s">
        <v>51</v>
      </c>
      <c r="F28" s="14" t="s">
        <v>364</v>
      </c>
      <c r="G28" s="14"/>
    </row>
    <row r="29" ht="14.85" customHeight="1" spans="2:7">
      <c r="B29" s="18" t="s">
        <v>107</v>
      </c>
      <c r="C29" s="18" t="s">
        <v>108</v>
      </c>
      <c r="D29" s="18" t="s">
        <v>997</v>
      </c>
      <c r="E29" s="19" t="s">
        <v>30</v>
      </c>
      <c r="F29" s="19" t="s">
        <v>71</v>
      </c>
      <c r="G29" s="18" t="s">
        <v>103</v>
      </c>
    </row>
    <row r="30" ht="14.85" customHeight="1" spans="2:7">
      <c r="B30" s="13" t="s">
        <v>66</v>
      </c>
      <c r="C30" s="13" t="s">
        <v>67</v>
      </c>
      <c r="D30" s="13" t="s">
        <v>105</v>
      </c>
      <c r="E30" s="14" t="s">
        <v>30</v>
      </c>
      <c r="F30" s="14" t="s">
        <v>71</v>
      </c>
      <c r="G30" s="13" t="s">
        <v>103</v>
      </c>
    </row>
    <row r="31" ht="14.85" customHeight="1" spans="2:7">
      <c r="B31" s="13" t="s">
        <v>107</v>
      </c>
      <c r="C31" s="13" t="s">
        <v>108</v>
      </c>
      <c r="D31" s="13" t="s">
        <v>109</v>
      </c>
      <c r="E31" s="14" t="s">
        <v>30</v>
      </c>
      <c r="F31" s="14" t="s">
        <v>71</v>
      </c>
      <c r="G31" s="13" t="s">
        <v>72</v>
      </c>
    </row>
    <row r="32" ht="14.85" customHeight="1" spans="2:7">
      <c r="B32" s="13" t="s">
        <v>138</v>
      </c>
      <c r="C32" s="13" t="s">
        <v>998</v>
      </c>
      <c r="D32" s="13" t="s">
        <v>999</v>
      </c>
      <c r="E32" s="14" t="s">
        <v>30</v>
      </c>
      <c r="F32" s="14" t="s">
        <v>143</v>
      </c>
      <c r="G32" s="14"/>
    </row>
    <row r="33" ht="14.85" customHeight="1" spans="2:7">
      <c r="B33" s="13" t="s">
        <v>111</v>
      </c>
      <c r="C33" s="13" t="s">
        <v>112</v>
      </c>
      <c r="D33" s="13" t="s">
        <v>113</v>
      </c>
      <c r="E33" s="14" t="s">
        <v>30</v>
      </c>
      <c r="F33" s="14" t="s">
        <v>87</v>
      </c>
      <c r="G33" s="14"/>
    </row>
    <row r="34" ht="14.85" customHeight="1" spans="2:7">
      <c r="B34" s="13" t="s">
        <v>989</v>
      </c>
      <c r="C34" s="13" t="s">
        <v>1000</v>
      </c>
      <c r="D34" s="13" t="s">
        <v>1001</v>
      </c>
      <c r="E34" s="14" t="s">
        <v>30</v>
      </c>
      <c r="F34" s="14" t="s">
        <v>358</v>
      </c>
      <c r="G34" s="14"/>
    </row>
    <row r="35" ht="14.85" customHeight="1" spans="2:7">
      <c r="B35" s="13" t="s">
        <v>115</v>
      </c>
      <c r="C35" s="13" t="s">
        <v>116</v>
      </c>
      <c r="D35" s="13" t="s">
        <v>117</v>
      </c>
      <c r="E35" s="14" t="s">
        <v>30</v>
      </c>
      <c r="F35" s="14" t="s">
        <v>87</v>
      </c>
      <c r="G35" s="14"/>
    </row>
    <row r="36" ht="14.85" customHeight="1" spans="2:7">
      <c r="B36" s="13" t="s">
        <v>53</v>
      </c>
      <c r="C36" s="13" t="s">
        <v>54</v>
      </c>
      <c r="D36" s="13" t="s">
        <v>119</v>
      </c>
      <c r="E36" s="14" t="s">
        <v>30</v>
      </c>
      <c r="F36" s="14" t="s">
        <v>87</v>
      </c>
      <c r="G36" s="14"/>
    </row>
    <row r="37" ht="14.85" customHeight="1" spans="2:7">
      <c r="B37" s="13" t="s">
        <v>121</v>
      </c>
      <c r="C37" s="13" t="s">
        <v>122</v>
      </c>
      <c r="D37" s="13" t="s">
        <v>123</v>
      </c>
      <c r="E37" s="14" t="s">
        <v>30</v>
      </c>
      <c r="F37" s="14" t="s">
        <v>124</v>
      </c>
      <c r="G37" s="14"/>
    </row>
    <row r="38" ht="14.85" customHeight="1" spans="2:7">
      <c r="B38" s="13" t="s">
        <v>126</v>
      </c>
      <c r="C38" s="13" t="s">
        <v>127</v>
      </c>
      <c r="D38" s="13" t="s">
        <v>128</v>
      </c>
      <c r="E38" s="14" t="s">
        <v>30</v>
      </c>
      <c r="F38" s="14" t="s">
        <v>129</v>
      </c>
      <c r="G38" s="14"/>
    </row>
    <row r="39" ht="14.85" customHeight="1" spans="2:7">
      <c r="B39" s="13" t="s">
        <v>1002</v>
      </c>
      <c r="C39" s="13" t="s">
        <v>131</v>
      </c>
      <c r="D39" s="13" t="s">
        <v>132</v>
      </c>
      <c r="E39" s="14" t="s">
        <v>30</v>
      </c>
      <c r="F39" s="14" t="s">
        <v>133</v>
      </c>
      <c r="G39" s="14"/>
    </row>
    <row r="40" ht="14.85" customHeight="1" spans="2:7">
      <c r="B40" s="13" t="s">
        <v>126</v>
      </c>
      <c r="C40" s="13" t="s">
        <v>131</v>
      </c>
      <c r="D40" s="13" t="s">
        <v>135</v>
      </c>
      <c r="E40" s="14" t="s">
        <v>30</v>
      </c>
      <c r="F40" s="14" t="s">
        <v>136</v>
      </c>
      <c r="G40" s="14"/>
    </row>
    <row r="41" ht="14.85" customHeight="1" spans="2:7">
      <c r="B41" s="15" t="s">
        <v>138</v>
      </c>
      <c r="C41" s="15" t="s">
        <v>139</v>
      </c>
      <c r="D41" s="15" t="s">
        <v>140</v>
      </c>
      <c r="E41" s="16" t="s">
        <v>30</v>
      </c>
      <c r="F41" s="16" t="s">
        <v>143</v>
      </c>
      <c r="G41" s="16"/>
    </row>
    <row r="42" s="10" customFormat="1" ht="22.5" customHeight="1" spans="1:7">
      <c r="A42" s="17">
        <v>7</v>
      </c>
      <c r="B42" s="13" t="s">
        <v>48</v>
      </c>
      <c r="C42" s="13" t="s">
        <v>366</v>
      </c>
      <c r="D42" s="13" t="s">
        <v>367</v>
      </c>
      <c r="E42" s="14" t="s">
        <v>51</v>
      </c>
      <c r="F42" s="14" t="s">
        <v>364</v>
      </c>
      <c r="G42" s="14"/>
    </row>
    <row r="43" ht="14.85" customHeight="1" spans="2:7">
      <c r="B43" s="18" t="s">
        <v>100</v>
      </c>
      <c r="C43" s="18" t="s">
        <v>149</v>
      </c>
      <c r="D43" s="18" t="s">
        <v>150</v>
      </c>
      <c r="E43" s="19" t="s">
        <v>30</v>
      </c>
      <c r="F43" s="19" t="s">
        <v>143</v>
      </c>
      <c r="G43" s="19"/>
    </row>
    <row r="44" ht="14.85" customHeight="1" spans="2:7">
      <c r="B44" s="13" t="s">
        <v>138</v>
      </c>
      <c r="C44" s="13" t="s">
        <v>152</v>
      </c>
      <c r="D44" s="13" t="s">
        <v>153</v>
      </c>
      <c r="E44" s="14" t="s">
        <v>30</v>
      </c>
      <c r="F44" s="14" t="s">
        <v>143</v>
      </c>
      <c r="G44" s="14"/>
    </row>
    <row r="45" ht="14.85" customHeight="1" spans="2:7">
      <c r="B45" s="13" t="s">
        <v>126</v>
      </c>
      <c r="C45" s="13" t="s">
        <v>122</v>
      </c>
      <c r="D45" s="13" t="s">
        <v>155</v>
      </c>
      <c r="E45" s="14" t="s">
        <v>30</v>
      </c>
      <c r="F45" s="14" t="s">
        <v>156</v>
      </c>
      <c r="G45" s="14"/>
    </row>
    <row r="46" ht="14.85" customHeight="1" spans="2:7">
      <c r="B46" s="13" t="s">
        <v>158</v>
      </c>
      <c r="C46" s="13" t="s">
        <v>159</v>
      </c>
      <c r="D46" s="13" t="s">
        <v>160</v>
      </c>
      <c r="E46" s="14" t="s">
        <v>30</v>
      </c>
      <c r="F46" s="14" t="s">
        <v>161</v>
      </c>
      <c r="G46" s="14"/>
    </row>
    <row r="47" ht="14.85" customHeight="1" spans="2:7">
      <c r="B47" s="15" t="s">
        <v>163</v>
      </c>
      <c r="C47" s="15" t="s">
        <v>164</v>
      </c>
      <c r="D47" s="15" t="s">
        <v>165</v>
      </c>
      <c r="E47" s="16" t="s">
        <v>30</v>
      </c>
      <c r="F47" s="16" t="s">
        <v>166</v>
      </c>
      <c r="G47" s="16"/>
    </row>
    <row r="48" s="10" customFormat="1" ht="22.5" customHeight="1" spans="1:7">
      <c r="A48" s="17">
        <v>8</v>
      </c>
      <c r="B48" s="13" t="s">
        <v>48</v>
      </c>
      <c r="C48" s="13" t="s">
        <v>49</v>
      </c>
      <c r="D48" s="13" t="s">
        <v>372</v>
      </c>
      <c r="E48" s="14" t="s">
        <v>51</v>
      </c>
      <c r="F48" s="14" t="s">
        <v>166</v>
      </c>
      <c r="G48" s="14"/>
    </row>
    <row r="49" ht="14.85" customHeight="1" spans="2:7">
      <c r="B49" s="18" t="s">
        <v>111</v>
      </c>
      <c r="C49" s="18" t="s">
        <v>112</v>
      </c>
      <c r="D49" s="18" t="s">
        <v>171</v>
      </c>
      <c r="E49" s="19" t="s">
        <v>30</v>
      </c>
      <c r="F49" s="19" t="s">
        <v>166</v>
      </c>
      <c r="G49" s="19"/>
    </row>
    <row r="50" ht="14.85" customHeight="1" spans="2:7">
      <c r="B50" s="13" t="s">
        <v>138</v>
      </c>
      <c r="C50" s="13" t="s">
        <v>173</v>
      </c>
      <c r="D50" s="13" t="s">
        <v>174</v>
      </c>
      <c r="E50" s="14" t="s">
        <v>30</v>
      </c>
      <c r="F50" s="14" t="s">
        <v>166</v>
      </c>
      <c r="G50" s="14"/>
    </row>
    <row r="51" ht="14.85" customHeight="1" spans="2:7">
      <c r="B51" s="15" t="s">
        <v>100</v>
      </c>
      <c r="C51" s="15" t="s">
        <v>176</v>
      </c>
      <c r="D51" s="15" t="s">
        <v>177</v>
      </c>
      <c r="E51" s="16" t="s">
        <v>30</v>
      </c>
      <c r="F51" s="16" t="s">
        <v>166</v>
      </c>
      <c r="G51" s="16"/>
    </row>
    <row r="52" s="10" customFormat="1" ht="22.5" customHeight="1" spans="1:7">
      <c r="A52" s="17">
        <v>9</v>
      </c>
      <c r="B52" s="13" t="s">
        <v>48</v>
      </c>
      <c r="C52" s="13" t="s">
        <v>49</v>
      </c>
      <c r="D52" s="13" t="s">
        <v>381</v>
      </c>
      <c r="E52" s="14" t="s">
        <v>51</v>
      </c>
      <c r="F52" s="14" t="s">
        <v>166</v>
      </c>
      <c r="G52" s="14"/>
    </row>
    <row r="53" s="10" customFormat="1" ht="22.5" customHeight="1" spans="1:7">
      <c r="A53" s="17">
        <v>10</v>
      </c>
      <c r="B53" s="13" t="s">
        <v>48</v>
      </c>
      <c r="C53" s="13" t="s">
        <v>852</v>
      </c>
      <c r="D53" s="13" t="s">
        <v>853</v>
      </c>
      <c r="E53" s="14" t="s">
        <v>51</v>
      </c>
      <c r="F53" s="14" t="s">
        <v>718</v>
      </c>
      <c r="G53" s="14"/>
    </row>
    <row r="54" s="10" customFormat="1" ht="22.5" customHeight="1" spans="1:7">
      <c r="A54" s="17">
        <v>11</v>
      </c>
      <c r="B54" s="13" t="s">
        <v>339</v>
      </c>
      <c r="C54" s="13" t="s">
        <v>340</v>
      </c>
      <c r="D54" s="13" t="s">
        <v>341</v>
      </c>
      <c r="E54" s="14" t="s">
        <v>51</v>
      </c>
      <c r="F54" s="14" t="s">
        <v>342</v>
      </c>
      <c r="G54" s="14"/>
    </row>
    <row r="55" ht="14.85" customHeight="1" spans="2:7">
      <c r="B55" s="18" t="s">
        <v>460</v>
      </c>
      <c r="C55" s="18" t="s">
        <v>461</v>
      </c>
      <c r="D55" s="18" t="s">
        <v>1003</v>
      </c>
      <c r="E55" s="19" t="s">
        <v>30</v>
      </c>
      <c r="F55" s="19" t="s">
        <v>166</v>
      </c>
      <c r="G55" s="19"/>
    </row>
    <row r="56" ht="14.85" customHeight="1" spans="2:7">
      <c r="B56" s="13" t="s">
        <v>138</v>
      </c>
      <c r="C56" s="13" t="s">
        <v>188</v>
      </c>
      <c r="D56" s="13" t="s">
        <v>189</v>
      </c>
      <c r="E56" s="14" t="s">
        <v>30</v>
      </c>
      <c r="F56" s="14" t="s">
        <v>143</v>
      </c>
      <c r="G56" s="14"/>
    </row>
    <row r="57" ht="14.85" customHeight="1" spans="2:7">
      <c r="B57" s="13" t="s">
        <v>466</v>
      </c>
      <c r="C57" s="13" t="s">
        <v>1004</v>
      </c>
      <c r="D57" s="13" t="s">
        <v>1005</v>
      </c>
      <c r="E57" s="14" t="s">
        <v>30</v>
      </c>
      <c r="F57" s="14" t="s">
        <v>364</v>
      </c>
      <c r="G57" s="14"/>
    </row>
    <row r="58" ht="14.85" customHeight="1" spans="2:7">
      <c r="B58" s="15" t="s">
        <v>100</v>
      </c>
      <c r="C58" s="15" t="s">
        <v>176</v>
      </c>
      <c r="D58" s="15" t="s">
        <v>191</v>
      </c>
      <c r="E58" s="16" t="s">
        <v>30</v>
      </c>
      <c r="F58" s="16" t="s">
        <v>143</v>
      </c>
      <c r="G58" s="16"/>
    </row>
    <row r="59" s="10" customFormat="1" ht="22.5" customHeight="1" spans="1:7">
      <c r="A59" s="17">
        <v>12</v>
      </c>
      <c r="B59" s="13" t="s">
        <v>335</v>
      </c>
      <c r="C59" s="13" t="s">
        <v>336</v>
      </c>
      <c r="D59" s="13" t="s">
        <v>337</v>
      </c>
      <c r="E59" s="14" t="s">
        <v>51</v>
      </c>
      <c r="F59" s="14" t="s">
        <v>166</v>
      </c>
      <c r="G59" s="14"/>
    </row>
    <row r="60" s="10" customFormat="1" ht="22.5" customHeight="1" spans="1:7">
      <c r="A60" s="17">
        <v>13</v>
      </c>
      <c r="B60" s="13" t="s">
        <v>210</v>
      </c>
      <c r="C60" s="13" t="s">
        <v>211</v>
      </c>
      <c r="D60" s="13" t="s">
        <v>212</v>
      </c>
      <c r="E60" s="14" t="s">
        <v>51</v>
      </c>
      <c r="F60" s="14" t="s">
        <v>166</v>
      </c>
      <c r="G60" s="14"/>
    </row>
    <row r="61" s="10" customFormat="1" ht="22.5" customHeight="1" spans="1:7">
      <c r="A61" s="17">
        <v>14</v>
      </c>
      <c r="B61" s="13" t="s">
        <v>210</v>
      </c>
      <c r="C61" s="13" t="s">
        <v>214</v>
      </c>
      <c r="D61" s="13" t="s">
        <v>215</v>
      </c>
      <c r="E61" s="14" t="s">
        <v>51</v>
      </c>
      <c r="F61" s="14" t="s">
        <v>166</v>
      </c>
      <c r="G61" s="14"/>
    </row>
    <row r="62" ht="14.85" customHeight="1" spans="2:7">
      <c r="B62" s="18" t="s">
        <v>200</v>
      </c>
      <c r="C62" s="18" t="s">
        <v>201</v>
      </c>
      <c r="D62" s="18" t="s">
        <v>202</v>
      </c>
      <c r="E62" s="19" t="s">
        <v>30</v>
      </c>
      <c r="F62" s="19" t="s">
        <v>166</v>
      </c>
      <c r="G62" s="19"/>
    </row>
    <row r="63" ht="14.85" customHeight="1" spans="2:7">
      <c r="B63" s="13" t="s">
        <v>206</v>
      </c>
      <c r="C63" s="13" t="s">
        <v>207</v>
      </c>
      <c r="D63" s="13" t="s">
        <v>208</v>
      </c>
      <c r="E63" s="14" t="s">
        <v>30</v>
      </c>
      <c r="F63" s="14" t="s">
        <v>166</v>
      </c>
      <c r="G63" s="14"/>
    </row>
    <row r="64" ht="14.85" customHeight="1" spans="2:7">
      <c r="B64" s="15" t="s">
        <v>985</v>
      </c>
      <c r="C64" s="15" t="s">
        <v>986</v>
      </c>
      <c r="D64" s="15" t="s">
        <v>1006</v>
      </c>
      <c r="E64" s="16" t="s">
        <v>30</v>
      </c>
      <c r="F64" s="16" t="s">
        <v>166</v>
      </c>
      <c r="G64" s="16"/>
    </row>
    <row r="65" s="10" customFormat="1" ht="22.5" customHeight="1" spans="1:7">
      <c r="A65" s="17">
        <v>15</v>
      </c>
      <c r="B65" s="13" t="s">
        <v>210</v>
      </c>
      <c r="C65" s="13" t="s">
        <v>211</v>
      </c>
      <c r="D65" s="13" t="s">
        <v>424</v>
      </c>
      <c r="E65" s="14" t="s">
        <v>51</v>
      </c>
      <c r="F65" s="14" t="s">
        <v>166</v>
      </c>
      <c r="G65" s="14"/>
    </row>
    <row r="66" s="10" customFormat="1" ht="22.5" customHeight="1" spans="1:7">
      <c r="A66" s="17">
        <v>16</v>
      </c>
      <c r="B66" s="13" t="s">
        <v>145</v>
      </c>
      <c r="C66" s="13" t="s">
        <v>146</v>
      </c>
      <c r="D66" s="13" t="s">
        <v>147</v>
      </c>
      <c r="E66" s="14" t="s">
        <v>51</v>
      </c>
      <c r="F66" s="14" t="s">
        <v>143</v>
      </c>
      <c r="G66" s="14"/>
    </row>
    <row r="67" ht="14.85" customHeight="1" spans="2:7">
      <c r="B67" s="18" t="s">
        <v>982</v>
      </c>
      <c r="C67" s="18" t="s">
        <v>1007</v>
      </c>
      <c r="D67" s="18" t="s">
        <v>1008</v>
      </c>
      <c r="E67" s="19" t="s">
        <v>30</v>
      </c>
      <c r="F67" s="19" t="s">
        <v>166</v>
      </c>
      <c r="G67" s="19"/>
    </row>
    <row r="68" ht="14.85" customHeight="1" spans="2:7">
      <c r="B68" s="13" t="s">
        <v>217</v>
      </c>
      <c r="C68" s="13" t="s">
        <v>218</v>
      </c>
      <c r="D68" s="13" t="s">
        <v>219</v>
      </c>
      <c r="E68" s="14" t="s">
        <v>30</v>
      </c>
      <c r="F68" s="14" t="s">
        <v>166</v>
      </c>
      <c r="G68" s="14"/>
    </row>
    <row r="69" ht="14.85" customHeight="1" spans="2:7">
      <c r="B69" s="13" t="s">
        <v>720</v>
      </c>
      <c r="C69" s="13" t="s">
        <v>1009</v>
      </c>
      <c r="D69" s="13" t="s">
        <v>1010</v>
      </c>
      <c r="E69" s="14" t="s">
        <v>30</v>
      </c>
      <c r="F69" s="14" t="s">
        <v>166</v>
      </c>
      <c r="G69" s="14"/>
    </row>
    <row r="70" ht="14.85" customHeight="1" spans="2:7">
      <c r="B70" s="13" t="s">
        <v>138</v>
      </c>
      <c r="C70" s="13" t="s">
        <v>221</v>
      </c>
      <c r="D70" s="13" t="s">
        <v>222</v>
      </c>
      <c r="E70" s="14" t="s">
        <v>30</v>
      </c>
      <c r="F70" s="14" t="s">
        <v>166</v>
      </c>
      <c r="G70" s="14"/>
    </row>
    <row r="71" ht="14.85" customHeight="1" spans="2:7">
      <c r="B71" s="13" t="s">
        <v>200</v>
      </c>
      <c r="C71" s="13" t="s">
        <v>474</v>
      </c>
      <c r="D71" s="13" t="s">
        <v>1011</v>
      </c>
      <c r="E71" s="14" t="s">
        <v>30</v>
      </c>
      <c r="F71" s="14" t="s">
        <v>166</v>
      </c>
      <c r="G71" s="14"/>
    </row>
    <row r="72" ht="14.85" customHeight="1" spans="2:7">
      <c r="B72" s="13" t="s">
        <v>115</v>
      </c>
      <c r="C72" s="13" t="s">
        <v>116</v>
      </c>
      <c r="D72" s="13" t="s">
        <v>226</v>
      </c>
      <c r="E72" s="14" t="s">
        <v>30</v>
      </c>
      <c r="F72" s="14" t="s">
        <v>166</v>
      </c>
      <c r="G72" s="14"/>
    </row>
    <row r="73" ht="14.85" customHeight="1" spans="2:7">
      <c r="B73" s="15" t="s">
        <v>228</v>
      </c>
      <c r="C73" s="15" t="s">
        <v>116</v>
      </c>
      <c r="D73" s="15" t="s">
        <v>229</v>
      </c>
      <c r="E73" s="16" t="s">
        <v>30</v>
      </c>
      <c r="F73" s="16" t="s">
        <v>166</v>
      </c>
      <c r="G73" s="16"/>
    </row>
    <row r="74" s="10" customFormat="1" ht="22.5" customHeight="1" spans="1:7">
      <c r="A74" s="17">
        <v>17</v>
      </c>
      <c r="B74" s="13" t="s">
        <v>145</v>
      </c>
      <c r="C74" s="13" t="s">
        <v>146</v>
      </c>
      <c r="D74" s="13" t="s">
        <v>181</v>
      </c>
      <c r="E74" s="14" t="s">
        <v>51</v>
      </c>
      <c r="F74" s="14" t="s">
        <v>166</v>
      </c>
      <c r="G74" s="14"/>
    </row>
    <row r="75" ht="14.85" customHeight="1" spans="2:7">
      <c r="B75" s="18" t="s">
        <v>53</v>
      </c>
      <c r="C75" s="18" t="s">
        <v>233</v>
      </c>
      <c r="D75" s="18" t="s">
        <v>234</v>
      </c>
      <c r="E75" s="19" t="s">
        <v>30</v>
      </c>
      <c r="F75" s="19" t="s">
        <v>166</v>
      </c>
      <c r="G75" s="19"/>
    </row>
    <row r="76" ht="14.85" customHeight="1" spans="2:7">
      <c r="B76" s="13" t="s">
        <v>53</v>
      </c>
      <c r="C76" s="13" t="s">
        <v>54</v>
      </c>
      <c r="D76" s="13" t="s">
        <v>236</v>
      </c>
      <c r="E76" s="14" t="s">
        <v>30</v>
      </c>
      <c r="F76" s="14" t="s">
        <v>166</v>
      </c>
      <c r="G76" s="14"/>
    </row>
    <row r="77" ht="14.85" customHeight="1" spans="2:7">
      <c r="B77" s="13" t="s">
        <v>238</v>
      </c>
      <c r="C77" s="13" t="s">
        <v>239</v>
      </c>
      <c r="D77" s="13" t="s">
        <v>240</v>
      </c>
      <c r="E77" s="14" t="s">
        <v>30</v>
      </c>
      <c r="F77" s="14" t="s">
        <v>166</v>
      </c>
      <c r="G77" s="14"/>
    </row>
    <row r="78" ht="14.85" customHeight="1" spans="2:7">
      <c r="B78" s="13" t="s">
        <v>242</v>
      </c>
      <c r="C78" s="13" t="s">
        <v>243</v>
      </c>
      <c r="D78" s="13" t="s">
        <v>244</v>
      </c>
      <c r="E78" s="14" t="s">
        <v>30</v>
      </c>
      <c r="F78" s="14" t="s">
        <v>247</v>
      </c>
      <c r="G78" s="13" t="s">
        <v>248</v>
      </c>
    </row>
    <row r="79" ht="14.85" customHeight="1" spans="2:7">
      <c r="B79" s="13" t="s">
        <v>200</v>
      </c>
      <c r="C79" s="13" t="s">
        <v>250</v>
      </c>
      <c r="D79" s="13" t="s">
        <v>251</v>
      </c>
      <c r="E79" s="14" t="s">
        <v>30</v>
      </c>
      <c r="F79" s="14" t="s">
        <v>166</v>
      </c>
      <c r="G79" s="14"/>
    </row>
    <row r="80" ht="14.85" customHeight="1" spans="2:7">
      <c r="B80" s="13" t="s">
        <v>989</v>
      </c>
      <c r="C80" s="13" t="s">
        <v>1000</v>
      </c>
      <c r="D80" s="13" t="s">
        <v>1012</v>
      </c>
      <c r="E80" s="14" t="s">
        <v>30</v>
      </c>
      <c r="F80" s="14" t="s">
        <v>166</v>
      </c>
      <c r="G80" s="14"/>
    </row>
    <row r="81" ht="14.85" customHeight="1" spans="2:7">
      <c r="B81" s="13" t="s">
        <v>253</v>
      </c>
      <c r="C81" s="13" t="s">
        <v>254</v>
      </c>
      <c r="D81" s="13" t="s">
        <v>255</v>
      </c>
      <c r="E81" s="14" t="s">
        <v>30</v>
      </c>
      <c r="F81" s="14" t="s">
        <v>247</v>
      </c>
      <c r="G81" s="13" t="s">
        <v>256</v>
      </c>
    </row>
    <row r="82" ht="14.85" customHeight="1" spans="2:7">
      <c r="B82" s="13" t="s">
        <v>258</v>
      </c>
      <c r="C82" s="13" t="s">
        <v>259</v>
      </c>
      <c r="D82" s="13" t="s">
        <v>260</v>
      </c>
      <c r="E82" s="14" t="s">
        <v>30</v>
      </c>
      <c r="F82" s="14" t="s">
        <v>261</v>
      </c>
      <c r="G82" s="14"/>
    </row>
    <row r="83" ht="14.85" customHeight="1" spans="2:7">
      <c r="B83" s="13" t="s">
        <v>258</v>
      </c>
      <c r="C83" s="13" t="s">
        <v>259</v>
      </c>
      <c r="D83" s="13" t="s">
        <v>263</v>
      </c>
      <c r="E83" s="14" t="s">
        <v>30</v>
      </c>
      <c r="F83" s="14" t="s">
        <v>261</v>
      </c>
      <c r="G83" s="14"/>
    </row>
    <row r="84" ht="14.85" customHeight="1" spans="2:7">
      <c r="B84" s="13" t="s">
        <v>200</v>
      </c>
      <c r="C84" s="13" t="s">
        <v>250</v>
      </c>
      <c r="D84" s="13" t="s">
        <v>265</v>
      </c>
      <c r="E84" s="14" t="s">
        <v>30</v>
      </c>
      <c r="F84" s="14" t="s">
        <v>166</v>
      </c>
      <c r="G84" s="14"/>
    </row>
    <row r="85" ht="14.85" customHeight="1" spans="2:7">
      <c r="B85" s="13" t="s">
        <v>267</v>
      </c>
      <c r="C85" s="13" t="s">
        <v>268</v>
      </c>
      <c r="D85" s="13" t="s">
        <v>269</v>
      </c>
      <c r="E85" s="14" t="s">
        <v>30</v>
      </c>
      <c r="F85" s="14" t="s">
        <v>166</v>
      </c>
      <c r="G85" s="14"/>
    </row>
    <row r="86" ht="14.85" customHeight="1" spans="2:7">
      <c r="B86" s="15" t="s">
        <v>271</v>
      </c>
      <c r="C86" s="15" t="s">
        <v>272</v>
      </c>
      <c r="D86" s="15" t="s">
        <v>273</v>
      </c>
      <c r="E86" s="16" t="s">
        <v>30</v>
      </c>
      <c r="F86" s="16" t="s">
        <v>247</v>
      </c>
      <c r="G86" s="15" t="s">
        <v>256</v>
      </c>
    </row>
    <row r="87" s="10" customFormat="1" ht="22.5" customHeight="1" spans="1:7">
      <c r="A87" s="17">
        <v>18</v>
      </c>
      <c r="B87" s="13" t="s">
        <v>145</v>
      </c>
      <c r="C87" s="13" t="s">
        <v>193</v>
      </c>
      <c r="D87" s="13" t="s">
        <v>194</v>
      </c>
      <c r="E87" s="14" t="s">
        <v>51</v>
      </c>
      <c r="F87" s="14" t="s">
        <v>143</v>
      </c>
      <c r="G87" s="14"/>
    </row>
    <row r="88" ht="14.85" customHeight="1" spans="2:7">
      <c r="B88" s="18" t="s">
        <v>271</v>
      </c>
      <c r="C88" s="18" t="s">
        <v>278</v>
      </c>
      <c r="D88" s="18" t="s">
        <v>279</v>
      </c>
      <c r="E88" s="19" t="s">
        <v>30</v>
      </c>
      <c r="F88" s="19" t="s">
        <v>247</v>
      </c>
      <c r="G88" s="18" t="s">
        <v>256</v>
      </c>
    </row>
    <row r="89" ht="14.85" customHeight="1" spans="2:7">
      <c r="B89" s="13" t="s">
        <v>271</v>
      </c>
      <c r="C89" s="13" t="s">
        <v>278</v>
      </c>
      <c r="D89" s="13" t="s">
        <v>281</v>
      </c>
      <c r="E89" s="14" t="s">
        <v>30</v>
      </c>
      <c r="F89" s="14" t="s">
        <v>247</v>
      </c>
      <c r="G89" s="13" t="s">
        <v>256</v>
      </c>
    </row>
    <row r="90" ht="14.85" customHeight="1" spans="2:7">
      <c r="B90" s="13" t="s">
        <v>253</v>
      </c>
      <c r="C90" s="13" t="s">
        <v>254</v>
      </c>
      <c r="D90" s="13" t="s">
        <v>285</v>
      </c>
      <c r="E90" s="14" t="s">
        <v>30</v>
      </c>
      <c r="F90" s="14" t="s">
        <v>247</v>
      </c>
      <c r="G90" s="13" t="s">
        <v>256</v>
      </c>
    </row>
    <row r="91" ht="14.85" customHeight="1" spans="2:7">
      <c r="B91" s="15" t="s">
        <v>253</v>
      </c>
      <c r="C91" s="15" t="s">
        <v>254</v>
      </c>
      <c r="D91" s="15" t="s">
        <v>287</v>
      </c>
      <c r="E91" s="16" t="s">
        <v>30</v>
      </c>
      <c r="F91" s="16" t="s">
        <v>247</v>
      </c>
      <c r="G91" s="15" t="s">
        <v>256</v>
      </c>
    </row>
    <row r="92" s="10" customFormat="1" ht="22.5" customHeight="1" spans="1:7">
      <c r="A92" s="17">
        <v>19</v>
      </c>
      <c r="B92" s="13" t="s">
        <v>408</v>
      </c>
      <c r="C92" s="13" t="s">
        <v>409</v>
      </c>
      <c r="D92" s="13" t="s">
        <v>410</v>
      </c>
      <c r="E92" s="14" t="s">
        <v>51</v>
      </c>
      <c r="F92" s="14" t="s">
        <v>143</v>
      </c>
      <c r="G92" s="14"/>
    </row>
    <row r="93" ht="14.85" customHeight="1" spans="2:7">
      <c r="B93" s="18" t="s">
        <v>295</v>
      </c>
      <c r="C93" s="18" t="s">
        <v>296</v>
      </c>
      <c r="D93" s="18" t="s">
        <v>297</v>
      </c>
      <c r="E93" s="19" t="s">
        <v>30</v>
      </c>
      <c r="F93" s="19" t="s">
        <v>166</v>
      </c>
      <c r="G93" s="19"/>
    </row>
    <row r="94" ht="14.85" customHeight="1" spans="2:7">
      <c r="B94" s="13" t="s">
        <v>1013</v>
      </c>
      <c r="C94" s="13" t="s">
        <v>1014</v>
      </c>
      <c r="D94" s="13" t="s">
        <v>1015</v>
      </c>
      <c r="E94" s="14" t="s">
        <v>30</v>
      </c>
      <c r="F94" s="14" t="s">
        <v>247</v>
      </c>
      <c r="G94" s="13" t="s">
        <v>248</v>
      </c>
    </row>
    <row r="95" ht="14.85" customHeight="1" spans="2:7">
      <c r="B95" s="13" t="s">
        <v>271</v>
      </c>
      <c r="C95" s="13" t="s">
        <v>272</v>
      </c>
      <c r="D95" s="13" t="s">
        <v>301</v>
      </c>
      <c r="E95" s="14" t="s">
        <v>30</v>
      </c>
      <c r="F95" s="14" t="s">
        <v>247</v>
      </c>
      <c r="G95" s="13" t="s">
        <v>256</v>
      </c>
    </row>
    <row r="96" ht="14.85" customHeight="1" spans="2:7">
      <c r="B96" s="13" t="s">
        <v>271</v>
      </c>
      <c r="C96" s="13" t="s">
        <v>278</v>
      </c>
      <c r="D96" s="13" t="s">
        <v>303</v>
      </c>
      <c r="E96" s="14" t="s">
        <v>30</v>
      </c>
      <c r="F96" s="14" t="s">
        <v>247</v>
      </c>
      <c r="G96" s="13" t="s">
        <v>256</v>
      </c>
    </row>
    <row r="97" ht="14.85" customHeight="1" spans="2:7">
      <c r="B97" s="15" t="s">
        <v>305</v>
      </c>
      <c r="C97" s="15" t="s">
        <v>306</v>
      </c>
      <c r="D97" s="15" t="s">
        <v>307</v>
      </c>
      <c r="E97" s="16" t="s">
        <v>30</v>
      </c>
      <c r="F97" s="16" t="s">
        <v>166</v>
      </c>
      <c r="G97" s="16"/>
    </row>
    <row r="98" s="10" customFormat="1" ht="22.5" customHeight="1" spans="1:7">
      <c r="A98" s="17">
        <v>20</v>
      </c>
      <c r="B98" s="13" t="s">
        <v>74</v>
      </c>
      <c r="C98" s="13" t="s">
        <v>75</v>
      </c>
      <c r="D98" s="13" t="s">
        <v>76</v>
      </c>
      <c r="E98" s="14" t="s">
        <v>51</v>
      </c>
      <c r="F98" s="14" t="s">
        <v>71</v>
      </c>
      <c r="G98" s="14"/>
    </row>
    <row r="99" ht="14.85" customHeight="1" spans="2:7">
      <c r="B99" s="18" t="s">
        <v>312</v>
      </c>
      <c r="C99" s="18" t="s">
        <v>313</v>
      </c>
      <c r="D99" s="18" t="s">
        <v>314</v>
      </c>
      <c r="E99" s="19" t="s">
        <v>30</v>
      </c>
      <c r="F99" s="19" t="s">
        <v>247</v>
      </c>
      <c r="G99" s="18" t="s">
        <v>248</v>
      </c>
    </row>
    <row r="100" ht="14.85" customHeight="1" spans="2:7">
      <c r="B100" s="13" t="s">
        <v>1016</v>
      </c>
      <c r="C100" s="13" t="s">
        <v>1017</v>
      </c>
      <c r="D100" s="13" t="s">
        <v>1018</v>
      </c>
      <c r="E100" s="14" t="s">
        <v>30</v>
      </c>
      <c r="F100" s="14" t="s">
        <v>247</v>
      </c>
      <c r="G100" s="13" t="s">
        <v>756</v>
      </c>
    </row>
    <row r="101" ht="14.85" customHeight="1" spans="2:7">
      <c r="B101" s="13" t="s">
        <v>1016</v>
      </c>
      <c r="C101" s="13" t="s">
        <v>1017</v>
      </c>
      <c r="D101" s="13" t="s">
        <v>1019</v>
      </c>
      <c r="E101" s="14" t="s">
        <v>30</v>
      </c>
      <c r="F101" s="14" t="s">
        <v>247</v>
      </c>
      <c r="G101" s="13" t="s">
        <v>756</v>
      </c>
    </row>
    <row r="102" ht="14.85" customHeight="1" spans="2:7">
      <c r="B102" s="13" t="s">
        <v>1020</v>
      </c>
      <c r="C102" s="13" t="s">
        <v>1021</v>
      </c>
      <c r="D102" s="13" t="s">
        <v>1022</v>
      </c>
      <c r="E102" s="14" t="s">
        <v>30</v>
      </c>
      <c r="F102" s="14" t="s">
        <v>247</v>
      </c>
      <c r="G102" s="13" t="s">
        <v>256</v>
      </c>
    </row>
    <row r="103" ht="14.85" customHeight="1" spans="2:7">
      <c r="B103" s="13" t="s">
        <v>317</v>
      </c>
      <c r="C103" s="13" t="s">
        <v>318</v>
      </c>
      <c r="D103" s="13" t="s">
        <v>319</v>
      </c>
      <c r="E103" s="14" t="s">
        <v>30</v>
      </c>
      <c r="F103" s="14" t="s">
        <v>143</v>
      </c>
      <c r="G103" s="14"/>
    </row>
    <row r="104" ht="14.85" customHeight="1" spans="2:7">
      <c r="B104" s="13" t="s">
        <v>321</v>
      </c>
      <c r="C104" s="13" t="s">
        <v>322</v>
      </c>
      <c r="D104" s="13" t="s">
        <v>323</v>
      </c>
      <c r="E104" s="14" t="s">
        <v>30</v>
      </c>
      <c r="F104" s="14" t="s">
        <v>166</v>
      </c>
      <c r="G104" s="14"/>
    </row>
    <row r="105" ht="14.85" customHeight="1" spans="2:7">
      <c r="B105" s="15" t="s">
        <v>321</v>
      </c>
      <c r="C105" s="15" t="s">
        <v>322</v>
      </c>
      <c r="D105" s="15" t="s">
        <v>327</v>
      </c>
      <c r="E105" s="16" t="s">
        <v>30</v>
      </c>
      <c r="F105" s="16" t="s">
        <v>166</v>
      </c>
      <c r="G105" s="16"/>
    </row>
    <row r="106" s="10" customFormat="1" ht="22.5" customHeight="1" spans="1:7">
      <c r="A106" s="17">
        <v>21</v>
      </c>
      <c r="B106" s="13" t="s">
        <v>74</v>
      </c>
      <c r="C106" s="13" t="s">
        <v>75</v>
      </c>
      <c r="D106" s="13" t="s">
        <v>79</v>
      </c>
      <c r="E106" s="14" t="s">
        <v>51</v>
      </c>
      <c r="F106" s="14" t="s">
        <v>80</v>
      </c>
      <c r="G106" s="14"/>
    </row>
    <row r="107" s="10" customFormat="1" ht="22.5" customHeight="1" spans="1:7">
      <c r="A107" s="17">
        <v>22</v>
      </c>
      <c r="B107" s="13" t="s">
        <v>74</v>
      </c>
      <c r="C107" s="13" t="s">
        <v>289</v>
      </c>
      <c r="D107" s="13" t="s">
        <v>290</v>
      </c>
      <c r="E107" s="14" t="s">
        <v>51</v>
      </c>
      <c r="F107" s="14" t="s">
        <v>293</v>
      </c>
      <c r="G107" s="14"/>
    </row>
    <row r="108" s="10" customFormat="1" ht="22.5" customHeight="1" spans="1:7">
      <c r="A108" s="17">
        <v>23</v>
      </c>
      <c r="B108" s="13" t="s">
        <v>74</v>
      </c>
      <c r="C108" s="13" t="s">
        <v>309</v>
      </c>
      <c r="D108" s="13" t="s">
        <v>310</v>
      </c>
      <c r="E108" s="14" t="s">
        <v>51</v>
      </c>
      <c r="F108" s="14" t="s">
        <v>293</v>
      </c>
      <c r="G108" s="14"/>
    </row>
    <row r="109" s="10" customFormat="1" ht="22.5" customHeight="1" spans="1:7">
      <c r="A109" s="17">
        <v>24</v>
      </c>
      <c r="B109" s="13" t="s">
        <v>74</v>
      </c>
      <c r="C109" s="13" t="s">
        <v>309</v>
      </c>
      <c r="D109" s="13" t="s">
        <v>329</v>
      </c>
      <c r="E109" s="14" t="s">
        <v>51</v>
      </c>
      <c r="F109" s="14" t="s">
        <v>293</v>
      </c>
      <c r="G109" s="14"/>
    </row>
    <row r="110" s="10" customFormat="1" ht="22.5" customHeight="1" spans="1:7">
      <c r="A110" s="17">
        <v>25</v>
      </c>
      <c r="B110" s="13" t="s">
        <v>74</v>
      </c>
      <c r="C110" s="13" t="s">
        <v>309</v>
      </c>
      <c r="D110" s="13" t="s">
        <v>331</v>
      </c>
      <c r="E110" s="14" t="s">
        <v>51</v>
      </c>
      <c r="F110" s="14" t="s">
        <v>293</v>
      </c>
      <c r="G110" s="14"/>
    </row>
    <row r="111" ht="14.85" customHeight="1" spans="2:7">
      <c r="B111" s="18" t="s">
        <v>1023</v>
      </c>
      <c r="C111" s="18" t="s">
        <v>1024</v>
      </c>
      <c r="D111" s="18" t="s">
        <v>1025</v>
      </c>
      <c r="E111" s="19" t="s">
        <v>30</v>
      </c>
      <c r="F111" s="19" t="s">
        <v>247</v>
      </c>
      <c r="G111" s="18" t="s">
        <v>346</v>
      </c>
    </row>
    <row r="112" ht="14.85" customHeight="1" spans="2:7">
      <c r="B112" s="13" t="s">
        <v>1023</v>
      </c>
      <c r="C112" s="13" t="s">
        <v>1026</v>
      </c>
      <c r="D112" s="13" t="s">
        <v>1027</v>
      </c>
      <c r="E112" s="14" t="s">
        <v>30</v>
      </c>
      <c r="F112" s="14" t="s">
        <v>247</v>
      </c>
      <c r="G112" s="13" t="s">
        <v>346</v>
      </c>
    </row>
    <row r="113" ht="14.85" customHeight="1" spans="2:7">
      <c r="B113" s="13" t="s">
        <v>1023</v>
      </c>
      <c r="C113" s="13" t="s">
        <v>1024</v>
      </c>
      <c r="D113" s="13" t="s">
        <v>1028</v>
      </c>
      <c r="E113" s="14" t="s">
        <v>30</v>
      </c>
      <c r="F113" s="14" t="s">
        <v>247</v>
      </c>
      <c r="G113" s="13" t="s">
        <v>346</v>
      </c>
    </row>
    <row r="114" ht="14.85" customHeight="1" spans="2:7">
      <c r="B114" s="13" t="s">
        <v>1029</v>
      </c>
      <c r="C114" s="13" t="s">
        <v>1030</v>
      </c>
      <c r="D114" s="13" t="s">
        <v>1031</v>
      </c>
      <c r="E114" s="14" t="s">
        <v>30</v>
      </c>
      <c r="F114" s="14" t="s">
        <v>143</v>
      </c>
      <c r="G114" s="14"/>
    </row>
    <row r="115" ht="14.85" customHeight="1" spans="2:7">
      <c r="B115" s="13" t="s">
        <v>351</v>
      </c>
      <c r="C115" s="13" t="s">
        <v>352</v>
      </c>
      <c r="D115" s="13" t="s">
        <v>353</v>
      </c>
      <c r="E115" s="14" t="s">
        <v>30</v>
      </c>
      <c r="F115" s="14" t="s">
        <v>143</v>
      </c>
      <c r="G115" s="14"/>
    </row>
    <row r="116" ht="14.85" customHeight="1" spans="2:7">
      <c r="B116" s="13" t="s">
        <v>1032</v>
      </c>
      <c r="C116" s="13" t="s">
        <v>837</v>
      </c>
      <c r="D116" s="13" t="s">
        <v>838</v>
      </c>
      <c r="E116" s="14" t="s">
        <v>30</v>
      </c>
      <c r="F116" s="14" t="s">
        <v>143</v>
      </c>
      <c r="G116" s="14"/>
    </row>
    <row r="117" ht="14.85" customHeight="1" spans="2:7">
      <c r="B117" s="13" t="s">
        <v>460</v>
      </c>
      <c r="C117" s="13" t="s">
        <v>769</v>
      </c>
      <c r="D117" s="13" t="s">
        <v>1033</v>
      </c>
      <c r="E117" s="14" t="s">
        <v>30</v>
      </c>
      <c r="F117" s="14" t="s">
        <v>80</v>
      </c>
      <c r="G117" s="13" t="s">
        <v>103</v>
      </c>
    </row>
    <row r="118" ht="14.85" customHeight="1" spans="2:7">
      <c r="B118" s="13" t="s">
        <v>460</v>
      </c>
      <c r="C118" s="13" t="s">
        <v>769</v>
      </c>
      <c r="D118" s="13" t="s">
        <v>1034</v>
      </c>
      <c r="E118" s="14" t="s">
        <v>30</v>
      </c>
      <c r="F118" s="14" t="s">
        <v>80</v>
      </c>
      <c r="G118" s="14"/>
    </row>
    <row r="119" ht="14.85" customHeight="1" spans="2:7">
      <c r="B119" s="13" t="s">
        <v>460</v>
      </c>
      <c r="C119" s="13" t="s">
        <v>769</v>
      </c>
      <c r="D119" s="13" t="s">
        <v>1035</v>
      </c>
      <c r="E119" s="14" t="s">
        <v>30</v>
      </c>
      <c r="F119" s="14" t="s">
        <v>247</v>
      </c>
      <c r="G119" s="13" t="s">
        <v>375</v>
      </c>
    </row>
    <row r="120" ht="14.85" customHeight="1" spans="2:7">
      <c r="B120" s="13" t="s">
        <v>460</v>
      </c>
      <c r="C120" s="13" t="s">
        <v>769</v>
      </c>
      <c r="D120" s="13" t="s">
        <v>1036</v>
      </c>
      <c r="E120" s="14" t="s">
        <v>30</v>
      </c>
      <c r="F120" s="14" t="s">
        <v>247</v>
      </c>
      <c r="G120" s="13" t="s">
        <v>375</v>
      </c>
    </row>
    <row r="121" ht="14.85" customHeight="1" spans="2:7">
      <c r="B121" s="13" t="s">
        <v>460</v>
      </c>
      <c r="C121" s="13" t="s">
        <v>769</v>
      </c>
      <c r="D121" s="13" t="s">
        <v>1037</v>
      </c>
      <c r="E121" s="14" t="s">
        <v>30</v>
      </c>
      <c r="F121" s="14" t="s">
        <v>247</v>
      </c>
      <c r="G121" s="13" t="s">
        <v>375</v>
      </c>
    </row>
    <row r="122" ht="14.85" customHeight="1" spans="2:7">
      <c r="B122" s="13" t="s">
        <v>1038</v>
      </c>
      <c r="C122" s="13" t="s">
        <v>603</v>
      </c>
      <c r="D122" s="13" t="s">
        <v>1039</v>
      </c>
      <c r="E122" s="14" t="s">
        <v>30</v>
      </c>
      <c r="F122" s="14" t="s">
        <v>129</v>
      </c>
      <c r="G122" s="13" t="s">
        <v>1040</v>
      </c>
    </row>
    <row r="123" ht="14.85" customHeight="1" spans="2:7">
      <c r="B123" s="13" t="s">
        <v>1038</v>
      </c>
      <c r="C123" s="13" t="s">
        <v>603</v>
      </c>
      <c r="D123" s="13" t="s">
        <v>1041</v>
      </c>
      <c r="E123" s="14" t="s">
        <v>30</v>
      </c>
      <c r="F123" s="14" t="s">
        <v>124</v>
      </c>
      <c r="G123" s="13" t="s">
        <v>1042</v>
      </c>
    </row>
    <row r="124" ht="14.85" customHeight="1" spans="2:7">
      <c r="B124" s="13" t="s">
        <v>460</v>
      </c>
      <c r="C124" s="13" t="s">
        <v>769</v>
      </c>
      <c r="D124" s="13" t="s">
        <v>1043</v>
      </c>
      <c r="E124" s="14" t="s">
        <v>30</v>
      </c>
      <c r="F124" s="14" t="s">
        <v>247</v>
      </c>
      <c r="G124" s="13" t="s">
        <v>375</v>
      </c>
    </row>
    <row r="125" ht="14.85" customHeight="1" spans="2:7">
      <c r="B125" s="13" t="s">
        <v>460</v>
      </c>
      <c r="C125" s="13" t="s">
        <v>769</v>
      </c>
      <c r="D125" s="13" t="s">
        <v>1044</v>
      </c>
      <c r="E125" s="14" t="s">
        <v>30</v>
      </c>
      <c r="F125" s="14" t="s">
        <v>80</v>
      </c>
      <c r="G125" s="14"/>
    </row>
    <row r="126" ht="14.85" customHeight="1" spans="2:7">
      <c r="B126" s="13" t="s">
        <v>460</v>
      </c>
      <c r="C126" s="13" t="s">
        <v>769</v>
      </c>
      <c r="D126" s="13" t="s">
        <v>1045</v>
      </c>
      <c r="E126" s="14" t="s">
        <v>30</v>
      </c>
      <c r="F126" s="14" t="s">
        <v>247</v>
      </c>
      <c r="G126" s="13" t="s">
        <v>375</v>
      </c>
    </row>
    <row r="127" ht="14.85" customHeight="1" spans="2:7">
      <c r="B127" s="13" t="s">
        <v>1038</v>
      </c>
      <c r="C127" s="13" t="s">
        <v>603</v>
      </c>
      <c r="D127" s="13" t="s">
        <v>1046</v>
      </c>
      <c r="E127" s="14" t="s">
        <v>30</v>
      </c>
      <c r="F127" s="14" t="s">
        <v>133</v>
      </c>
      <c r="G127" s="14"/>
    </row>
    <row r="128" ht="14.85" customHeight="1" spans="2:7">
      <c r="B128" s="13" t="s">
        <v>460</v>
      </c>
      <c r="C128" s="13" t="s">
        <v>461</v>
      </c>
      <c r="D128" s="13" t="s">
        <v>1047</v>
      </c>
      <c r="E128" s="14" t="s">
        <v>30</v>
      </c>
      <c r="F128" s="14" t="s">
        <v>358</v>
      </c>
      <c r="G128" s="14"/>
    </row>
    <row r="129" ht="14.85" customHeight="1" spans="2:7">
      <c r="B129" s="13" t="s">
        <v>460</v>
      </c>
      <c r="C129" s="13" t="s">
        <v>461</v>
      </c>
      <c r="D129" s="13" t="s">
        <v>1048</v>
      </c>
      <c r="E129" s="14" t="s">
        <v>30</v>
      </c>
      <c r="F129" s="14" t="s">
        <v>80</v>
      </c>
      <c r="G129" s="14"/>
    </row>
    <row r="130" ht="14.85" customHeight="1" spans="2:7">
      <c r="B130" s="13" t="s">
        <v>295</v>
      </c>
      <c r="C130" s="13" t="s">
        <v>1049</v>
      </c>
      <c r="D130" s="13" t="s">
        <v>1050</v>
      </c>
      <c r="E130" s="14" t="s">
        <v>30</v>
      </c>
      <c r="F130" s="14" t="s">
        <v>143</v>
      </c>
      <c r="G130" s="14"/>
    </row>
    <row r="131" ht="14.85" customHeight="1" spans="2:7">
      <c r="B131" s="13" t="s">
        <v>295</v>
      </c>
      <c r="C131" s="13" t="s">
        <v>1051</v>
      </c>
      <c r="D131" s="13" t="s">
        <v>1052</v>
      </c>
      <c r="E131" s="14" t="s">
        <v>30</v>
      </c>
      <c r="F131" s="14" t="s">
        <v>143</v>
      </c>
      <c r="G131" s="14"/>
    </row>
    <row r="132" ht="14.85" customHeight="1" spans="2:7">
      <c r="B132" s="13" t="s">
        <v>1038</v>
      </c>
      <c r="C132" s="13" t="s">
        <v>603</v>
      </c>
      <c r="D132" s="13" t="s">
        <v>1053</v>
      </c>
      <c r="E132" s="14" t="s">
        <v>30</v>
      </c>
      <c r="F132" s="14" t="s">
        <v>136</v>
      </c>
      <c r="G132" s="14"/>
    </row>
    <row r="133" ht="14.85" customHeight="1" spans="2:7">
      <c r="B133" s="13" t="s">
        <v>989</v>
      </c>
      <c r="C133" s="13" t="s">
        <v>990</v>
      </c>
      <c r="D133" s="13" t="s">
        <v>1054</v>
      </c>
      <c r="E133" s="14" t="s">
        <v>30</v>
      </c>
      <c r="F133" s="14" t="s">
        <v>247</v>
      </c>
      <c r="G133" s="13" t="s">
        <v>375</v>
      </c>
    </row>
    <row r="134" ht="14.85" customHeight="1" spans="2:7">
      <c r="B134" s="13" t="s">
        <v>1038</v>
      </c>
      <c r="C134" s="13" t="s">
        <v>603</v>
      </c>
      <c r="D134" s="13" t="s">
        <v>1055</v>
      </c>
      <c r="E134" s="14" t="s">
        <v>30</v>
      </c>
      <c r="F134" s="14" t="s">
        <v>431</v>
      </c>
      <c r="G134" s="14"/>
    </row>
    <row r="135" ht="14.85" customHeight="1" spans="2:7">
      <c r="B135" s="13" t="s">
        <v>1038</v>
      </c>
      <c r="C135" s="13" t="s">
        <v>603</v>
      </c>
      <c r="D135" s="13" t="s">
        <v>1056</v>
      </c>
      <c r="E135" s="14" t="s">
        <v>30</v>
      </c>
      <c r="F135" s="14" t="s">
        <v>161</v>
      </c>
      <c r="G135" s="14"/>
    </row>
    <row r="136" ht="14.85" customHeight="1" spans="2:7">
      <c r="B136" s="13" t="s">
        <v>1038</v>
      </c>
      <c r="C136" s="13" t="s">
        <v>603</v>
      </c>
      <c r="D136" s="13" t="s">
        <v>1057</v>
      </c>
      <c r="E136" s="14" t="s">
        <v>30</v>
      </c>
      <c r="F136" s="14" t="s">
        <v>156</v>
      </c>
      <c r="G136" s="14"/>
    </row>
    <row r="137" ht="14.85" customHeight="1" spans="2:7">
      <c r="B137" s="15" t="s">
        <v>1038</v>
      </c>
      <c r="C137" s="15" t="s">
        <v>603</v>
      </c>
      <c r="D137" s="15" t="s">
        <v>1058</v>
      </c>
      <c r="E137" s="16" t="s">
        <v>30</v>
      </c>
      <c r="F137" s="16" t="s">
        <v>452</v>
      </c>
      <c r="G137" s="16"/>
    </row>
    <row r="138" s="10" customFormat="1" ht="22.5" customHeight="1" spans="1:7">
      <c r="A138" s="17">
        <v>26</v>
      </c>
      <c r="B138" s="13" t="s">
        <v>74</v>
      </c>
      <c r="C138" s="13" t="s">
        <v>309</v>
      </c>
      <c r="D138" s="13" t="s">
        <v>333</v>
      </c>
      <c r="E138" s="14" t="s">
        <v>51</v>
      </c>
      <c r="F138" s="14" t="s">
        <v>293</v>
      </c>
      <c r="G138" s="14"/>
    </row>
    <row r="139" s="10" customFormat="1" ht="22.5" customHeight="1" spans="1:7">
      <c r="A139" s="17">
        <v>27</v>
      </c>
      <c r="B139" s="13" t="s">
        <v>74</v>
      </c>
      <c r="C139" s="13" t="s">
        <v>412</v>
      </c>
      <c r="D139" s="13" t="s">
        <v>413</v>
      </c>
      <c r="E139" s="14" t="s">
        <v>51</v>
      </c>
      <c r="F139" s="14" t="s">
        <v>293</v>
      </c>
      <c r="G139" s="14"/>
    </row>
    <row r="140" s="10" customFormat="1" ht="22.5" customHeight="1" spans="1:7">
      <c r="A140" s="17">
        <v>28</v>
      </c>
      <c r="B140" s="13" t="s">
        <v>74</v>
      </c>
      <c r="C140" s="13" t="s">
        <v>412</v>
      </c>
      <c r="D140" s="13" t="s">
        <v>415</v>
      </c>
      <c r="E140" s="14" t="s">
        <v>51</v>
      </c>
      <c r="F140" s="14" t="s">
        <v>293</v>
      </c>
      <c r="G140" s="14"/>
    </row>
    <row r="141" s="10" customFormat="1" ht="22.5" customHeight="1" spans="1:7">
      <c r="A141" s="17">
        <v>29</v>
      </c>
      <c r="B141" s="13" t="s">
        <v>74</v>
      </c>
      <c r="C141" s="13" t="s">
        <v>75</v>
      </c>
      <c r="D141" s="13" t="s">
        <v>422</v>
      </c>
      <c r="E141" s="14" t="s">
        <v>51</v>
      </c>
      <c r="F141" s="14" t="s">
        <v>71</v>
      </c>
      <c r="G141" s="14"/>
    </row>
    <row r="142" s="10" customFormat="1" ht="22.5" customHeight="1" spans="1:7">
      <c r="A142" s="17">
        <v>30</v>
      </c>
      <c r="B142" s="13" t="s">
        <v>74</v>
      </c>
      <c r="C142" s="13" t="s">
        <v>75</v>
      </c>
      <c r="D142" s="13" t="s">
        <v>426</v>
      </c>
      <c r="E142" s="14" t="s">
        <v>51</v>
      </c>
      <c r="F142" s="14" t="s">
        <v>420</v>
      </c>
      <c r="G142" s="14"/>
    </row>
    <row r="143" s="10" customFormat="1" ht="22.5" customHeight="1" spans="1:7">
      <c r="A143" s="17">
        <v>31</v>
      </c>
      <c r="B143" s="13" t="s">
        <v>74</v>
      </c>
      <c r="C143" s="13" t="s">
        <v>75</v>
      </c>
      <c r="D143" s="13" t="s">
        <v>428</v>
      </c>
      <c r="E143" s="14" t="s">
        <v>51</v>
      </c>
      <c r="F143" s="14" t="s">
        <v>420</v>
      </c>
      <c r="G143" s="14"/>
    </row>
    <row r="144" s="10" customFormat="1" ht="22.5" customHeight="1" spans="1:7">
      <c r="A144" s="17">
        <v>32</v>
      </c>
      <c r="B144" s="13" t="s">
        <v>74</v>
      </c>
      <c r="C144" s="13" t="s">
        <v>75</v>
      </c>
      <c r="D144" s="13" t="s">
        <v>430</v>
      </c>
      <c r="E144" s="14" t="s">
        <v>51</v>
      </c>
      <c r="F144" s="14" t="s">
        <v>431</v>
      </c>
      <c r="G144" s="14"/>
    </row>
    <row r="145" s="10" customFormat="1" ht="22.5" customHeight="1" spans="1:7">
      <c r="A145" s="17">
        <v>33</v>
      </c>
      <c r="B145" s="13" t="s">
        <v>74</v>
      </c>
      <c r="C145" s="13" t="s">
        <v>75</v>
      </c>
      <c r="D145" s="13" t="s">
        <v>433</v>
      </c>
      <c r="E145" s="14" t="s">
        <v>51</v>
      </c>
      <c r="F145" s="14" t="s">
        <v>1059</v>
      </c>
      <c r="G145" s="13"/>
    </row>
    <row r="146" s="10" customFormat="1" ht="22.5" customHeight="1" spans="1:7">
      <c r="A146" s="17">
        <v>34</v>
      </c>
      <c r="B146" s="13" t="s">
        <v>74</v>
      </c>
      <c r="C146" s="13" t="s">
        <v>75</v>
      </c>
      <c r="D146" s="13" t="s">
        <v>435</v>
      </c>
      <c r="E146" s="14" t="s">
        <v>51</v>
      </c>
      <c r="F146" s="14" t="s">
        <v>396</v>
      </c>
      <c r="G146" s="14"/>
    </row>
    <row r="147" s="10" customFormat="1" ht="22.5" customHeight="1" spans="1:7">
      <c r="A147" s="17">
        <v>35</v>
      </c>
      <c r="B147" s="13" t="s">
        <v>74</v>
      </c>
      <c r="C147" s="13" t="s">
        <v>75</v>
      </c>
      <c r="D147" s="13" t="s">
        <v>439</v>
      </c>
      <c r="E147" s="14" t="s">
        <v>51</v>
      </c>
      <c r="F147" s="14" t="s">
        <v>440</v>
      </c>
      <c r="G147" s="14"/>
    </row>
    <row r="148" s="10" customFormat="1" ht="22.5" customHeight="1" spans="1:7">
      <c r="A148" s="17">
        <v>36</v>
      </c>
      <c r="B148" s="13" t="s">
        <v>74</v>
      </c>
      <c r="C148" s="13" t="s">
        <v>75</v>
      </c>
      <c r="D148" s="13" t="s">
        <v>444</v>
      </c>
      <c r="E148" s="14" t="s">
        <v>51</v>
      </c>
      <c r="F148" s="14" t="s">
        <v>445</v>
      </c>
      <c r="G148" s="14"/>
    </row>
    <row r="149" s="10" customFormat="1" ht="22.5" customHeight="1" spans="1:7">
      <c r="A149" s="17">
        <v>37</v>
      </c>
      <c r="B149" s="13" t="s">
        <v>74</v>
      </c>
      <c r="C149" s="13" t="s">
        <v>75</v>
      </c>
      <c r="D149" s="13" t="s">
        <v>449</v>
      </c>
      <c r="E149" s="14" t="s">
        <v>51</v>
      </c>
      <c r="F149" s="14" t="s">
        <v>80</v>
      </c>
      <c r="G149" s="14"/>
    </row>
    <row r="150" s="10" customFormat="1" ht="22.5" customHeight="1" spans="1:7">
      <c r="A150" s="17">
        <v>38</v>
      </c>
      <c r="B150" s="13" t="s">
        <v>74</v>
      </c>
      <c r="C150" s="13" t="s">
        <v>75</v>
      </c>
      <c r="D150" s="13" t="s">
        <v>451</v>
      </c>
      <c r="E150" s="14" t="s">
        <v>51</v>
      </c>
      <c r="F150" s="14" t="s">
        <v>452</v>
      </c>
      <c r="G150" s="14"/>
    </row>
    <row r="151" s="10" customFormat="1" ht="22.5" customHeight="1" spans="1:7">
      <c r="A151" s="17">
        <v>39</v>
      </c>
      <c r="B151" s="13" t="s">
        <v>74</v>
      </c>
      <c r="C151" s="13" t="s">
        <v>75</v>
      </c>
      <c r="D151" s="13" t="s">
        <v>454</v>
      </c>
      <c r="E151" s="14" t="s">
        <v>51</v>
      </c>
      <c r="F151" s="14" t="s">
        <v>293</v>
      </c>
      <c r="G151" s="14"/>
    </row>
    <row r="152" s="10" customFormat="1" ht="22.5" customHeight="1" spans="1:7">
      <c r="A152" s="17">
        <v>40</v>
      </c>
      <c r="B152" s="13" t="s">
        <v>74</v>
      </c>
      <c r="C152" s="13" t="s">
        <v>75</v>
      </c>
      <c r="D152" s="13" t="s">
        <v>1060</v>
      </c>
      <c r="E152" s="14" t="s">
        <v>51</v>
      </c>
      <c r="F152" s="14" t="s">
        <v>1061</v>
      </c>
      <c r="G152" s="14"/>
    </row>
    <row r="153" s="10" customFormat="1" ht="22.5" customHeight="1" spans="1:7">
      <c r="A153" s="17">
        <v>41</v>
      </c>
      <c r="B153" s="13" t="s">
        <v>100</v>
      </c>
      <c r="C153" s="13" t="s">
        <v>101</v>
      </c>
      <c r="D153" s="13" t="s">
        <v>102</v>
      </c>
      <c r="E153" s="14" t="s">
        <v>51</v>
      </c>
      <c r="F153" s="14" t="s">
        <v>1062</v>
      </c>
      <c r="G153" s="13"/>
    </row>
    <row r="154" s="10" customFormat="1" ht="22.5" customHeight="1" spans="1:7">
      <c r="A154" s="17">
        <v>42</v>
      </c>
      <c r="B154" s="13" t="s">
        <v>100</v>
      </c>
      <c r="C154" s="13" t="s">
        <v>275</v>
      </c>
      <c r="D154" s="13" t="s">
        <v>276</v>
      </c>
      <c r="E154" s="14" t="s">
        <v>51</v>
      </c>
      <c r="F154" s="14" t="s">
        <v>166</v>
      </c>
      <c r="G154" s="14"/>
    </row>
    <row r="155" s="10" customFormat="1" ht="22.5" customHeight="1" spans="1:7">
      <c r="A155" s="17">
        <v>43</v>
      </c>
      <c r="B155" s="13" t="s">
        <v>100</v>
      </c>
      <c r="C155" s="13" t="s">
        <v>176</v>
      </c>
      <c r="D155" s="13" t="s">
        <v>360</v>
      </c>
      <c r="E155" s="14" t="s">
        <v>51</v>
      </c>
      <c r="F155" s="14" t="s">
        <v>358</v>
      </c>
      <c r="G155" s="14"/>
    </row>
    <row r="156" s="10" customFormat="1" ht="22.5" customHeight="1" spans="1:7">
      <c r="A156" s="17">
        <v>44</v>
      </c>
      <c r="B156" s="13" t="s">
        <v>100</v>
      </c>
      <c r="C156" s="13" t="s">
        <v>369</v>
      </c>
      <c r="D156" s="13" t="s">
        <v>370</v>
      </c>
      <c r="E156" s="14" t="s">
        <v>51</v>
      </c>
      <c r="F156" s="14" t="s">
        <v>293</v>
      </c>
      <c r="G156" s="14"/>
    </row>
    <row r="157" s="10" customFormat="1" ht="22.5" customHeight="1" spans="1:7">
      <c r="A157" s="17">
        <v>45</v>
      </c>
      <c r="B157" s="13" t="s">
        <v>100</v>
      </c>
      <c r="C157" s="13" t="s">
        <v>369</v>
      </c>
      <c r="D157" s="13" t="s">
        <v>374</v>
      </c>
      <c r="E157" s="14" t="s">
        <v>51</v>
      </c>
      <c r="F157" s="14" t="s">
        <v>1059</v>
      </c>
      <c r="G157" s="13"/>
    </row>
    <row r="158" s="10" customFormat="1" ht="22.5" customHeight="1" spans="1:7">
      <c r="A158" s="17">
        <v>46</v>
      </c>
      <c r="B158" s="13" t="s">
        <v>100</v>
      </c>
      <c r="C158" s="13" t="s">
        <v>377</v>
      </c>
      <c r="D158" s="13" t="s">
        <v>378</v>
      </c>
      <c r="E158" s="14" t="s">
        <v>51</v>
      </c>
      <c r="F158" s="14" t="s">
        <v>293</v>
      </c>
      <c r="G158" s="14"/>
    </row>
    <row r="159" s="10" customFormat="1" ht="22.5" customHeight="1" spans="1:7">
      <c r="A159" s="17">
        <v>47</v>
      </c>
      <c r="B159" s="13" t="s">
        <v>100</v>
      </c>
      <c r="C159" s="13" t="s">
        <v>377</v>
      </c>
      <c r="D159" s="13" t="s">
        <v>380</v>
      </c>
      <c r="E159" s="14" t="s">
        <v>51</v>
      </c>
      <c r="F159" s="14" t="s">
        <v>293</v>
      </c>
      <c r="G159" s="14"/>
    </row>
    <row r="160" s="10" customFormat="1" ht="22.5" customHeight="1" spans="1:7">
      <c r="A160" s="17">
        <v>48</v>
      </c>
      <c r="B160" s="13" t="s">
        <v>100</v>
      </c>
      <c r="C160" s="13" t="s">
        <v>383</v>
      </c>
      <c r="D160" s="13" t="s">
        <v>384</v>
      </c>
      <c r="E160" s="14" t="s">
        <v>51</v>
      </c>
      <c r="F160" s="14" t="s">
        <v>293</v>
      </c>
      <c r="G160" s="14"/>
    </row>
    <row r="161" s="10" customFormat="1" ht="22.5" customHeight="1" spans="1:7">
      <c r="A161" s="17">
        <v>49</v>
      </c>
      <c r="B161" s="13" t="s">
        <v>100</v>
      </c>
      <c r="C161" s="13" t="s">
        <v>383</v>
      </c>
      <c r="D161" s="13" t="s">
        <v>386</v>
      </c>
      <c r="E161" s="14" t="s">
        <v>51</v>
      </c>
      <c r="F161" s="14" t="s">
        <v>293</v>
      </c>
      <c r="G161" s="14"/>
    </row>
    <row r="162" s="10" customFormat="1" ht="22.5" customHeight="1" spans="1:7">
      <c r="A162" s="17">
        <v>50</v>
      </c>
      <c r="B162" s="13" t="s">
        <v>100</v>
      </c>
      <c r="C162" s="13" t="s">
        <v>388</v>
      </c>
      <c r="D162" s="13" t="s">
        <v>389</v>
      </c>
      <c r="E162" s="14" t="s">
        <v>51</v>
      </c>
      <c r="F162" s="14" t="s">
        <v>156</v>
      </c>
      <c r="G162" s="14"/>
    </row>
    <row r="163" s="10" customFormat="1" ht="22.5" customHeight="1" spans="1:7">
      <c r="A163" s="17">
        <v>51</v>
      </c>
      <c r="B163" s="13" t="s">
        <v>100</v>
      </c>
      <c r="C163" s="13" t="s">
        <v>391</v>
      </c>
      <c r="D163" s="13" t="s">
        <v>392</v>
      </c>
      <c r="E163" s="14" t="s">
        <v>51</v>
      </c>
      <c r="F163" s="14" t="s">
        <v>293</v>
      </c>
      <c r="G163" s="14"/>
    </row>
    <row r="164" s="10" customFormat="1" ht="22.5" customHeight="1" spans="1:7">
      <c r="A164" s="17">
        <v>52</v>
      </c>
      <c r="B164" s="13" t="s">
        <v>100</v>
      </c>
      <c r="C164" s="13" t="s">
        <v>394</v>
      </c>
      <c r="D164" s="13" t="s">
        <v>395</v>
      </c>
      <c r="E164" s="14" t="s">
        <v>51</v>
      </c>
      <c r="F164" s="14" t="s">
        <v>1063</v>
      </c>
      <c r="G164" s="13"/>
    </row>
    <row r="165" s="10" customFormat="1" ht="22.5" customHeight="1" spans="1:7">
      <c r="A165" s="17">
        <v>53</v>
      </c>
      <c r="B165" s="13" t="s">
        <v>100</v>
      </c>
      <c r="C165" s="13" t="s">
        <v>399</v>
      </c>
      <c r="D165" s="13" t="s">
        <v>400</v>
      </c>
      <c r="E165" s="14" t="s">
        <v>51</v>
      </c>
      <c r="F165" s="14" t="s">
        <v>1064</v>
      </c>
      <c r="G165" s="13"/>
    </row>
    <row r="166" ht="14.85" customHeight="1" spans="2:7">
      <c r="B166" s="18" t="s">
        <v>1065</v>
      </c>
      <c r="C166" s="18" t="s">
        <v>1066</v>
      </c>
      <c r="D166" s="18" t="s">
        <v>1067</v>
      </c>
      <c r="E166" s="19" t="s">
        <v>30</v>
      </c>
      <c r="F166" s="19" t="s">
        <v>247</v>
      </c>
      <c r="G166" s="18" t="s">
        <v>756</v>
      </c>
    </row>
    <row r="167" ht="14.85" customHeight="1" spans="2:7">
      <c r="B167" s="15" t="s">
        <v>1068</v>
      </c>
      <c r="C167" s="15" t="s">
        <v>1069</v>
      </c>
      <c r="D167" s="15" t="s">
        <v>1070</v>
      </c>
      <c r="E167" s="16" t="s">
        <v>30</v>
      </c>
      <c r="F167" s="16" t="s">
        <v>247</v>
      </c>
      <c r="G167" s="15" t="s">
        <v>756</v>
      </c>
    </row>
    <row r="168" s="10" customFormat="1" ht="22.5" customHeight="1" spans="1:7">
      <c r="A168" s="17">
        <v>54</v>
      </c>
      <c r="B168" s="13" t="s">
        <v>100</v>
      </c>
      <c r="C168" s="13" t="s">
        <v>394</v>
      </c>
      <c r="D168" s="13" t="s">
        <v>403</v>
      </c>
      <c r="E168" s="14" t="s">
        <v>51</v>
      </c>
      <c r="F168" s="14" t="s">
        <v>156</v>
      </c>
      <c r="G168" s="14"/>
    </row>
    <row r="169" s="10" customFormat="1" ht="22.5" customHeight="1" spans="1:7">
      <c r="A169" s="17">
        <v>55</v>
      </c>
      <c r="B169" s="13" t="s">
        <v>100</v>
      </c>
      <c r="C169" s="13" t="s">
        <v>399</v>
      </c>
      <c r="D169" s="13" t="s">
        <v>405</v>
      </c>
      <c r="E169" s="14" t="s">
        <v>51</v>
      </c>
      <c r="F169" s="14" t="s">
        <v>1071</v>
      </c>
      <c r="G169" s="13"/>
    </row>
    <row r="170" s="10" customFormat="1" ht="22.5" customHeight="1" spans="1:7">
      <c r="A170" s="17">
        <v>56</v>
      </c>
      <c r="B170" s="13" t="s">
        <v>100</v>
      </c>
      <c r="C170" s="13" t="s">
        <v>391</v>
      </c>
      <c r="D170" s="13" t="s">
        <v>417</v>
      </c>
      <c r="E170" s="14" t="s">
        <v>51</v>
      </c>
      <c r="F170" s="14" t="s">
        <v>293</v>
      </c>
      <c r="G170" s="14"/>
    </row>
    <row r="171" ht="14.85" customHeight="1" spans="2:7">
      <c r="B171" s="18" t="s">
        <v>53</v>
      </c>
      <c r="C171" s="18" t="s">
        <v>54</v>
      </c>
      <c r="D171" s="18" t="s">
        <v>1072</v>
      </c>
      <c r="E171" s="19" t="s">
        <v>30</v>
      </c>
      <c r="F171" s="19" t="s">
        <v>364</v>
      </c>
      <c r="G171" s="19"/>
    </row>
    <row r="172" ht="14.85" customHeight="1" spans="2:7">
      <c r="B172" s="13" t="s">
        <v>107</v>
      </c>
      <c r="C172" s="13" t="s">
        <v>108</v>
      </c>
      <c r="D172" s="13" t="s">
        <v>1073</v>
      </c>
      <c r="E172" s="14" t="s">
        <v>30</v>
      </c>
      <c r="F172" s="14" t="s">
        <v>247</v>
      </c>
      <c r="G172" s="13" t="s">
        <v>579</v>
      </c>
    </row>
    <row r="173" ht="14.85" customHeight="1" spans="2:7">
      <c r="B173" s="15" t="s">
        <v>33</v>
      </c>
      <c r="C173" s="15" t="s">
        <v>116</v>
      </c>
      <c r="D173" s="15" t="s">
        <v>1074</v>
      </c>
      <c r="E173" s="16" t="s">
        <v>30</v>
      </c>
      <c r="F173" s="16" t="s">
        <v>261</v>
      </c>
      <c r="G173" s="16"/>
    </row>
    <row r="174" s="10" customFormat="1" ht="22.5" customHeight="1" spans="1:7">
      <c r="A174" s="17">
        <v>57</v>
      </c>
      <c r="B174" s="13" t="s">
        <v>100</v>
      </c>
      <c r="C174" s="13" t="s">
        <v>176</v>
      </c>
      <c r="D174" s="13" t="s">
        <v>419</v>
      </c>
      <c r="E174" s="14" t="s">
        <v>51</v>
      </c>
      <c r="F174" s="14" t="s">
        <v>420</v>
      </c>
      <c r="G174" s="14"/>
    </row>
    <row r="175" s="10" customFormat="1" ht="22.5" customHeight="1" spans="1:7">
      <c r="A175" s="17">
        <v>58</v>
      </c>
      <c r="B175" s="13" t="s">
        <v>100</v>
      </c>
      <c r="C175" s="13" t="s">
        <v>176</v>
      </c>
      <c r="D175" s="13" t="s">
        <v>437</v>
      </c>
      <c r="E175" s="14" t="s">
        <v>51</v>
      </c>
      <c r="F175" s="14" t="s">
        <v>420</v>
      </c>
      <c r="G175" s="14"/>
    </row>
    <row r="176" s="10" customFormat="1" ht="22.5" customHeight="1" spans="1:7">
      <c r="A176" s="17">
        <v>59</v>
      </c>
      <c r="B176" s="13" t="s">
        <v>100</v>
      </c>
      <c r="C176" s="13" t="s">
        <v>176</v>
      </c>
      <c r="D176" s="13" t="s">
        <v>442</v>
      </c>
      <c r="E176" s="14" t="s">
        <v>51</v>
      </c>
      <c r="F176" s="14" t="s">
        <v>364</v>
      </c>
      <c r="G176" s="14"/>
    </row>
    <row r="177" s="10" customFormat="1" ht="22.5" customHeight="1" spans="1:7">
      <c r="A177" s="17">
        <v>60</v>
      </c>
      <c r="B177" s="13" t="s">
        <v>100</v>
      </c>
      <c r="C177" s="13" t="s">
        <v>399</v>
      </c>
      <c r="D177" s="13" t="s">
        <v>447</v>
      </c>
      <c r="E177" s="14" t="s">
        <v>51</v>
      </c>
      <c r="F177" s="14" t="s">
        <v>358</v>
      </c>
      <c r="G177" s="14"/>
    </row>
    <row r="178" s="10" customFormat="1" ht="22.5" customHeight="1" spans="1:7">
      <c r="A178" s="17">
        <v>61</v>
      </c>
      <c r="B178" s="13" t="s">
        <v>100</v>
      </c>
      <c r="C178" s="13" t="s">
        <v>176</v>
      </c>
      <c r="D178" s="13" t="s">
        <v>456</v>
      </c>
      <c r="E178" s="14" t="s">
        <v>51</v>
      </c>
      <c r="F178" s="14" t="s">
        <v>420</v>
      </c>
      <c r="G178" s="14"/>
    </row>
    <row r="179" s="10" customFormat="1" ht="22.5" customHeight="1" spans="1:7">
      <c r="A179" s="17">
        <v>62</v>
      </c>
      <c r="B179" s="13" t="s">
        <v>100</v>
      </c>
      <c r="C179" s="13" t="s">
        <v>176</v>
      </c>
      <c r="D179" s="13" t="s">
        <v>458</v>
      </c>
      <c r="E179" s="14" t="s">
        <v>51</v>
      </c>
      <c r="F179" s="14" t="s">
        <v>420</v>
      </c>
      <c r="G179" s="14"/>
    </row>
    <row r="180" s="10" customFormat="1" ht="22.5" customHeight="1" spans="1:7">
      <c r="A180" s="17">
        <v>63</v>
      </c>
      <c r="B180" s="13" t="s">
        <v>163</v>
      </c>
      <c r="C180" s="13" t="s">
        <v>168</v>
      </c>
      <c r="D180" s="13" t="s">
        <v>169</v>
      </c>
      <c r="E180" s="14" t="s">
        <v>51</v>
      </c>
      <c r="F180" s="14" t="s">
        <v>166</v>
      </c>
      <c r="G180" s="14"/>
    </row>
    <row r="181" ht="14.85" customHeight="1" spans="2:7">
      <c r="B181" s="18" t="s">
        <v>33</v>
      </c>
      <c r="C181" s="18" t="s">
        <v>116</v>
      </c>
      <c r="D181" s="18" t="s">
        <v>1075</v>
      </c>
      <c r="E181" s="19" t="s">
        <v>30</v>
      </c>
      <c r="F181" s="19" t="s">
        <v>535</v>
      </c>
      <c r="G181" s="19"/>
    </row>
    <row r="182" ht="14.85" customHeight="1" spans="2:7">
      <c r="B182" s="13" t="s">
        <v>1076</v>
      </c>
      <c r="C182" s="13" t="s">
        <v>34</v>
      </c>
      <c r="D182" s="13" t="s">
        <v>1077</v>
      </c>
      <c r="E182" s="14" t="s">
        <v>30</v>
      </c>
      <c r="F182" s="14" t="s">
        <v>166</v>
      </c>
      <c r="G182" s="14"/>
    </row>
    <row r="183" ht="14.85" customHeight="1" spans="2:7">
      <c r="B183" s="15" t="s">
        <v>33</v>
      </c>
      <c r="C183" s="15" t="s">
        <v>34</v>
      </c>
      <c r="D183" s="15" t="s">
        <v>1078</v>
      </c>
      <c r="E183" s="16" t="s">
        <v>30</v>
      </c>
      <c r="F183" s="16" t="s">
        <v>166</v>
      </c>
      <c r="G183" s="16"/>
    </row>
    <row r="184" s="10" customFormat="1" ht="22.5" customHeight="1" spans="1:7">
      <c r="A184" s="17">
        <v>64</v>
      </c>
      <c r="B184" s="13" t="s">
        <v>163</v>
      </c>
      <c r="C184" s="13" t="s">
        <v>183</v>
      </c>
      <c r="D184" s="13" t="s">
        <v>184</v>
      </c>
      <c r="E184" s="14" t="s">
        <v>51</v>
      </c>
      <c r="F184" s="14" t="s">
        <v>166</v>
      </c>
      <c r="G184" s="14"/>
    </row>
    <row r="185" s="10" customFormat="1" ht="22.5" customHeight="1" spans="1:7">
      <c r="A185" s="17">
        <v>65</v>
      </c>
      <c r="B185" s="13" t="s">
        <v>163</v>
      </c>
      <c r="C185" s="13" t="s">
        <v>183</v>
      </c>
      <c r="D185" s="13" t="s">
        <v>186</v>
      </c>
      <c r="E185" s="14" t="s">
        <v>51</v>
      </c>
      <c r="F185" s="14" t="s">
        <v>166</v>
      </c>
      <c r="G185" s="14"/>
    </row>
    <row r="186" ht="14.85" customHeight="1" spans="2:7">
      <c r="B186" s="18" t="s">
        <v>33</v>
      </c>
      <c r="C186" s="18" t="s">
        <v>116</v>
      </c>
      <c r="D186" s="18" t="s">
        <v>1079</v>
      </c>
      <c r="E186" s="19" t="s">
        <v>30</v>
      </c>
      <c r="F186" s="19" t="s">
        <v>261</v>
      </c>
      <c r="G186" s="19"/>
    </row>
    <row r="187" ht="14.85" customHeight="1" spans="2:7">
      <c r="B187" s="13" t="s">
        <v>33</v>
      </c>
      <c r="C187" s="13" t="s">
        <v>116</v>
      </c>
      <c r="D187" s="13" t="s">
        <v>1080</v>
      </c>
      <c r="E187" s="14" t="s">
        <v>30</v>
      </c>
      <c r="F187" s="14" t="s">
        <v>358</v>
      </c>
      <c r="G187" s="14"/>
    </row>
    <row r="188" ht="14.85" customHeight="1" spans="2:7">
      <c r="B188" s="13" t="s">
        <v>33</v>
      </c>
      <c r="C188" s="13" t="s">
        <v>116</v>
      </c>
      <c r="D188" s="13" t="s">
        <v>1081</v>
      </c>
      <c r="E188" s="14" t="s">
        <v>30</v>
      </c>
      <c r="F188" s="14" t="s">
        <v>261</v>
      </c>
      <c r="G188" s="14"/>
    </row>
    <row r="189" ht="14.85" customHeight="1" spans="2:7">
      <c r="B189" s="13" t="s">
        <v>460</v>
      </c>
      <c r="C189" s="13" t="s">
        <v>461</v>
      </c>
      <c r="D189" s="13" t="s">
        <v>1082</v>
      </c>
      <c r="E189" s="14" t="s">
        <v>30</v>
      </c>
      <c r="F189" s="14" t="s">
        <v>358</v>
      </c>
      <c r="G189" s="14"/>
    </row>
    <row r="190" ht="14.85" customHeight="1" spans="2:7">
      <c r="B190" s="13" t="s">
        <v>460</v>
      </c>
      <c r="C190" s="13" t="s">
        <v>769</v>
      </c>
      <c r="D190" s="13" t="s">
        <v>1083</v>
      </c>
      <c r="E190" s="14" t="s">
        <v>30</v>
      </c>
      <c r="F190" s="14" t="s">
        <v>80</v>
      </c>
      <c r="G190" s="14"/>
    </row>
    <row r="191" ht="14.85" customHeight="1" spans="2:7">
      <c r="B191" s="13" t="s">
        <v>460</v>
      </c>
      <c r="C191" s="13" t="s">
        <v>769</v>
      </c>
      <c r="D191" s="13" t="s">
        <v>1084</v>
      </c>
      <c r="E191" s="14" t="s">
        <v>30</v>
      </c>
      <c r="F191" s="14" t="s">
        <v>342</v>
      </c>
      <c r="G191" s="14"/>
    </row>
    <row r="192" ht="14.85" customHeight="1" spans="2:7">
      <c r="B192" s="13" t="s">
        <v>33</v>
      </c>
      <c r="C192" s="13" t="s">
        <v>116</v>
      </c>
      <c r="D192" s="13" t="s">
        <v>1085</v>
      </c>
      <c r="E192" s="14" t="s">
        <v>30</v>
      </c>
      <c r="F192" s="14" t="s">
        <v>261</v>
      </c>
      <c r="G192" s="14"/>
    </row>
    <row r="193" ht="14.85" customHeight="1" spans="2:7">
      <c r="B193" s="13" t="s">
        <v>460</v>
      </c>
      <c r="C193" s="13" t="s">
        <v>461</v>
      </c>
      <c r="D193" s="13" t="s">
        <v>1086</v>
      </c>
      <c r="E193" s="14" t="s">
        <v>30</v>
      </c>
      <c r="F193" s="14" t="s">
        <v>247</v>
      </c>
      <c r="G193" s="13" t="s">
        <v>1087</v>
      </c>
    </row>
    <row r="194" ht="14.85" customHeight="1" spans="2:7">
      <c r="B194" s="13" t="s">
        <v>460</v>
      </c>
      <c r="C194" s="13" t="s">
        <v>461</v>
      </c>
      <c r="D194" s="13" t="s">
        <v>1088</v>
      </c>
      <c r="E194" s="14" t="s">
        <v>30</v>
      </c>
      <c r="F194" s="14" t="s">
        <v>247</v>
      </c>
      <c r="G194" s="13" t="s">
        <v>1087</v>
      </c>
    </row>
    <row r="195" ht="14.85" customHeight="1" spans="2:7">
      <c r="B195" s="13" t="s">
        <v>460</v>
      </c>
      <c r="C195" s="13" t="s">
        <v>461</v>
      </c>
      <c r="D195" s="13" t="s">
        <v>1089</v>
      </c>
      <c r="E195" s="14" t="s">
        <v>30</v>
      </c>
      <c r="F195" s="14" t="s">
        <v>247</v>
      </c>
      <c r="G195" s="13" t="s">
        <v>1087</v>
      </c>
    </row>
    <row r="196" ht="14.85" customHeight="1" spans="2:7">
      <c r="B196" s="13" t="s">
        <v>460</v>
      </c>
      <c r="C196" s="13" t="s">
        <v>461</v>
      </c>
      <c r="D196" s="13" t="s">
        <v>1090</v>
      </c>
      <c r="E196" s="14" t="s">
        <v>30</v>
      </c>
      <c r="F196" s="14" t="s">
        <v>247</v>
      </c>
      <c r="G196" s="13" t="s">
        <v>1087</v>
      </c>
    </row>
    <row r="197" ht="14.85" customHeight="1" spans="2:7">
      <c r="B197" s="13" t="s">
        <v>21</v>
      </c>
      <c r="C197" s="13" t="s">
        <v>1091</v>
      </c>
      <c r="D197" s="13" t="s">
        <v>1092</v>
      </c>
      <c r="E197" s="14" t="s">
        <v>30</v>
      </c>
      <c r="F197" s="14" t="s">
        <v>166</v>
      </c>
      <c r="G197" s="14"/>
    </row>
    <row r="198" ht="14.85" customHeight="1" spans="2:7">
      <c r="B198" s="13" t="s">
        <v>21</v>
      </c>
      <c r="C198" s="13" t="s">
        <v>22</v>
      </c>
      <c r="D198" s="13" t="s">
        <v>1093</v>
      </c>
      <c r="E198" s="14" t="s">
        <v>30</v>
      </c>
      <c r="F198" s="14" t="s">
        <v>166</v>
      </c>
      <c r="G198" s="14"/>
    </row>
    <row r="199" ht="14.85" customHeight="1" spans="2:7">
      <c r="B199" s="13" t="s">
        <v>21</v>
      </c>
      <c r="C199" s="13" t="s">
        <v>22</v>
      </c>
      <c r="D199" s="13" t="s">
        <v>1094</v>
      </c>
      <c r="E199" s="14" t="s">
        <v>30</v>
      </c>
      <c r="F199" s="14" t="s">
        <v>166</v>
      </c>
      <c r="G199" s="14"/>
    </row>
    <row r="200" ht="14.85" customHeight="1" spans="2:7">
      <c r="B200" s="13" t="s">
        <v>21</v>
      </c>
      <c r="C200" s="13" t="s">
        <v>22</v>
      </c>
      <c r="D200" s="13" t="s">
        <v>1095</v>
      </c>
      <c r="E200" s="14" t="s">
        <v>30</v>
      </c>
      <c r="F200" s="14" t="s">
        <v>166</v>
      </c>
      <c r="G200" s="14"/>
    </row>
    <row r="201" ht="14.85" customHeight="1" spans="2:7">
      <c r="B201" s="13" t="s">
        <v>21</v>
      </c>
      <c r="C201" s="13" t="s">
        <v>22</v>
      </c>
      <c r="D201" s="13" t="s">
        <v>1096</v>
      </c>
      <c r="E201" s="14" t="s">
        <v>30</v>
      </c>
      <c r="F201" s="14" t="s">
        <v>166</v>
      </c>
      <c r="G201" s="14"/>
    </row>
    <row r="202" ht="14.85" customHeight="1" spans="2:7">
      <c r="B202" s="13" t="s">
        <v>460</v>
      </c>
      <c r="C202" s="13" t="s">
        <v>461</v>
      </c>
      <c r="D202" s="13" t="s">
        <v>1097</v>
      </c>
      <c r="E202" s="14" t="s">
        <v>30</v>
      </c>
      <c r="F202" s="14" t="s">
        <v>247</v>
      </c>
      <c r="G202" s="13" t="s">
        <v>375</v>
      </c>
    </row>
    <row r="203" ht="14.85" customHeight="1" spans="2:7">
      <c r="B203" s="13" t="s">
        <v>460</v>
      </c>
      <c r="C203" s="13" t="s">
        <v>461</v>
      </c>
      <c r="D203" s="13" t="s">
        <v>1098</v>
      </c>
      <c r="E203" s="14" t="s">
        <v>30</v>
      </c>
      <c r="F203" s="14" t="s">
        <v>71</v>
      </c>
      <c r="G203" s="13" t="s">
        <v>1099</v>
      </c>
    </row>
    <row r="204" ht="14.85" customHeight="1" spans="2:7">
      <c r="B204" s="13" t="s">
        <v>460</v>
      </c>
      <c r="C204" s="13" t="s">
        <v>461</v>
      </c>
      <c r="D204" s="13" t="s">
        <v>1100</v>
      </c>
      <c r="E204" s="14" t="s">
        <v>30</v>
      </c>
      <c r="F204" s="14" t="s">
        <v>247</v>
      </c>
      <c r="G204" s="13" t="s">
        <v>1087</v>
      </c>
    </row>
    <row r="205" ht="14.85" customHeight="1" spans="2:7">
      <c r="B205" s="13" t="s">
        <v>460</v>
      </c>
      <c r="C205" s="13" t="s">
        <v>461</v>
      </c>
      <c r="D205" s="13" t="s">
        <v>1101</v>
      </c>
      <c r="E205" s="14" t="s">
        <v>30</v>
      </c>
      <c r="F205" s="14" t="s">
        <v>133</v>
      </c>
      <c r="G205" s="14"/>
    </row>
    <row r="206" ht="14.85" customHeight="1" spans="2:7">
      <c r="B206" s="13" t="s">
        <v>21</v>
      </c>
      <c r="C206" s="13" t="s">
        <v>22</v>
      </c>
      <c r="D206" s="13" t="s">
        <v>1102</v>
      </c>
      <c r="E206" s="14" t="s">
        <v>30</v>
      </c>
      <c r="F206" s="14" t="s">
        <v>166</v>
      </c>
      <c r="G206" s="14"/>
    </row>
    <row r="207" ht="14.85" customHeight="1" spans="2:7">
      <c r="B207" s="13" t="s">
        <v>21</v>
      </c>
      <c r="C207" s="13" t="s">
        <v>22</v>
      </c>
      <c r="D207" s="13" t="s">
        <v>1103</v>
      </c>
      <c r="E207" s="14" t="s">
        <v>30</v>
      </c>
      <c r="F207" s="14" t="s">
        <v>364</v>
      </c>
      <c r="G207" s="14"/>
    </row>
    <row r="208" ht="14.85" customHeight="1" spans="2:7">
      <c r="B208" s="13" t="s">
        <v>21</v>
      </c>
      <c r="C208" s="13" t="s">
        <v>22</v>
      </c>
      <c r="D208" s="13" t="s">
        <v>1104</v>
      </c>
      <c r="E208" s="14" t="s">
        <v>30</v>
      </c>
      <c r="F208" s="14" t="s">
        <v>718</v>
      </c>
      <c r="G208" s="14"/>
    </row>
    <row r="209" ht="14.85" customHeight="1" spans="2:7">
      <c r="B209" s="13" t="s">
        <v>21</v>
      </c>
      <c r="C209" s="13" t="s">
        <v>22</v>
      </c>
      <c r="D209" s="13" t="s">
        <v>1105</v>
      </c>
      <c r="E209" s="14" t="s">
        <v>30</v>
      </c>
      <c r="F209" s="14" t="s">
        <v>261</v>
      </c>
      <c r="G209" s="14"/>
    </row>
    <row r="210" ht="14.85" customHeight="1" spans="2:7">
      <c r="B210" s="13" t="s">
        <v>21</v>
      </c>
      <c r="C210" s="13" t="s">
        <v>22</v>
      </c>
      <c r="D210" s="13" t="s">
        <v>1106</v>
      </c>
      <c r="E210" s="14" t="s">
        <v>30</v>
      </c>
      <c r="F210" s="14" t="s">
        <v>718</v>
      </c>
      <c r="G210" s="14"/>
    </row>
    <row r="211" ht="14.85" customHeight="1" spans="2:7">
      <c r="B211" s="13" t="s">
        <v>21</v>
      </c>
      <c r="C211" s="13" t="s">
        <v>22</v>
      </c>
      <c r="D211" s="13" t="s">
        <v>1107</v>
      </c>
      <c r="E211" s="14" t="s">
        <v>30</v>
      </c>
      <c r="F211" s="14" t="s">
        <v>166</v>
      </c>
      <c r="G211" s="14"/>
    </row>
    <row r="212" ht="14.85" customHeight="1" spans="2:7">
      <c r="B212" s="13" t="s">
        <v>107</v>
      </c>
      <c r="C212" s="13" t="s">
        <v>108</v>
      </c>
      <c r="D212" s="13" t="s">
        <v>1108</v>
      </c>
      <c r="E212" s="14" t="s">
        <v>30</v>
      </c>
      <c r="F212" s="14" t="s">
        <v>420</v>
      </c>
      <c r="G212" s="13" t="s">
        <v>1109</v>
      </c>
    </row>
    <row r="213" ht="14.85" customHeight="1" spans="2:7">
      <c r="B213" s="13" t="s">
        <v>985</v>
      </c>
      <c r="C213" s="13" t="s">
        <v>1110</v>
      </c>
      <c r="D213" s="13" t="s">
        <v>1111</v>
      </c>
      <c r="E213" s="14" t="s">
        <v>30</v>
      </c>
      <c r="F213" s="14" t="s">
        <v>247</v>
      </c>
      <c r="G213" s="13" t="s">
        <v>375</v>
      </c>
    </row>
    <row r="214" ht="14.85" customHeight="1" spans="2:7">
      <c r="B214" s="13" t="s">
        <v>985</v>
      </c>
      <c r="C214" s="13" t="s">
        <v>538</v>
      </c>
      <c r="D214" s="13" t="s">
        <v>1112</v>
      </c>
      <c r="E214" s="14" t="s">
        <v>30</v>
      </c>
      <c r="F214" s="14" t="s">
        <v>452</v>
      </c>
      <c r="G214" s="13" t="s">
        <v>375</v>
      </c>
    </row>
    <row r="215" ht="14.85" customHeight="1" spans="2:7">
      <c r="B215" s="13" t="s">
        <v>21</v>
      </c>
      <c r="C215" s="13" t="s">
        <v>22</v>
      </c>
      <c r="D215" s="13" t="s">
        <v>1113</v>
      </c>
      <c r="E215" s="14" t="s">
        <v>30</v>
      </c>
      <c r="F215" s="14" t="s">
        <v>535</v>
      </c>
      <c r="G215" s="14"/>
    </row>
    <row r="216" ht="14.85" customHeight="1" spans="2:7">
      <c r="B216" s="13" t="s">
        <v>982</v>
      </c>
      <c r="C216" s="13" t="s">
        <v>1007</v>
      </c>
      <c r="D216" s="13" t="s">
        <v>1114</v>
      </c>
      <c r="E216" s="14" t="s">
        <v>30</v>
      </c>
      <c r="F216" s="14" t="s">
        <v>364</v>
      </c>
      <c r="G216" s="14"/>
    </row>
    <row r="217" ht="14.85" customHeight="1" spans="2:7">
      <c r="B217" s="13" t="s">
        <v>107</v>
      </c>
      <c r="C217" s="13" t="s">
        <v>108</v>
      </c>
      <c r="D217" s="13" t="s">
        <v>1115</v>
      </c>
      <c r="E217" s="14" t="s">
        <v>30</v>
      </c>
      <c r="F217" s="14" t="s">
        <v>420</v>
      </c>
      <c r="G217" s="13" t="s">
        <v>1116</v>
      </c>
    </row>
    <row r="218" ht="14.85" customHeight="1" spans="2:7">
      <c r="B218" s="13" t="s">
        <v>460</v>
      </c>
      <c r="C218" s="13" t="s">
        <v>461</v>
      </c>
      <c r="D218" s="13" t="s">
        <v>1117</v>
      </c>
      <c r="E218" s="14" t="s">
        <v>30</v>
      </c>
      <c r="F218" s="14" t="s">
        <v>247</v>
      </c>
      <c r="G218" s="13" t="s">
        <v>1087</v>
      </c>
    </row>
    <row r="219" ht="14.85" customHeight="1" spans="2:7">
      <c r="B219" s="13" t="s">
        <v>460</v>
      </c>
      <c r="C219" s="13" t="s">
        <v>461</v>
      </c>
      <c r="D219" s="13" t="s">
        <v>1118</v>
      </c>
      <c r="E219" s="14" t="s">
        <v>30</v>
      </c>
      <c r="F219" s="14" t="s">
        <v>1061</v>
      </c>
      <c r="G219" s="14"/>
    </row>
    <row r="220" ht="14.85" customHeight="1" spans="2:7">
      <c r="B220" s="13" t="s">
        <v>21</v>
      </c>
      <c r="C220" s="13" t="s">
        <v>22</v>
      </c>
      <c r="D220" s="13" t="s">
        <v>1119</v>
      </c>
      <c r="E220" s="14" t="s">
        <v>30</v>
      </c>
      <c r="F220" s="14" t="s">
        <v>358</v>
      </c>
      <c r="G220" s="14"/>
    </row>
    <row r="221" ht="14.85" customHeight="1" spans="2:7">
      <c r="B221" s="13" t="s">
        <v>21</v>
      </c>
      <c r="C221" s="13" t="s">
        <v>22</v>
      </c>
      <c r="D221" s="13" t="s">
        <v>1120</v>
      </c>
      <c r="E221" s="14" t="s">
        <v>30</v>
      </c>
      <c r="F221" s="14" t="s">
        <v>718</v>
      </c>
      <c r="G221" s="14"/>
    </row>
    <row r="222" ht="14.85" customHeight="1" spans="2:7">
      <c r="B222" s="13" t="s">
        <v>21</v>
      </c>
      <c r="C222" s="13" t="s">
        <v>22</v>
      </c>
      <c r="D222" s="13" t="s">
        <v>1121</v>
      </c>
      <c r="E222" s="14" t="s">
        <v>30</v>
      </c>
      <c r="F222" s="14" t="s">
        <v>358</v>
      </c>
      <c r="G222" s="14"/>
    </row>
    <row r="223" ht="14.85" customHeight="1" spans="2:7">
      <c r="B223" s="13" t="s">
        <v>21</v>
      </c>
      <c r="C223" s="13" t="s">
        <v>22</v>
      </c>
      <c r="D223" s="13" t="s">
        <v>1122</v>
      </c>
      <c r="E223" s="14" t="s">
        <v>30</v>
      </c>
      <c r="F223" s="14" t="s">
        <v>364</v>
      </c>
      <c r="G223" s="14"/>
    </row>
    <row r="224" ht="14.85" customHeight="1" spans="2:7">
      <c r="B224" s="13" t="s">
        <v>21</v>
      </c>
      <c r="C224" s="13" t="s">
        <v>22</v>
      </c>
      <c r="D224" s="13" t="s">
        <v>1123</v>
      </c>
      <c r="E224" s="14" t="s">
        <v>30</v>
      </c>
      <c r="F224" s="14" t="s">
        <v>718</v>
      </c>
      <c r="G224" s="14"/>
    </row>
    <row r="225" ht="14.85" customHeight="1" spans="2:7">
      <c r="B225" s="13" t="s">
        <v>460</v>
      </c>
      <c r="C225" s="13" t="s">
        <v>461</v>
      </c>
      <c r="D225" s="13" t="s">
        <v>1124</v>
      </c>
      <c r="E225" s="14" t="s">
        <v>30</v>
      </c>
      <c r="F225" s="14" t="s">
        <v>1061</v>
      </c>
      <c r="G225" s="14"/>
    </row>
    <row r="226" ht="14.85" customHeight="1" spans="2:7">
      <c r="B226" s="13" t="s">
        <v>460</v>
      </c>
      <c r="C226" s="13" t="s">
        <v>461</v>
      </c>
      <c r="D226" s="13" t="s">
        <v>1125</v>
      </c>
      <c r="E226" s="14" t="s">
        <v>30</v>
      </c>
      <c r="F226" s="14" t="s">
        <v>247</v>
      </c>
      <c r="G226" s="13" t="s">
        <v>1087</v>
      </c>
    </row>
    <row r="227" ht="14.85" customHeight="1" spans="2:7">
      <c r="B227" s="13" t="s">
        <v>460</v>
      </c>
      <c r="C227" s="13" t="s">
        <v>461</v>
      </c>
      <c r="D227" s="13" t="s">
        <v>1126</v>
      </c>
      <c r="E227" s="14" t="s">
        <v>30</v>
      </c>
      <c r="F227" s="14" t="s">
        <v>1061</v>
      </c>
      <c r="G227" s="14"/>
    </row>
    <row r="228" ht="14.85" customHeight="1" spans="2:7">
      <c r="B228" s="13" t="s">
        <v>989</v>
      </c>
      <c r="C228" s="13" t="s">
        <v>990</v>
      </c>
      <c r="D228" s="13" t="s">
        <v>1127</v>
      </c>
      <c r="E228" s="14" t="s">
        <v>30</v>
      </c>
      <c r="F228" s="14" t="s">
        <v>358</v>
      </c>
      <c r="G228" s="14"/>
    </row>
    <row r="229" ht="14.85" customHeight="1" spans="2:7">
      <c r="B229" s="13" t="s">
        <v>460</v>
      </c>
      <c r="C229" s="13" t="s">
        <v>461</v>
      </c>
      <c r="D229" s="13" t="s">
        <v>1128</v>
      </c>
      <c r="E229" s="14" t="s">
        <v>30</v>
      </c>
      <c r="F229" s="14" t="s">
        <v>445</v>
      </c>
      <c r="G229" s="14"/>
    </row>
    <row r="230" ht="14.85" customHeight="1" spans="2:7">
      <c r="B230" s="13" t="s">
        <v>989</v>
      </c>
      <c r="C230" s="13" t="s">
        <v>990</v>
      </c>
      <c r="D230" s="13" t="s">
        <v>1129</v>
      </c>
      <c r="E230" s="14" t="s">
        <v>30</v>
      </c>
      <c r="F230" s="14" t="s">
        <v>358</v>
      </c>
      <c r="G230" s="14"/>
    </row>
    <row r="231" ht="14.85" customHeight="1" spans="2:7">
      <c r="B231" s="13" t="s">
        <v>460</v>
      </c>
      <c r="C231" s="13" t="s">
        <v>461</v>
      </c>
      <c r="D231" s="13" t="s">
        <v>1130</v>
      </c>
      <c r="E231" s="14" t="s">
        <v>30</v>
      </c>
      <c r="F231" s="14" t="s">
        <v>445</v>
      </c>
      <c r="G231" s="14"/>
    </row>
    <row r="232" ht="14.85" customHeight="1" spans="2:7">
      <c r="B232" s="13" t="s">
        <v>989</v>
      </c>
      <c r="C232" s="13" t="s">
        <v>990</v>
      </c>
      <c r="D232" s="13" t="s">
        <v>1131</v>
      </c>
      <c r="E232" s="14" t="s">
        <v>30</v>
      </c>
      <c r="F232" s="14" t="s">
        <v>358</v>
      </c>
      <c r="G232" s="14"/>
    </row>
    <row r="233" ht="14.85" customHeight="1" spans="2:7">
      <c r="B233" s="13" t="s">
        <v>989</v>
      </c>
      <c r="C233" s="13" t="s">
        <v>990</v>
      </c>
      <c r="D233" s="13" t="s">
        <v>1132</v>
      </c>
      <c r="E233" s="14" t="s">
        <v>30</v>
      </c>
      <c r="F233" s="14" t="s">
        <v>358</v>
      </c>
      <c r="G233" s="14"/>
    </row>
    <row r="234" ht="14.85" customHeight="1" spans="2:7">
      <c r="B234" s="13" t="s">
        <v>989</v>
      </c>
      <c r="C234" s="13" t="s">
        <v>990</v>
      </c>
      <c r="D234" s="13" t="s">
        <v>1133</v>
      </c>
      <c r="E234" s="14" t="s">
        <v>30</v>
      </c>
      <c r="F234" s="14" t="s">
        <v>358</v>
      </c>
      <c r="G234" s="14"/>
    </row>
    <row r="235" ht="14.85" customHeight="1" spans="2:7">
      <c r="B235" s="13" t="s">
        <v>460</v>
      </c>
      <c r="C235" s="13" t="s">
        <v>461</v>
      </c>
      <c r="D235" s="13" t="s">
        <v>1134</v>
      </c>
      <c r="E235" s="14" t="s">
        <v>30</v>
      </c>
      <c r="F235" s="14" t="s">
        <v>247</v>
      </c>
      <c r="G235" s="13" t="s">
        <v>1087</v>
      </c>
    </row>
    <row r="236" ht="14.85" customHeight="1" spans="2:7">
      <c r="B236" s="13" t="s">
        <v>460</v>
      </c>
      <c r="C236" s="13" t="s">
        <v>461</v>
      </c>
      <c r="D236" s="13" t="s">
        <v>1135</v>
      </c>
      <c r="E236" s="14" t="s">
        <v>30</v>
      </c>
      <c r="F236" s="14" t="s">
        <v>358</v>
      </c>
      <c r="G236" s="14"/>
    </row>
    <row r="237" ht="14.85" customHeight="1" spans="2:7">
      <c r="B237" s="13" t="s">
        <v>460</v>
      </c>
      <c r="C237" s="13" t="s">
        <v>461</v>
      </c>
      <c r="D237" s="13" t="s">
        <v>1136</v>
      </c>
      <c r="E237" s="14" t="s">
        <v>30</v>
      </c>
      <c r="F237" s="14" t="s">
        <v>358</v>
      </c>
      <c r="G237" s="14"/>
    </row>
    <row r="238" ht="14.85" customHeight="1" spans="2:7">
      <c r="B238" s="13" t="s">
        <v>460</v>
      </c>
      <c r="C238" s="13" t="s">
        <v>461</v>
      </c>
      <c r="D238" s="13" t="s">
        <v>1137</v>
      </c>
      <c r="E238" s="14" t="s">
        <v>30</v>
      </c>
      <c r="F238" s="14" t="s">
        <v>71</v>
      </c>
      <c r="G238" s="13" t="s">
        <v>1138</v>
      </c>
    </row>
    <row r="239" ht="14.85" customHeight="1" spans="2:7">
      <c r="B239" s="13" t="s">
        <v>989</v>
      </c>
      <c r="C239" s="13" t="s">
        <v>990</v>
      </c>
      <c r="D239" s="13" t="s">
        <v>1139</v>
      </c>
      <c r="E239" s="14" t="s">
        <v>30</v>
      </c>
      <c r="F239" s="14" t="s">
        <v>358</v>
      </c>
      <c r="G239" s="14"/>
    </row>
    <row r="240" ht="14.85" customHeight="1" spans="2:7">
      <c r="B240" s="13" t="s">
        <v>982</v>
      </c>
      <c r="C240" s="13" t="s">
        <v>983</v>
      </c>
      <c r="D240" s="13" t="s">
        <v>1140</v>
      </c>
      <c r="E240" s="14" t="s">
        <v>30</v>
      </c>
      <c r="F240" s="14" t="s">
        <v>358</v>
      </c>
      <c r="G240" s="14"/>
    </row>
    <row r="241" ht="14.85" customHeight="1" spans="2:7">
      <c r="B241" s="13" t="s">
        <v>982</v>
      </c>
      <c r="C241" s="13" t="s">
        <v>983</v>
      </c>
      <c r="D241" s="13" t="s">
        <v>1141</v>
      </c>
      <c r="E241" s="14" t="s">
        <v>30</v>
      </c>
      <c r="F241" s="14" t="s">
        <v>535</v>
      </c>
      <c r="G241" s="14"/>
    </row>
    <row r="242" ht="14.85" customHeight="1" spans="2:7">
      <c r="B242" s="13" t="s">
        <v>21</v>
      </c>
      <c r="C242" s="13" t="s">
        <v>1091</v>
      </c>
      <c r="D242" s="13" t="s">
        <v>1142</v>
      </c>
      <c r="E242" s="14" t="s">
        <v>30</v>
      </c>
      <c r="F242" s="14" t="s">
        <v>535</v>
      </c>
      <c r="G242" s="14"/>
    </row>
    <row r="243" ht="14.85" customHeight="1" spans="2:7">
      <c r="B243" s="13" t="s">
        <v>460</v>
      </c>
      <c r="C243" s="13" t="s">
        <v>1143</v>
      </c>
      <c r="D243" s="13" t="s">
        <v>1144</v>
      </c>
      <c r="E243" s="14" t="s">
        <v>30</v>
      </c>
      <c r="F243" s="14" t="s">
        <v>535</v>
      </c>
      <c r="G243" s="14"/>
    </row>
    <row r="244" ht="14.85" customHeight="1" spans="2:7">
      <c r="B244" s="13" t="s">
        <v>460</v>
      </c>
      <c r="C244" s="13" t="s">
        <v>1143</v>
      </c>
      <c r="D244" s="13" t="s">
        <v>1145</v>
      </c>
      <c r="E244" s="14" t="s">
        <v>30</v>
      </c>
      <c r="F244" s="14" t="s">
        <v>358</v>
      </c>
      <c r="G244" s="14"/>
    </row>
    <row r="245" ht="14.85" customHeight="1" spans="2:7">
      <c r="B245" s="15" t="s">
        <v>1029</v>
      </c>
      <c r="C245" s="15" t="s">
        <v>1030</v>
      </c>
      <c r="D245" s="15" t="s">
        <v>741</v>
      </c>
      <c r="E245" s="16" t="s">
        <v>30</v>
      </c>
      <c r="F245" s="16" t="s">
        <v>143</v>
      </c>
      <c r="G245" s="16"/>
    </row>
    <row r="246" s="10" customFormat="1" ht="22.5" customHeight="1" spans="1:7">
      <c r="A246" s="17">
        <v>66</v>
      </c>
      <c r="B246" s="13" t="s">
        <v>163</v>
      </c>
      <c r="C246" s="13" t="s">
        <v>168</v>
      </c>
      <c r="D246" s="13" t="s">
        <v>196</v>
      </c>
      <c r="E246" s="14" t="s">
        <v>51</v>
      </c>
      <c r="F246" s="14" t="s">
        <v>166</v>
      </c>
      <c r="G246" s="14"/>
    </row>
    <row r="247" ht="14.85" customHeight="1" spans="2:7">
      <c r="B247" s="18" t="s">
        <v>138</v>
      </c>
      <c r="C247" s="18" t="s">
        <v>998</v>
      </c>
      <c r="D247" s="18" t="s">
        <v>1146</v>
      </c>
      <c r="E247" s="19" t="s">
        <v>30</v>
      </c>
      <c r="F247" s="19" t="s">
        <v>358</v>
      </c>
      <c r="G247" s="19"/>
    </row>
    <row r="248" ht="14.85" customHeight="1" spans="2:7">
      <c r="B248" s="13" t="s">
        <v>138</v>
      </c>
      <c r="C248" s="13" t="s">
        <v>998</v>
      </c>
      <c r="D248" s="13" t="s">
        <v>1147</v>
      </c>
      <c r="E248" s="14" t="s">
        <v>30</v>
      </c>
      <c r="F248" s="14" t="s">
        <v>358</v>
      </c>
      <c r="G248" s="14"/>
    </row>
    <row r="249" ht="14.85" customHeight="1" spans="2:7">
      <c r="B249" s="13" t="s">
        <v>982</v>
      </c>
      <c r="C249" s="13" t="s">
        <v>983</v>
      </c>
      <c r="D249" s="13" t="s">
        <v>1148</v>
      </c>
      <c r="E249" s="14" t="s">
        <v>30</v>
      </c>
      <c r="F249" s="14" t="s">
        <v>166</v>
      </c>
      <c r="G249" s="14"/>
    </row>
    <row r="250" ht="14.85" customHeight="1" spans="2:7">
      <c r="B250" s="13" t="s">
        <v>989</v>
      </c>
      <c r="C250" s="13" t="s">
        <v>1000</v>
      </c>
      <c r="D250" s="13" t="s">
        <v>1149</v>
      </c>
      <c r="E250" s="14" t="s">
        <v>30</v>
      </c>
      <c r="F250" s="14" t="s">
        <v>718</v>
      </c>
      <c r="G250" s="14"/>
    </row>
    <row r="251" ht="14.85" customHeight="1" spans="2:7">
      <c r="B251" s="13" t="s">
        <v>989</v>
      </c>
      <c r="C251" s="13" t="s">
        <v>990</v>
      </c>
      <c r="D251" s="13" t="s">
        <v>1150</v>
      </c>
      <c r="E251" s="14" t="s">
        <v>30</v>
      </c>
      <c r="F251" s="14" t="s">
        <v>261</v>
      </c>
      <c r="G251" s="14"/>
    </row>
    <row r="252" ht="14.85" customHeight="1" spans="2:7">
      <c r="B252" s="13" t="s">
        <v>33</v>
      </c>
      <c r="C252" s="13" t="s">
        <v>116</v>
      </c>
      <c r="D252" s="13" t="s">
        <v>1151</v>
      </c>
      <c r="E252" s="14" t="s">
        <v>30</v>
      </c>
      <c r="F252" s="14" t="s">
        <v>535</v>
      </c>
      <c r="G252" s="14"/>
    </row>
    <row r="253" ht="14.85" customHeight="1" spans="2:7">
      <c r="B253" s="13" t="s">
        <v>982</v>
      </c>
      <c r="C253" s="13" t="s">
        <v>983</v>
      </c>
      <c r="D253" s="13" t="s">
        <v>1152</v>
      </c>
      <c r="E253" s="14" t="s">
        <v>30</v>
      </c>
      <c r="F253" s="14" t="s">
        <v>535</v>
      </c>
      <c r="G253" s="14"/>
    </row>
    <row r="254" ht="14.85" customHeight="1" spans="2:7">
      <c r="B254" s="13" t="s">
        <v>982</v>
      </c>
      <c r="C254" s="13" t="s">
        <v>983</v>
      </c>
      <c r="D254" s="13" t="s">
        <v>1153</v>
      </c>
      <c r="E254" s="14" t="s">
        <v>30</v>
      </c>
      <c r="F254" s="14" t="s">
        <v>535</v>
      </c>
      <c r="G254" s="14"/>
    </row>
    <row r="255" ht="14.85" customHeight="1" spans="2:7">
      <c r="B255" s="13" t="s">
        <v>989</v>
      </c>
      <c r="C255" s="13" t="s">
        <v>990</v>
      </c>
      <c r="D255" s="13" t="s">
        <v>1154</v>
      </c>
      <c r="E255" s="14" t="s">
        <v>30</v>
      </c>
      <c r="F255" s="14" t="s">
        <v>261</v>
      </c>
      <c r="G255" s="14"/>
    </row>
    <row r="256" ht="14.85" customHeight="1" spans="2:7">
      <c r="B256" s="13" t="s">
        <v>989</v>
      </c>
      <c r="C256" s="13" t="s">
        <v>990</v>
      </c>
      <c r="D256" s="13" t="s">
        <v>1155</v>
      </c>
      <c r="E256" s="14" t="s">
        <v>30</v>
      </c>
      <c r="F256" s="14" t="s">
        <v>261</v>
      </c>
      <c r="G256" s="14"/>
    </row>
    <row r="257" ht="14.85" customHeight="1" spans="2:7">
      <c r="B257" s="13" t="s">
        <v>989</v>
      </c>
      <c r="C257" s="13" t="s">
        <v>990</v>
      </c>
      <c r="D257" s="13" t="s">
        <v>1156</v>
      </c>
      <c r="E257" s="14" t="s">
        <v>30</v>
      </c>
      <c r="F257" s="14" t="s">
        <v>261</v>
      </c>
      <c r="G257" s="14"/>
    </row>
    <row r="258" ht="14.85" customHeight="1" spans="2:7">
      <c r="B258" s="13" t="s">
        <v>460</v>
      </c>
      <c r="C258" s="13" t="s">
        <v>461</v>
      </c>
      <c r="D258" s="13" t="s">
        <v>1157</v>
      </c>
      <c r="E258" s="14" t="s">
        <v>30</v>
      </c>
      <c r="F258" s="14" t="s">
        <v>261</v>
      </c>
      <c r="G258" s="14"/>
    </row>
    <row r="259" ht="14.85" customHeight="1" spans="2:7">
      <c r="B259" s="13" t="s">
        <v>460</v>
      </c>
      <c r="C259" s="13" t="s">
        <v>461</v>
      </c>
      <c r="D259" s="13" t="s">
        <v>1158</v>
      </c>
      <c r="E259" s="14" t="s">
        <v>30</v>
      </c>
      <c r="F259" s="14" t="s">
        <v>143</v>
      </c>
      <c r="G259" s="14"/>
    </row>
    <row r="260" ht="14.85" customHeight="1" spans="2:7">
      <c r="B260" s="13" t="s">
        <v>982</v>
      </c>
      <c r="C260" s="13" t="s">
        <v>983</v>
      </c>
      <c r="D260" s="13" t="s">
        <v>1159</v>
      </c>
      <c r="E260" s="14" t="s">
        <v>30</v>
      </c>
      <c r="F260" s="14" t="s">
        <v>718</v>
      </c>
      <c r="G260" s="14"/>
    </row>
    <row r="261" ht="14.85" customHeight="1" spans="2:7">
      <c r="B261" s="13" t="s">
        <v>982</v>
      </c>
      <c r="C261" s="13" t="s">
        <v>983</v>
      </c>
      <c r="D261" s="13" t="s">
        <v>1160</v>
      </c>
      <c r="E261" s="14" t="s">
        <v>30</v>
      </c>
      <c r="F261" s="14" t="s">
        <v>718</v>
      </c>
      <c r="G261" s="14"/>
    </row>
    <row r="262" ht="14.85" customHeight="1" spans="2:7">
      <c r="B262" s="13" t="s">
        <v>460</v>
      </c>
      <c r="C262" s="13" t="s">
        <v>461</v>
      </c>
      <c r="D262" s="13" t="s">
        <v>462</v>
      </c>
      <c r="E262" s="14" t="s">
        <v>30</v>
      </c>
      <c r="F262" s="14" t="s">
        <v>247</v>
      </c>
      <c r="G262" s="13" t="s">
        <v>375</v>
      </c>
    </row>
    <row r="263" ht="14.85" customHeight="1" spans="2:7">
      <c r="B263" s="13" t="s">
        <v>460</v>
      </c>
      <c r="C263" s="13" t="s">
        <v>461</v>
      </c>
      <c r="D263" s="13" t="s">
        <v>464</v>
      </c>
      <c r="E263" s="14" t="s">
        <v>30</v>
      </c>
      <c r="F263" s="14" t="s">
        <v>247</v>
      </c>
      <c r="G263" s="13" t="s">
        <v>375</v>
      </c>
    </row>
    <row r="264" ht="14.85" customHeight="1" spans="2:7">
      <c r="B264" s="13" t="s">
        <v>138</v>
      </c>
      <c r="C264" s="13" t="s">
        <v>221</v>
      </c>
      <c r="D264" s="13" t="s">
        <v>1161</v>
      </c>
      <c r="E264" s="14" t="s">
        <v>30</v>
      </c>
      <c r="F264" s="14" t="s">
        <v>261</v>
      </c>
      <c r="G264" s="14"/>
    </row>
    <row r="265" ht="14.85" customHeight="1" spans="2:7">
      <c r="B265" s="13" t="s">
        <v>138</v>
      </c>
      <c r="C265" s="13" t="s">
        <v>1162</v>
      </c>
      <c r="D265" s="13" t="s">
        <v>1163</v>
      </c>
      <c r="E265" s="14" t="s">
        <v>30</v>
      </c>
      <c r="F265" s="14" t="s">
        <v>718</v>
      </c>
      <c r="G265" s="14"/>
    </row>
    <row r="266" ht="14.85" customHeight="1" spans="2:7">
      <c r="B266" s="13" t="s">
        <v>466</v>
      </c>
      <c r="C266" s="13" t="s">
        <v>467</v>
      </c>
      <c r="D266" s="13" t="s">
        <v>468</v>
      </c>
      <c r="E266" s="14" t="s">
        <v>30</v>
      </c>
      <c r="F266" s="14" t="s">
        <v>358</v>
      </c>
      <c r="G266" s="14"/>
    </row>
    <row r="267" ht="14.85" customHeight="1" spans="2:7">
      <c r="B267" s="13" t="s">
        <v>470</v>
      </c>
      <c r="C267" s="13" t="s">
        <v>471</v>
      </c>
      <c r="D267" s="13" t="s">
        <v>472</v>
      </c>
      <c r="E267" s="14" t="s">
        <v>30</v>
      </c>
      <c r="F267" s="14" t="s">
        <v>143</v>
      </c>
      <c r="G267" s="14"/>
    </row>
    <row r="268" ht="14.85" customHeight="1" spans="2:7">
      <c r="B268" s="15" t="s">
        <v>200</v>
      </c>
      <c r="C268" s="15" t="s">
        <v>474</v>
      </c>
      <c r="D268" s="15" t="s">
        <v>475</v>
      </c>
      <c r="E268" s="16" t="s">
        <v>30</v>
      </c>
      <c r="F268" s="16" t="s">
        <v>364</v>
      </c>
      <c r="G268" s="16"/>
    </row>
    <row r="269" s="10" customFormat="1" ht="22.5" customHeight="1" spans="1:7">
      <c r="A269" s="17">
        <v>67</v>
      </c>
      <c r="B269" s="13" t="s">
        <v>163</v>
      </c>
      <c r="C269" s="13" t="s">
        <v>168</v>
      </c>
      <c r="D269" s="13" t="s">
        <v>198</v>
      </c>
      <c r="E269" s="14" t="s">
        <v>51</v>
      </c>
      <c r="F269" s="14" t="s">
        <v>166</v>
      </c>
      <c r="G269" s="14"/>
    </row>
    <row r="270" ht="14.85" customHeight="1" spans="2:7">
      <c r="B270" s="18" t="s">
        <v>478</v>
      </c>
      <c r="C270" s="18" t="s">
        <v>479</v>
      </c>
      <c r="D270" s="18" t="s">
        <v>480</v>
      </c>
      <c r="E270" s="19" t="s">
        <v>30</v>
      </c>
      <c r="F270" s="19" t="s">
        <v>364</v>
      </c>
      <c r="G270" s="19"/>
    </row>
    <row r="271" ht="14.85" customHeight="1" spans="2:7">
      <c r="B271" s="13" t="s">
        <v>485</v>
      </c>
      <c r="C271" s="13" t="s">
        <v>486</v>
      </c>
      <c r="D271" s="13" t="s">
        <v>487</v>
      </c>
      <c r="E271" s="14" t="s">
        <v>30</v>
      </c>
      <c r="F271" s="14" t="s">
        <v>364</v>
      </c>
      <c r="G271" s="14"/>
    </row>
    <row r="272" ht="14.85" customHeight="1" spans="2:7">
      <c r="B272" s="13" t="s">
        <v>295</v>
      </c>
      <c r="C272" s="13" t="s">
        <v>489</v>
      </c>
      <c r="D272" s="13" t="s">
        <v>490</v>
      </c>
      <c r="E272" s="14" t="s">
        <v>30</v>
      </c>
      <c r="F272" s="14" t="s">
        <v>358</v>
      </c>
      <c r="G272" s="14"/>
    </row>
    <row r="273" ht="14.85" customHeight="1" spans="2:7">
      <c r="B273" s="13" t="s">
        <v>494</v>
      </c>
      <c r="C273" s="13" t="s">
        <v>495</v>
      </c>
      <c r="D273" s="13" t="s">
        <v>496</v>
      </c>
      <c r="E273" s="14" t="s">
        <v>30</v>
      </c>
      <c r="F273" s="14" t="s">
        <v>364</v>
      </c>
      <c r="G273" s="14"/>
    </row>
    <row r="274" ht="14.85" customHeight="1" spans="2:7">
      <c r="B274" s="13" t="s">
        <v>498</v>
      </c>
      <c r="C274" s="13" t="s">
        <v>233</v>
      </c>
      <c r="D274" s="13" t="s">
        <v>499</v>
      </c>
      <c r="E274" s="14" t="s">
        <v>30</v>
      </c>
      <c r="F274" s="14" t="s">
        <v>358</v>
      </c>
      <c r="G274" s="14"/>
    </row>
    <row r="275" ht="14.85" customHeight="1" spans="2:7">
      <c r="B275" s="13" t="s">
        <v>466</v>
      </c>
      <c r="C275" s="13" t="s">
        <v>501</v>
      </c>
      <c r="D275" s="13" t="s">
        <v>502</v>
      </c>
      <c r="E275" s="14" t="s">
        <v>30</v>
      </c>
      <c r="F275" s="14" t="s">
        <v>358</v>
      </c>
      <c r="G275" s="14"/>
    </row>
    <row r="276" ht="14.85" customHeight="1" spans="2:7">
      <c r="B276" s="13" t="s">
        <v>466</v>
      </c>
      <c r="C276" s="13" t="s">
        <v>504</v>
      </c>
      <c r="D276" s="13" t="s">
        <v>505</v>
      </c>
      <c r="E276" s="14" t="s">
        <v>30</v>
      </c>
      <c r="F276" s="14" t="s">
        <v>247</v>
      </c>
      <c r="G276" s="13" t="s">
        <v>375</v>
      </c>
    </row>
    <row r="277" ht="14.85" customHeight="1" spans="2:7">
      <c r="B277" s="13" t="s">
        <v>48</v>
      </c>
      <c r="C277" s="13" t="s">
        <v>49</v>
      </c>
      <c r="D277" s="13" t="s">
        <v>507</v>
      </c>
      <c r="E277" s="14" t="s">
        <v>30</v>
      </c>
      <c r="F277" s="14" t="s">
        <v>247</v>
      </c>
      <c r="G277" s="13" t="s">
        <v>256</v>
      </c>
    </row>
    <row r="278" ht="14.85" customHeight="1" spans="2:7">
      <c r="B278" s="13" t="s">
        <v>509</v>
      </c>
      <c r="C278" s="13" t="s">
        <v>510</v>
      </c>
      <c r="D278" s="13" t="s">
        <v>511</v>
      </c>
      <c r="E278" s="14" t="s">
        <v>30</v>
      </c>
      <c r="F278" s="14" t="s">
        <v>247</v>
      </c>
      <c r="G278" s="13" t="s">
        <v>248</v>
      </c>
    </row>
    <row r="279" ht="14.85" customHeight="1" spans="2:7">
      <c r="B279" s="13" t="s">
        <v>217</v>
      </c>
      <c r="C279" s="13" t="s">
        <v>514</v>
      </c>
      <c r="D279" s="13" t="s">
        <v>515</v>
      </c>
      <c r="E279" s="14" t="s">
        <v>30</v>
      </c>
      <c r="F279" s="14" t="s">
        <v>247</v>
      </c>
      <c r="G279" s="13" t="s">
        <v>256</v>
      </c>
    </row>
    <row r="280" ht="14.85" customHeight="1" spans="2:7">
      <c r="B280" s="13" t="s">
        <v>217</v>
      </c>
      <c r="C280" s="13" t="s">
        <v>517</v>
      </c>
      <c r="D280" s="13" t="s">
        <v>518</v>
      </c>
      <c r="E280" s="14" t="s">
        <v>30</v>
      </c>
      <c r="F280" s="14" t="s">
        <v>358</v>
      </c>
      <c r="G280" s="14"/>
    </row>
    <row r="281" ht="14.85" customHeight="1" spans="2:7">
      <c r="B281" s="13" t="s">
        <v>217</v>
      </c>
      <c r="C281" s="13" t="s">
        <v>218</v>
      </c>
      <c r="D281" s="13" t="s">
        <v>520</v>
      </c>
      <c r="E281" s="14" t="s">
        <v>30</v>
      </c>
      <c r="F281" s="14" t="s">
        <v>247</v>
      </c>
      <c r="G281" s="13" t="s">
        <v>256</v>
      </c>
    </row>
    <row r="282" ht="14.85" customHeight="1" spans="2:7">
      <c r="B282" s="13" t="s">
        <v>258</v>
      </c>
      <c r="C282" s="13" t="s">
        <v>322</v>
      </c>
      <c r="D282" s="13" t="s">
        <v>522</v>
      </c>
      <c r="E282" s="14" t="s">
        <v>30</v>
      </c>
      <c r="F282" s="14" t="s">
        <v>166</v>
      </c>
      <c r="G282" s="14"/>
    </row>
    <row r="283" ht="14.85" customHeight="1" spans="2:7">
      <c r="B283" s="13" t="s">
        <v>258</v>
      </c>
      <c r="C283" s="13" t="s">
        <v>322</v>
      </c>
      <c r="D283" s="13" t="s">
        <v>524</v>
      </c>
      <c r="E283" s="14" t="s">
        <v>30</v>
      </c>
      <c r="F283" s="14" t="s">
        <v>166</v>
      </c>
      <c r="G283" s="14"/>
    </row>
    <row r="284" ht="14.85" customHeight="1" spans="2:7">
      <c r="B284" s="13" t="s">
        <v>258</v>
      </c>
      <c r="C284" s="13" t="s">
        <v>526</v>
      </c>
      <c r="D284" s="13" t="s">
        <v>527</v>
      </c>
      <c r="E284" s="14" t="s">
        <v>30</v>
      </c>
      <c r="F284" s="14" t="s">
        <v>358</v>
      </c>
      <c r="G284" s="14"/>
    </row>
    <row r="285" ht="14.85" customHeight="1" spans="2:7">
      <c r="B285" s="13" t="s">
        <v>258</v>
      </c>
      <c r="C285" s="13" t="s">
        <v>529</v>
      </c>
      <c r="D285" s="13" t="s">
        <v>530</v>
      </c>
      <c r="E285" s="14" t="s">
        <v>30</v>
      </c>
      <c r="F285" s="14" t="s">
        <v>364</v>
      </c>
      <c r="G285" s="14"/>
    </row>
    <row r="286" ht="14.85" customHeight="1" spans="2:7">
      <c r="B286" s="13" t="s">
        <v>200</v>
      </c>
      <c r="C286" s="13" t="s">
        <v>474</v>
      </c>
      <c r="D286" s="13" t="s">
        <v>532</v>
      </c>
      <c r="E286" s="14" t="s">
        <v>30</v>
      </c>
      <c r="F286" s="14" t="s">
        <v>358</v>
      </c>
      <c r="G286" s="14"/>
    </row>
    <row r="287" ht="14.85" customHeight="1" spans="2:7">
      <c r="B287" s="13" t="s">
        <v>200</v>
      </c>
      <c r="C287" s="13" t="s">
        <v>201</v>
      </c>
      <c r="D287" s="13" t="s">
        <v>534</v>
      </c>
      <c r="E287" s="14" t="s">
        <v>30</v>
      </c>
      <c r="F287" s="14" t="s">
        <v>535</v>
      </c>
      <c r="G287" s="14"/>
    </row>
    <row r="288" ht="14.85" customHeight="1" spans="2:7">
      <c r="B288" s="13" t="s">
        <v>537</v>
      </c>
      <c r="C288" s="13" t="s">
        <v>538</v>
      </c>
      <c r="D288" s="13" t="s">
        <v>539</v>
      </c>
      <c r="E288" s="14" t="s">
        <v>30</v>
      </c>
      <c r="F288" s="14" t="s">
        <v>261</v>
      </c>
      <c r="G288" s="13" t="s">
        <v>375</v>
      </c>
    </row>
    <row r="289" ht="14.85" customHeight="1" spans="2:7">
      <c r="B289" s="13" t="s">
        <v>541</v>
      </c>
      <c r="C289" s="13" t="s">
        <v>542</v>
      </c>
      <c r="D289" s="13" t="s">
        <v>543</v>
      </c>
      <c r="E289" s="14" t="s">
        <v>30</v>
      </c>
      <c r="F289" s="14" t="s">
        <v>166</v>
      </c>
      <c r="G289" s="14"/>
    </row>
    <row r="290" ht="14.85" customHeight="1" spans="2:7">
      <c r="B290" s="13" t="s">
        <v>100</v>
      </c>
      <c r="C290" s="13" t="s">
        <v>176</v>
      </c>
      <c r="D290" s="13" t="s">
        <v>545</v>
      </c>
      <c r="E290" s="14" t="s">
        <v>30</v>
      </c>
      <c r="F290" s="14" t="s">
        <v>247</v>
      </c>
      <c r="G290" s="13" t="s">
        <v>248</v>
      </c>
    </row>
    <row r="291" ht="14.85" customHeight="1" spans="2:7">
      <c r="B291" s="13" t="s">
        <v>100</v>
      </c>
      <c r="C291" s="13" t="s">
        <v>399</v>
      </c>
      <c r="D291" s="13" t="s">
        <v>547</v>
      </c>
      <c r="E291" s="14" t="s">
        <v>30</v>
      </c>
      <c r="F291" s="14" t="s">
        <v>364</v>
      </c>
      <c r="G291" s="14"/>
    </row>
    <row r="292" ht="14.85" customHeight="1" spans="2:7">
      <c r="B292" s="13" t="s">
        <v>549</v>
      </c>
      <c r="C292" s="13" t="s">
        <v>550</v>
      </c>
      <c r="D292" s="13" t="s">
        <v>551</v>
      </c>
      <c r="E292" s="14" t="s">
        <v>30</v>
      </c>
      <c r="F292" s="14" t="s">
        <v>166</v>
      </c>
      <c r="G292" s="14"/>
    </row>
    <row r="293" ht="14.85" customHeight="1" spans="2:7">
      <c r="B293" s="13" t="s">
        <v>115</v>
      </c>
      <c r="C293" s="13" t="s">
        <v>116</v>
      </c>
      <c r="D293" s="13" t="s">
        <v>553</v>
      </c>
      <c r="E293" s="14" t="s">
        <v>30</v>
      </c>
      <c r="F293" s="14" t="s">
        <v>261</v>
      </c>
      <c r="G293" s="14"/>
    </row>
    <row r="294" ht="14.85" customHeight="1" spans="2:7">
      <c r="B294" s="13" t="s">
        <v>295</v>
      </c>
      <c r="C294" s="13" t="s">
        <v>489</v>
      </c>
      <c r="D294" s="13" t="s">
        <v>555</v>
      </c>
      <c r="E294" s="14" t="s">
        <v>30</v>
      </c>
      <c r="F294" s="14" t="s">
        <v>166</v>
      </c>
      <c r="G294" s="14"/>
    </row>
    <row r="295" ht="14.85" customHeight="1" spans="2:7">
      <c r="B295" s="13" t="s">
        <v>985</v>
      </c>
      <c r="C295" s="13" t="s">
        <v>986</v>
      </c>
      <c r="D295" s="13" t="s">
        <v>1164</v>
      </c>
      <c r="E295" s="14" t="s">
        <v>30</v>
      </c>
      <c r="F295" s="14" t="s">
        <v>247</v>
      </c>
      <c r="G295" s="13" t="s">
        <v>375</v>
      </c>
    </row>
    <row r="296" ht="14.85" customHeight="1" spans="2:7">
      <c r="B296" s="13" t="s">
        <v>985</v>
      </c>
      <c r="C296" s="13" t="s">
        <v>986</v>
      </c>
      <c r="D296" s="13" t="s">
        <v>1165</v>
      </c>
      <c r="E296" s="14" t="s">
        <v>30</v>
      </c>
      <c r="F296" s="14" t="s">
        <v>247</v>
      </c>
      <c r="G296" s="13" t="s">
        <v>375</v>
      </c>
    </row>
    <row r="297" ht="14.85" customHeight="1" spans="2:7">
      <c r="B297" s="13" t="s">
        <v>100</v>
      </c>
      <c r="C297" s="13" t="s">
        <v>559</v>
      </c>
      <c r="D297" s="13" t="s">
        <v>560</v>
      </c>
      <c r="E297" s="14" t="s">
        <v>30</v>
      </c>
      <c r="F297" s="14" t="s">
        <v>293</v>
      </c>
      <c r="G297" s="14"/>
    </row>
    <row r="298" ht="14.85" customHeight="1" spans="2:7">
      <c r="B298" s="13" t="s">
        <v>100</v>
      </c>
      <c r="C298" s="13" t="s">
        <v>564</v>
      </c>
      <c r="D298" s="13" t="s">
        <v>565</v>
      </c>
      <c r="E298" s="14" t="s">
        <v>30</v>
      </c>
      <c r="F298" s="14" t="s">
        <v>293</v>
      </c>
      <c r="G298" s="14"/>
    </row>
    <row r="299" ht="14.85" customHeight="1" spans="2:7">
      <c r="B299" s="13" t="s">
        <v>985</v>
      </c>
      <c r="C299" s="13" t="s">
        <v>986</v>
      </c>
      <c r="D299" s="13" t="s">
        <v>1166</v>
      </c>
      <c r="E299" s="14" t="s">
        <v>30</v>
      </c>
      <c r="F299" s="14" t="s">
        <v>247</v>
      </c>
      <c r="G299" s="13" t="s">
        <v>375</v>
      </c>
    </row>
    <row r="300" ht="14.85" customHeight="1" spans="2:7">
      <c r="B300" s="13" t="s">
        <v>100</v>
      </c>
      <c r="C300" s="13" t="s">
        <v>564</v>
      </c>
      <c r="D300" s="13" t="s">
        <v>567</v>
      </c>
      <c r="E300" s="14" t="s">
        <v>30</v>
      </c>
      <c r="F300" s="14" t="s">
        <v>293</v>
      </c>
      <c r="G300" s="14"/>
    </row>
    <row r="301" ht="14.85" customHeight="1" spans="2:7">
      <c r="B301" s="13" t="s">
        <v>985</v>
      </c>
      <c r="C301" s="13" t="s">
        <v>986</v>
      </c>
      <c r="D301" s="13" t="s">
        <v>1167</v>
      </c>
      <c r="E301" s="14" t="s">
        <v>30</v>
      </c>
      <c r="F301" s="14" t="s">
        <v>129</v>
      </c>
      <c r="G301" s="14"/>
    </row>
    <row r="302" ht="14.85" customHeight="1" spans="2:7">
      <c r="B302" s="13" t="s">
        <v>100</v>
      </c>
      <c r="C302" s="13" t="s">
        <v>564</v>
      </c>
      <c r="D302" s="13" t="s">
        <v>569</v>
      </c>
      <c r="E302" s="14" t="s">
        <v>30</v>
      </c>
      <c r="F302" s="14" t="s">
        <v>293</v>
      </c>
      <c r="G302" s="14"/>
    </row>
    <row r="303" ht="14.85" customHeight="1" spans="2:7">
      <c r="B303" s="13" t="s">
        <v>985</v>
      </c>
      <c r="C303" s="13" t="s">
        <v>986</v>
      </c>
      <c r="D303" s="13" t="s">
        <v>1168</v>
      </c>
      <c r="E303" s="14" t="s">
        <v>30</v>
      </c>
      <c r="F303" s="14" t="s">
        <v>133</v>
      </c>
      <c r="G303" s="13" t="s">
        <v>375</v>
      </c>
    </row>
    <row r="304" ht="14.85" customHeight="1" spans="2:7">
      <c r="B304" s="13" t="s">
        <v>100</v>
      </c>
      <c r="C304" s="13" t="s">
        <v>564</v>
      </c>
      <c r="D304" s="13" t="s">
        <v>571</v>
      </c>
      <c r="E304" s="14" t="s">
        <v>30</v>
      </c>
      <c r="F304" s="14" t="s">
        <v>293</v>
      </c>
      <c r="G304" s="14"/>
    </row>
    <row r="305" ht="14.85" customHeight="1" spans="2:7">
      <c r="B305" s="13" t="s">
        <v>985</v>
      </c>
      <c r="C305" s="13" t="s">
        <v>986</v>
      </c>
      <c r="D305" s="13" t="s">
        <v>1169</v>
      </c>
      <c r="E305" s="14" t="s">
        <v>30</v>
      </c>
      <c r="F305" s="14" t="s">
        <v>261</v>
      </c>
      <c r="G305" s="13" t="s">
        <v>375</v>
      </c>
    </row>
    <row r="306" ht="14.85" customHeight="1" spans="2:7">
      <c r="B306" s="13" t="s">
        <v>573</v>
      </c>
      <c r="C306" s="13" t="s">
        <v>574</v>
      </c>
      <c r="D306" s="13" t="s">
        <v>575</v>
      </c>
      <c r="E306" s="14" t="s">
        <v>30</v>
      </c>
      <c r="F306" s="14" t="s">
        <v>578</v>
      </c>
      <c r="G306" s="13" t="s">
        <v>579</v>
      </c>
    </row>
    <row r="307" ht="14.85" customHeight="1" spans="2:7">
      <c r="B307" s="13" t="s">
        <v>53</v>
      </c>
      <c r="C307" s="13" t="s">
        <v>54</v>
      </c>
      <c r="D307" s="13" t="s">
        <v>1170</v>
      </c>
      <c r="E307" s="14" t="s">
        <v>30</v>
      </c>
      <c r="F307" s="14" t="s">
        <v>718</v>
      </c>
      <c r="G307" s="14"/>
    </row>
    <row r="308" ht="14.85" customHeight="1" spans="2:7">
      <c r="B308" s="13" t="s">
        <v>573</v>
      </c>
      <c r="C308" s="13" t="s">
        <v>581</v>
      </c>
      <c r="D308" s="13" t="s">
        <v>582</v>
      </c>
      <c r="E308" s="14" t="s">
        <v>30</v>
      </c>
      <c r="F308" s="14" t="s">
        <v>578</v>
      </c>
      <c r="G308" s="13" t="s">
        <v>579</v>
      </c>
    </row>
    <row r="309" ht="14.85" customHeight="1" spans="2:7">
      <c r="B309" s="13" t="s">
        <v>573</v>
      </c>
      <c r="C309" s="13" t="s">
        <v>574</v>
      </c>
      <c r="D309" s="13" t="s">
        <v>584</v>
      </c>
      <c r="E309" s="14" t="s">
        <v>30</v>
      </c>
      <c r="F309" s="14" t="s">
        <v>578</v>
      </c>
      <c r="G309" s="13" t="s">
        <v>579</v>
      </c>
    </row>
    <row r="310" ht="14.85" customHeight="1" spans="2:7">
      <c r="B310" s="13" t="s">
        <v>573</v>
      </c>
      <c r="C310" s="13" t="s">
        <v>574</v>
      </c>
      <c r="D310" s="13" t="s">
        <v>586</v>
      </c>
      <c r="E310" s="14" t="s">
        <v>30</v>
      </c>
      <c r="F310" s="14" t="s">
        <v>578</v>
      </c>
      <c r="G310" s="13" t="s">
        <v>579</v>
      </c>
    </row>
    <row r="311" ht="14.85" customHeight="1" spans="2:7">
      <c r="B311" s="13" t="s">
        <v>33</v>
      </c>
      <c r="C311" s="13" t="s">
        <v>116</v>
      </c>
      <c r="D311" s="13" t="s">
        <v>1171</v>
      </c>
      <c r="E311" s="14" t="s">
        <v>30</v>
      </c>
      <c r="F311" s="14" t="s">
        <v>261</v>
      </c>
      <c r="G311" s="14"/>
    </row>
    <row r="312" ht="14.85" customHeight="1" spans="2:7">
      <c r="B312" s="13" t="s">
        <v>573</v>
      </c>
      <c r="C312" s="13" t="s">
        <v>574</v>
      </c>
      <c r="D312" s="13" t="s">
        <v>588</v>
      </c>
      <c r="E312" s="14" t="s">
        <v>30</v>
      </c>
      <c r="F312" s="14" t="s">
        <v>578</v>
      </c>
      <c r="G312" s="13" t="s">
        <v>579</v>
      </c>
    </row>
    <row r="313" ht="14.85" customHeight="1" spans="2:7">
      <c r="B313" s="13" t="s">
        <v>980</v>
      </c>
      <c r="C313" s="13" t="s">
        <v>112</v>
      </c>
      <c r="D313" s="13" t="s">
        <v>1172</v>
      </c>
      <c r="E313" s="14" t="s">
        <v>30</v>
      </c>
      <c r="F313" s="14" t="s">
        <v>364</v>
      </c>
      <c r="G313" s="14"/>
    </row>
    <row r="314" ht="14.85" customHeight="1" spans="2:7">
      <c r="B314" s="13" t="s">
        <v>460</v>
      </c>
      <c r="C314" s="13" t="s">
        <v>461</v>
      </c>
      <c r="D314" s="13" t="s">
        <v>590</v>
      </c>
      <c r="E314" s="14" t="s">
        <v>30</v>
      </c>
      <c r="F314" s="14" t="s">
        <v>535</v>
      </c>
      <c r="G314" s="14"/>
    </row>
    <row r="315" ht="14.85" customHeight="1" spans="2:7">
      <c r="B315" s="13" t="s">
        <v>782</v>
      </c>
      <c r="C315" s="13" t="s">
        <v>747</v>
      </c>
      <c r="D315" s="13" t="s">
        <v>747</v>
      </c>
      <c r="E315" s="14" t="s">
        <v>30</v>
      </c>
      <c r="F315" s="14" t="s">
        <v>364</v>
      </c>
      <c r="G315" s="14"/>
    </row>
    <row r="316" ht="14.85" customHeight="1" spans="2:7">
      <c r="B316" s="13" t="s">
        <v>460</v>
      </c>
      <c r="C316" s="13" t="s">
        <v>461</v>
      </c>
      <c r="D316" s="13" t="s">
        <v>594</v>
      </c>
      <c r="E316" s="14" t="s">
        <v>30</v>
      </c>
      <c r="F316" s="14" t="s">
        <v>358</v>
      </c>
      <c r="G316" s="14"/>
    </row>
    <row r="317" ht="14.85" customHeight="1" spans="2:7">
      <c r="B317" s="13" t="s">
        <v>782</v>
      </c>
      <c r="C317" s="13" t="s">
        <v>1173</v>
      </c>
      <c r="D317" s="13" t="s">
        <v>1173</v>
      </c>
      <c r="E317" s="14" t="s">
        <v>30</v>
      </c>
      <c r="F317" s="14" t="s">
        <v>364</v>
      </c>
      <c r="G317" s="14"/>
    </row>
    <row r="318" ht="14.85" customHeight="1" spans="2:7">
      <c r="B318" s="13" t="s">
        <v>596</v>
      </c>
      <c r="C318" s="13" t="s">
        <v>597</v>
      </c>
      <c r="D318" s="13" t="s">
        <v>598</v>
      </c>
      <c r="E318" s="14" t="s">
        <v>30</v>
      </c>
      <c r="F318" s="14" t="s">
        <v>358</v>
      </c>
      <c r="G318" s="14"/>
    </row>
    <row r="319" ht="14.85" customHeight="1" spans="2:7">
      <c r="B319" s="13" t="s">
        <v>1174</v>
      </c>
      <c r="C319" s="13" t="s">
        <v>1175</v>
      </c>
      <c r="D319" s="13" t="s">
        <v>1176</v>
      </c>
      <c r="E319" s="14" t="s">
        <v>30</v>
      </c>
      <c r="F319" s="14" t="s">
        <v>364</v>
      </c>
      <c r="G319" s="14"/>
    </row>
    <row r="320" ht="14.85" customHeight="1" spans="2:7">
      <c r="B320" s="13" t="s">
        <v>602</v>
      </c>
      <c r="C320" s="13" t="s">
        <v>603</v>
      </c>
      <c r="D320" s="13" t="s">
        <v>604</v>
      </c>
      <c r="E320" s="14" t="s">
        <v>30</v>
      </c>
      <c r="F320" s="14" t="s">
        <v>578</v>
      </c>
      <c r="G320" s="14"/>
    </row>
    <row r="321" ht="14.85" customHeight="1" spans="2:7">
      <c r="B321" s="13" t="s">
        <v>460</v>
      </c>
      <c r="C321" s="13" t="s">
        <v>461</v>
      </c>
      <c r="D321" s="13" t="s">
        <v>606</v>
      </c>
      <c r="E321" s="14" t="s">
        <v>30</v>
      </c>
      <c r="F321" s="14" t="s">
        <v>535</v>
      </c>
      <c r="G321" s="14"/>
    </row>
    <row r="322" ht="14.85" customHeight="1" spans="2:7">
      <c r="B322" s="13" t="s">
        <v>460</v>
      </c>
      <c r="C322" s="13" t="s">
        <v>461</v>
      </c>
      <c r="D322" s="13" t="s">
        <v>1177</v>
      </c>
      <c r="E322" s="14" t="s">
        <v>30</v>
      </c>
      <c r="F322" s="14" t="s">
        <v>247</v>
      </c>
      <c r="G322" s="13" t="s">
        <v>375</v>
      </c>
    </row>
    <row r="323" ht="14.85" customHeight="1" spans="2:7">
      <c r="B323" s="13" t="s">
        <v>549</v>
      </c>
      <c r="C323" s="13" t="s">
        <v>608</v>
      </c>
      <c r="D323" s="13" t="s">
        <v>609</v>
      </c>
      <c r="E323" s="14" t="s">
        <v>30</v>
      </c>
      <c r="F323" s="14" t="s">
        <v>358</v>
      </c>
      <c r="G323" s="14"/>
    </row>
    <row r="324" ht="14.85" customHeight="1" spans="2:7">
      <c r="B324" s="13" t="s">
        <v>100</v>
      </c>
      <c r="C324" s="13" t="s">
        <v>559</v>
      </c>
      <c r="D324" s="13" t="s">
        <v>613</v>
      </c>
      <c r="E324" s="14" t="s">
        <v>30</v>
      </c>
      <c r="F324" s="14" t="s">
        <v>293</v>
      </c>
      <c r="G324" s="14"/>
    </row>
    <row r="325" ht="14.85" customHeight="1" spans="2:7">
      <c r="B325" s="13" t="s">
        <v>985</v>
      </c>
      <c r="C325" s="13" t="s">
        <v>986</v>
      </c>
      <c r="D325" s="13" t="s">
        <v>1178</v>
      </c>
      <c r="E325" s="14" t="s">
        <v>30</v>
      </c>
      <c r="F325" s="14" t="s">
        <v>247</v>
      </c>
      <c r="G325" s="13" t="s">
        <v>375</v>
      </c>
    </row>
    <row r="326" ht="14.85" customHeight="1" spans="2:7">
      <c r="B326" s="13" t="s">
        <v>460</v>
      </c>
      <c r="C326" s="13" t="s">
        <v>461</v>
      </c>
      <c r="D326" s="13" t="s">
        <v>1179</v>
      </c>
      <c r="E326" s="14" t="s">
        <v>30</v>
      </c>
      <c r="F326" s="14" t="s">
        <v>166</v>
      </c>
      <c r="G326" s="14"/>
    </row>
    <row r="327" ht="14.85" customHeight="1" spans="2:7">
      <c r="B327" s="13" t="s">
        <v>615</v>
      </c>
      <c r="C327" s="13" t="s">
        <v>616</v>
      </c>
      <c r="D327" s="13" t="s">
        <v>617</v>
      </c>
      <c r="E327" s="14" t="s">
        <v>30</v>
      </c>
      <c r="F327" s="14" t="s">
        <v>247</v>
      </c>
      <c r="G327" s="13" t="s">
        <v>375</v>
      </c>
    </row>
    <row r="328" ht="14.85" customHeight="1" spans="2:7">
      <c r="B328" s="13" t="s">
        <v>107</v>
      </c>
      <c r="C328" s="13" t="s">
        <v>108</v>
      </c>
      <c r="D328" s="13" t="s">
        <v>619</v>
      </c>
      <c r="E328" s="14" t="s">
        <v>30</v>
      </c>
      <c r="F328" s="14" t="s">
        <v>396</v>
      </c>
      <c r="G328" s="13" t="s">
        <v>401</v>
      </c>
    </row>
    <row r="329" ht="14.85" customHeight="1" spans="2:7">
      <c r="B329" s="13" t="s">
        <v>107</v>
      </c>
      <c r="C329" s="13" t="s">
        <v>108</v>
      </c>
      <c r="D329" s="13" t="s">
        <v>621</v>
      </c>
      <c r="E329" s="14" t="s">
        <v>30</v>
      </c>
      <c r="F329" s="14" t="s">
        <v>396</v>
      </c>
      <c r="G329" s="13" t="s">
        <v>397</v>
      </c>
    </row>
    <row r="330" ht="14.85" customHeight="1" spans="2:7">
      <c r="B330" s="13" t="s">
        <v>138</v>
      </c>
      <c r="C330" s="13" t="s">
        <v>221</v>
      </c>
      <c r="D330" s="13" t="s">
        <v>623</v>
      </c>
      <c r="E330" s="14" t="s">
        <v>30</v>
      </c>
      <c r="F330" s="14" t="s">
        <v>364</v>
      </c>
      <c r="G330" s="14"/>
    </row>
    <row r="331" ht="14.85" customHeight="1" spans="2:7">
      <c r="B331" s="13" t="s">
        <v>138</v>
      </c>
      <c r="C331" s="13" t="s">
        <v>152</v>
      </c>
      <c r="D331" s="13" t="s">
        <v>627</v>
      </c>
      <c r="E331" s="14" t="s">
        <v>30</v>
      </c>
      <c r="F331" s="14" t="s">
        <v>358</v>
      </c>
      <c r="G331" s="14"/>
    </row>
    <row r="332" ht="14.85" customHeight="1" spans="2:7">
      <c r="B332" s="13" t="s">
        <v>615</v>
      </c>
      <c r="C332" s="13" t="s">
        <v>629</v>
      </c>
      <c r="D332" s="13" t="s">
        <v>630</v>
      </c>
      <c r="E332" s="14" t="s">
        <v>30</v>
      </c>
      <c r="F332" s="14" t="s">
        <v>247</v>
      </c>
      <c r="G332" s="13" t="s">
        <v>579</v>
      </c>
    </row>
    <row r="333" ht="14.85" customHeight="1" spans="2:7">
      <c r="B333" s="13" t="s">
        <v>537</v>
      </c>
      <c r="C333" s="13" t="s">
        <v>616</v>
      </c>
      <c r="D333" s="13" t="s">
        <v>632</v>
      </c>
      <c r="E333" s="14" t="s">
        <v>30</v>
      </c>
      <c r="F333" s="14" t="s">
        <v>247</v>
      </c>
      <c r="G333" s="13" t="s">
        <v>375</v>
      </c>
    </row>
    <row r="334" ht="14.85" customHeight="1" spans="2:7">
      <c r="B334" s="13" t="s">
        <v>634</v>
      </c>
      <c r="C334" s="13" t="s">
        <v>116</v>
      </c>
      <c r="D334" s="13" t="s">
        <v>635</v>
      </c>
      <c r="E334" s="14" t="s">
        <v>30</v>
      </c>
      <c r="F334" s="14" t="s">
        <v>364</v>
      </c>
      <c r="G334" s="14"/>
    </row>
    <row r="335" ht="14.85" customHeight="1" spans="2:7">
      <c r="B335" s="13" t="s">
        <v>107</v>
      </c>
      <c r="C335" s="13" t="s">
        <v>108</v>
      </c>
      <c r="D335" s="13" t="s">
        <v>639</v>
      </c>
      <c r="E335" s="14" t="s">
        <v>30</v>
      </c>
      <c r="F335" s="14" t="s">
        <v>247</v>
      </c>
      <c r="G335" s="13" t="s">
        <v>579</v>
      </c>
    </row>
    <row r="336" ht="14.85" customHeight="1" spans="2:7">
      <c r="B336" s="13" t="s">
        <v>66</v>
      </c>
      <c r="C336" s="13" t="s">
        <v>67</v>
      </c>
      <c r="D336" s="13" t="s">
        <v>641</v>
      </c>
      <c r="E336" s="14" t="s">
        <v>30</v>
      </c>
      <c r="F336" s="14" t="s">
        <v>578</v>
      </c>
      <c r="G336" s="13" t="s">
        <v>579</v>
      </c>
    </row>
    <row r="337" ht="14.85" customHeight="1" spans="2:7">
      <c r="B337" s="13" t="s">
        <v>643</v>
      </c>
      <c r="C337" s="13" t="s">
        <v>644</v>
      </c>
      <c r="D337" s="13" t="s">
        <v>645</v>
      </c>
      <c r="E337" s="14" t="s">
        <v>30</v>
      </c>
      <c r="F337" s="14" t="s">
        <v>364</v>
      </c>
      <c r="G337" s="14"/>
    </row>
    <row r="338" ht="14.85" customHeight="1" spans="2:7">
      <c r="B338" s="13" t="s">
        <v>66</v>
      </c>
      <c r="C338" s="13" t="s">
        <v>67</v>
      </c>
      <c r="D338" s="13" t="s">
        <v>647</v>
      </c>
      <c r="E338" s="14" t="s">
        <v>30</v>
      </c>
      <c r="F338" s="14" t="s">
        <v>578</v>
      </c>
      <c r="G338" s="13" t="s">
        <v>579</v>
      </c>
    </row>
    <row r="339" ht="14.85" customHeight="1" spans="2:7">
      <c r="B339" s="13" t="s">
        <v>107</v>
      </c>
      <c r="C339" s="13" t="s">
        <v>108</v>
      </c>
      <c r="D339" s="13" t="s">
        <v>649</v>
      </c>
      <c r="E339" s="14" t="s">
        <v>30</v>
      </c>
      <c r="F339" s="14" t="s">
        <v>247</v>
      </c>
      <c r="G339" s="13" t="s">
        <v>579</v>
      </c>
    </row>
    <row r="340" ht="14.85" customHeight="1" spans="2:7">
      <c r="B340" s="13" t="s">
        <v>21</v>
      </c>
      <c r="C340" s="13" t="s">
        <v>22</v>
      </c>
      <c r="D340" s="13" t="s">
        <v>651</v>
      </c>
      <c r="E340" s="14" t="s">
        <v>30</v>
      </c>
      <c r="F340" s="14" t="s">
        <v>358</v>
      </c>
      <c r="G340" s="14"/>
    </row>
    <row r="341" ht="14.85" customHeight="1" spans="2:7">
      <c r="B341" s="13" t="s">
        <v>107</v>
      </c>
      <c r="C341" s="13" t="s">
        <v>108</v>
      </c>
      <c r="D341" s="13" t="s">
        <v>655</v>
      </c>
      <c r="E341" s="14" t="s">
        <v>30</v>
      </c>
      <c r="F341" s="14" t="s">
        <v>247</v>
      </c>
      <c r="G341" s="13" t="s">
        <v>579</v>
      </c>
    </row>
    <row r="342" ht="14.85" customHeight="1" spans="2:7">
      <c r="B342" s="13" t="s">
        <v>21</v>
      </c>
      <c r="C342" s="13" t="s">
        <v>22</v>
      </c>
      <c r="D342" s="13" t="s">
        <v>657</v>
      </c>
      <c r="E342" s="14" t="s">
        <v>30</v>
      </c>
      <c r="F342" s="14" t="s">
        <v>358</v>
      </c>
      <c r="G342" s="14"/>
    </row>
    <row r="343" ht="14.85" customHeight="1" spans="2:7">
      <c r="B343" s="13" t="s">
        <v>107</v>
      </c>
      <c r="C343" s="13" t="s">
        <v>108</v>
      </c>
      <c r="D343" s="13" t="s">
        <v>659</v>
      </c>
      <c r="E343" s="14" t="s">
        <v>30</v>
      </c>
      <c r="F343" s="14" t="s">
        <v>247</v>
      </c>
      <c r="G343" s="13" t="s">
        <v>579</v>
      </c>
    </row>
    <row r="344" ht="14.85" customHeight="1" spans="2:7">
      <c r="B344" s="13" t="s">
        <v>537</v>
      </c>
      <c r="C344" s="13" t="s">
        <v>538</v>
      </c>
      <c r="D344" s="13" t="s">
        <v>661</v>
      </c>
      <c r="E344" s="14" t="s">
        <v>30</v>
      </c>
      <c r="F344" s="14" t="s">
        <v>247</v>
      </c>
      <c r="G344" s="13" t="s">
        <v>375</v>
      </c>
    </row>
    <row r="345" ht="14.85" customHeight="1" spans="2:7">
      <c r="B345" s="13" t="s">
        <v>460</v>
      </c>
      <c r="C345" s="13" t="s">
        <v>461</v>
      </c>
      <c r="D345" s="13" t="s">
        <v>663</v>
      </c>
      <c r="E345" s="14" t="s">
        <v>30</v>
      </c>
      <c r="F345" s="14" t="s">
        <v>247</v>
      </c>
      <c r="G345" s="13" t="s">
        <v>375</v>
      </c>
    </row>
    <row r="346" ht="14.85" customHeight="1" spans="2:7">
      <c r="B346" s="13" t="s">
        <v>537</v>
      </c>
      <c r="C346" s="13" t="s">
        <v>538</v>
      </c>
      <c r="D346" s="13" t="s">
        <v>665</v>
      </c>
      <c r="E346" s="14" t="s">
        <v>30</v>
      </c>
      <c r="F346" s="14" t="s">
        <v>247</v>
      </c>
      <c r="G346" s="13" t="s">
        <v>375</v>
      </c>
    </row>
    <row r="347" ht="14.85" customHeight="1" spans="2:7">
      <c r="B347" s="13" t="s">
        <v>537</v>
      </c>
      <c r="C347" s="13" t="s">
        <v>538</v>
      </c>
      <c r="D347" s="13" t="s">
        <v>667</v>
      </c>
      <c r="E347" s="14" t="s">
        <v>30</v>
      </c>
      <c r="F347" s="14" t="s">
        <v>247</v>
      </c>
      <c r="G347" s="13" t="s">
        <v>375</v>
      </c>
    </row>
    <row r="348" ht="14.85" customHeight="1" spans="2:7">
      <c r="B348" s="13" t="s">
        <v>537</v>
      </c>
      <c r="C348" s="13" t="s">
        <v>538</v>
      </c>
      <c r="D348" s="13" t="s">
        <v>669</v>
      </c>
      <c r="E348" s="14" t="s">
        <v>30</v>
      </c>
      <c r="F348" s="14" t="s">
        <v>247</v>
      </c>
      <c r="G348" s="13" t="s">
        <v>375</v>
      </c>
    </row>
    <row r="349" ht="14.85" customHeight="1" spans="2:7">
      <c r="B349" s="13" t="s">
        <v>537</v>
      </c>
      <c r="C349" s="13" t="s">
        <v>538</v>
      </c>
      <c r="D349" s="13" t="s">
        <v>671</v>
      </c>
      <c r="E349" s="14" t="s">
        <v>30</v>
      </c>
      <c r="F349" s="14" t="s">
        <v>247</v>
      </c>
      <c r="G349" s="13" t="s">
        <v>579</v>
      </c>
    </row>
    <row r="350" ht="14.85" customHeight="1" spans="2:7">
      <c r="B350" s="13" t="s">
        <v>537</v>
      </c>
      <c r="C350" s="13" t="s">
        <v>538</v>
      </c>
      <c r="D350" s="13" t="s">
        <v>673</v>
      </c>
      <c r="E350" s="14" t="s">
        <v>30</v>
      </c>
      <c r="F350" s="14" t="s">
        <v>247</v>
      </c>
      <c r="G350" s="13" t="s">
        <v>579</v>
      </c>
    </row>
    <row r="351" ht="14.85" customHeight="1" spans="2:7">
      <c r="B351" s="13" t="s">
        <v>460</v>
      </c>
      <c r="C351" s="13" t="s">
        <v>461</v>
      </c>
      <c r="D351" s="13" t="s">
        <v>675</v>
      </c>
      <c r="E351" s="14" t="s">
        <v>30</v>
      </c>
      <c r="F351" s="14" t="s">
        <v>247</v>
      </c>
      <c r="G351" s="13" t="s">
        <v>375</v>
      </c>
    </row>
    <row r="352" ht="14.85" customHeight="1" spans="2:7">
      <c r="B352" s="13" t="s">
        <v>460</v>
      </c>
      <c r="C352" s="13" t="s">
        <v>461</v>
      </c>
      <c r="D352" s="13" t="s">
        <v>677</v>
      </c>
      <c r="E352" s="14" t="s">
        <v>30</v>
      </c>
      <c r="F352" s="14" t="s">
        <v>247</v>
      </c>
      <c r="G352" s="13" t="s">
        <v>375</v>
      </c>
    </row>
    <row r="353" ht="14.85" customHeight="1" spans="2:7">
      <c r="B353" s="13" t="s">
        <v>460</v>
      </c>
      <c r="C353" s="13" t="s">
        <v>461</v>
      </c>
      <c r="D353" s="13" t="s">
        <v>679</v>
      </c>
      <c r="E353" s="14" t="s">
        <v>30</v>
      </c>
      <c r="F353" s="14" t="s">
        <v>247</v>
      </c>
      <c r="G353" s="13" t="s">
        <v>375</v>
      </c>
    </row>
    <row r="354" ht="14.85" customHeight="1" spans="2:7">
      <c r="B354" s="13" t="s">
        <v>460</v>
      </c>
      <c r="C354" s="13" t="s">
        <v>461</v>
      </c>
      <c r="D354" s="13" t="s">
        <v>681</v>
      </c>
      <c r="E354" s="14" t="s">
        <v>30</v>
      </c>
      <c r="F354" s="14" t="s">
        <v>247</v>
      </c>
      <c r="G354" s="13" t="s">
        <v>375</v>
      </c>
    </row>
    <row r="355" ht="14.85" customHeight="1" spans="2:7">
      <c r="B355" s="13" t="s">
        <v>460</v>
      </c>
      <c r="C355" s="13" t="s">
        <v>461</v>
      </c>
      <c r="D355" s="13" t="s">
        <v>683</v>
      </c>
      <c r="E355" s="14" t="s">
        <v>30</v>
      </c>
      <c r="F355" s="14" t="s">
        <v>247</v>
      </c>
      <c r="G355" s="13" t="s">
        <v>375</v>
      </c>
    </row>
    <row r="356" ht="14.85" customHeight="1" spans="2:7">
      <c r="B356" s="13" t="s">
        <v>460</v>
      </c>
      <c r="C356" s="13" t="s">
        <v>461</v>
      </c>
      <c r="D356" s="13" t="s">
        <v>685</v>
      </c>
      <c r="E356" s="14" t="s">
        <v>30</v>
      </c>
      <c r="F356" s="14" t="s">
        <v>247</v>
      </c>
      <c r="G356" s="13" t="s">
        <v>375</v>
      </c>
    </row>
    <row r="357" ht="14.85" customHeight="1" spans="2:7">
      <c r="B357" s="13" t="s">
        <v>460</v>
      </c>
      <c r="C357" s="13" t="s">
        <v>461</v>
      </c>
      <c r="D357" s="13" t="s">
        <v>687</v>
      </c>
      <c r="E357" s="14" t="s">
        <v>30</v>
      </c>
      <c r="F357" s="14" t="s">
        <v>247</v>
      </c>
      <c r="G357" s="13" t="s">
        <v>375</v>
      </c>
    </row>
    <row r="358" ht="14.85" customHeight="1" spans="2:7">
      <c r="B358" s="13" t="s">
        <v>460</v>
      </c>
      <c r="C358" s="13" t="s">
        <v>461</v>
      </c>
      <c r="D358" s="13" t="s">
        <v>689</v>
      </c>
      <c r="E358" s="14" t="s">
        <v>30</v>
      </c>
      <c r="F358" s="14" t="s">
        <v>247</v>
      </c>
      <c r="G358" s="13" t="s">
        <v>375</v>
      </c>
    </row>
    <row r="359" ht="14.85" customHeight="1" spans="2:7">
      <c r="B359" s="13" t="s">
        <v>460</v>
      </c>
      <c r="C359" s="13" t="s">
        <v>461</v>
      </c>
      <c r="D359" s="13" t="s">
        <v>691</v>
      </c>
      <c r="E359" s="14" t="s">
        <v>30</v>
      </c>
      <c r="F359" s="14" t="s">
        <v>247</v>
      </c>
      <c r="G359" s="13" t="s">
        <v>375</v>
      </c>
    </row>
    <row r="360" ht="14.85" customHeight="1" spans="2:7">
      <c r="B360" s="13" t="s">
        <v>537</v>
      </c>
      <c r="C360" s="13" t="s">
        <v>538</v>
      </c>
      <c r="D360" s="13" t="s">
        <v>693</v>
      </c>
      <c r="E360" s="14" t="s">
        <v>30</v>
      </c>
      <c r="F360" s="14" t="s">
        <v>247</v>
      </c>
      <c r="G360" s="13" t="s">
        <v>579</v>
      </c>
    </row>
    <row r="361" ht="14.85" customHeight="1" spans="2:7">
      <c r="B361" s="13" t="s">
        <v>460</v>
      </c>
      <c r="C361" s="13" t="s">
        <v>461</v>
      </c>
      <c r="D361" s="13" t="s">
        <v>695</v>
      </c>
      <c r="E361" s="14" t="s">
        <v>30</v>
      </c>
      <c r="F361" s="14" t="s">
        <v>247</v>
      </c>
      <c r="G361" s="13" t="s">
        <v>375</v>
      </c>
    </row>
    <row r="362" ht="14.85" customHeight="1" spans="2:7">
      <c r="B362" s="13" t="s">
        <v>537</v>
      </c>
      <c r="C362" s="13" t="s">
        <v>538</v>
      </c>
      <c r="D362" s="13" t="s">
        <v>697</v>
      </c>
      <c r="E362" s="14" t="s">
        <v>30</v>
      </c>
      <c r="F362" s="14" t="s">
        <v>247</v>
      </c>
      <c r="G362" s="13" t="s">
        <v>375</v>
      </c>
    </row>
    <row r="363" ht="14.85" customHeight="1" spans="2:7">
      <c r="B363" s="13" t="s">
        <v>460</v>
      </c>
      <c r="C363" s="13" t="s">
        <v>461</v>
      </c>
      <c r="D363" s="13" t="s">
        <v>699</v>
      </c>
      <c r="E363" s="14" t="s">
        <v>30</v>
      </c>
      <c r="F363" s="14" t="s">
        <v>247</v>
      </c>
      <c r="G363" s="13" t="s">
        <v>248</v>
      </c>
    </row>
    <row r="364" ht="14.85" customHeight="1" spans="2:7">
      <c r="B364" s="13" t="s">
        <v>33</v>
      </c>
      <c r="C364" s="13" t="s">
        <v>116</v>
      </c>
      <c r="D364" s="13" t="s">
        <v>701</v>
      </c>
      <c r="E364" s="14" t="s">
        <v>30</v>
      </c>
      <c r="F364" s="14" t="s">
        <v>535</v>
      </c>
      <c r="G364" s="14"/>
    </row>
    <row r="365" ht="14.85" customHeight="1" spans="2:7">
      <c r="B365" s="13" t="s">
        <v>703</v>
      </c>
      <c r="C365" s="13" t="s">
        <v>495</v>
      </c>
      <c r="D365" s="13" t="s">
        <v>496</v>
      </c>
      <c r="E365" s="14" t="s">
        <v>30</v>
      </c>
      <c r="F365" s="14" t="s">
        <v>364</v>
      </c>
      <c r="G365" s="14"/>
    </row>
    <row r="366" ht="14.85" customHeight="1" spans="2:7">
      <c r="B366" s="13" t="s">
        <v>537</v>
      </c>
      <c r="C366" s="13" t="s">
        <v>538</v>
      </c>
      <c r="D366" s="13" t="s">
        <v>705</v>
      </c>
      <c r="E366" s="14" t="s">
        <v>30</v>
      </c>
      <c r="F366" s="14" t="s">
        <v>247</v>
      </c>
      <c r="G366" s="13" t="s">
        <v>375</v>
      </c>
    </row>
    <row r="367" ht="14.85" customHeight="1" spans="2:7">
      <c r="B367" s="13" t="s">
        <v>537</v>
      </c>
      <c r="C367" s="13" t="s">
        <v>538</v>
      </c>
      <c r="D367" s="13" t="s">
        <v>707</v>
      </c>
      <c r="E367" s="14" t="s">
        <v>30</v>
      </c>
      <c r="F367" s="14" t="s">
        <v>247</v>
      </c>
      <c r="G367" s="13" t="s">
        <v>375</v>
      </c>
    </row>
    <row r="368" ht="14.85" customHeight="1" spans="2:7">
      <c r="B368" s="13" t="s">
        <v>643</v>
      </c>
      <c r="C368" s="13" t="s">
        <v>644</v>
      </c>
      <c r="D368" s="13" t="s">
        <v>709</v>
      </c>
      <c r="E368" s="14" t="s">
        <v>30</v>
      </c>
      <c r="F368" s="14" t="s">
        <v>364</v>
      </c>
      <c r="G368" s="14"/>
    </row>
    <row r="369" ht="14.85" customHeight="1" spans="2:7">
      <c r="B369" s="13" t="s">
        <v>713</v>
      </c>
      <c r="C369" s="13" t="s">
        <v>714</v>
      </c>
      <c r="D369" s="13" t="s">
        <v>715</v>
      </c>
      <c r="E369" s="14" t="s">
        <v>30</v>
      </c>
      <c r="F369" s="14" t="s">
        <v>718</v>
      </c>
      <c r="G369" s="14"/>
    </row>
    <row r="370" ht="14.85" customHeight="1" spans="2:7">
      <c r="B370" s="13" t="s">
        <v>720</v>
      </c>
      <c r="C370" s="13" t="s">
        <v>467</v>
      </c>
      <c r="D370" s="13" t="s">
        <v>721</v>
      </c>
      <c r="E370" s="14" t="s">
        <v>30</v>
      </c>
      <c r="F370" s="14" t="s">
        <v>364</v>
      </c>
      <c r="G370" s="14"/>
    </row>
    <row r="371" ht="14.85" customHeight="1" spans="2:7">
      <c r="B371" s="13" t="s">
        <v>111</v>
      </c>
      <c r="C371" s="13" t="s">
        <v>723</v>
      </c>
      <c r="D371" s="13" t="s">
        <v>724</v>
      </c>
      <c r="E371" s="14" t="s">
        <v>30</v>
      </c>
      <c r="F371" s="14" t="s">
        <v>364</v>
      </c>
      <c r="G371" s="14"/>
    </row>
    <row r="372" ht="14.85" customHeight="1" spans="2:7">
      <c r="B372" s="13" t="s">
        <v>107</v>
      </c>
      <c r="C372" s="13" t="s">
        <v>726</v>
      </c>
      <c r="D372" s="13" t="s">
        <v>727</v>
      </c>
      <c r="E372" s="14" t="s">
        <v>30</v>
      </c>
      <c r="F372" s="14" t="s">
        <v>247</v>
      </c>
      <c r="G372" s="13" t="s">
        <v>579</v>
      </c>
    </row>
    <row r="373" ht="14.85" customHeight="1" spans="2:7">
      <c r="B373" s="13" t="s">
        <v>731</v>
      </c>
      <c r="C373" s="13" t="s">
        <v>732</v>
      </c>
      <c r="D373" s="13" t="s">
        <v>733</v>
      </c>
      <c r="E373" s="14" t="s">
        <v>30</v>
      </c>
      <c r="F373" s="14" t="s">
        <v>71</v>
      </c>
      <c r="G373" s="14"/>
    </row>
    <row r="374" ht="14.85" customHeight="1" spans="2:7">
      <c r="B374" s="13" t="s">
        <v>731</v>
      </c>
      <c r="C374" s="13" t="s">
        <v>732</v>
      </c>
      <c r="D374" s="13" t="s">
        <v>737</v>
      </c>
      <c r="E374" s="14" t="s">
        <v>30</v>
      </c>
      <c r="F374" s="14" t="s">
        <v>71</v>
      </c>
      <c r="G374" s="14"/>
    </row>
    <row r="375" ht="14.85" customHeight="1" spans="2:7">
      <c r="B375" s="13" t="s">
        <v>731</v>
      </c>
      <c r="C375" s="13" t="s">
        <v>732</v>
      </c>
      <c r="D375" s="13" t="s">
        <v>739</v>
      </c>
      <c r="E375" s="14" t="s">
        <v>30</v>
      </c>
      <c r="F375" s="14" t="s">
        <v>71</v>
      </c>
      <c r="G375" s="14"/>
    </row>
    <row r="376" ht="14.85" customHeight="1" spans="2:7">
      <c r="B376" s="13" t="s">
        <v>460</v>
      </c>
      <c r="C376" s="13" t="s">
        <v>741</v>
      </c>
      <c r="D376" s="13" t="s">
        <v>742</v>
      </c>
      <c r="E376" s="14" t="s">
        <v>30</v>
      </c>
      <c r="F376" s="14" t="s">
        <v>143</v>
      </c>
      <c r="G376" s="14"/>
    </row>
    <row r="377" ht="14.85" customHeight="1" spans="2:7">
      <c r="B377" s="13" t="s">
        <v>107</v>
      </c>
      <c r="C377" s="13" t="s">
        <v>726</v>
      </c>
      <c r="D377" s="13" t="s">
        <v>744</v>
      </c>
      <c r="E377" s="14" t="s">
        <v>30</v>
      </c>
      <c r="F377" s="14" t="s">
        <v>247</v>
      </c>
      <c r="G377" s="13" t="s">
        <v>579</v>
      </c>
    </row>
    <row r="378" ht="14.85" customHeight="1" spans="2:7">
      <c r="B378" s="13" t="s">
        <v>746</v>
      </c>
      <c r="C378" s="13" t="s">
        <v>747</v>
      </c>
      <c r="D378" s="13" t="s">
        <v>741</v>
      </c>
      <c r="E378" s="14" t="s">
        <v>30</v>
      </c>
      <c r="F378" s="14" t="s">
        <v>364</v>
      </c>
      <c r="G378" s="14"/>
    </row>
    <row r="379" ht="14.85" customHeight="1" spans="2:7">
      <c r="B379" s="13" t="s">
        <v>751</v>
      </c>
      <c r="C379" s="13" t="s">
        <v>752</v>
      </c>
      <c r="D379" s="13" t="s">
        <v>753</v>
      </c>
      <c r="E379" s="14" t="s">
        <v>30</v>
      </c>
      <c r="F379" s="14" t="s">
        <v>247</v>
      </c>
      <c r="G379" s="13" t="s">
        <v>756</v>
      </c>
    </row>
    <row r="380" ht="14.85" customHeight="1" spans="2:7">
      <c r="B380" s="13" t="s">
        <v>758</v>
      </c>
      <c r="C380" s="13" t="s">
        <v>67</v>
      </c>
      <c r="D380" s="13" t="s">
        <v>759</v>
      </c>
      <c r="E380" s="14" t="s">
        <v>30</v>
      </c>
      <c r="F380" s="14" t="s">
        <v>578</v>
      </c>
      <c r="G380" s="13" t="s">
        <v>401</v>
      </c>
    </row>
    <row r="381" ht="14.85" customHeight="1" spans="2:7">
      <c r="B381" s="13" t="s">
        <v>763</v>
      </c>
      <c r="C381" s="13" t="s">
        <v>34</v>
      </c>
      <c r="D381" s="13" t="s">
        <v>764</v>
      </c>
      <c r="E381" s="14" t="s">
        <v>30</v>
      </c>
      <c r="F381" s="14" t="s">
        <v>535</v>
      </c>
      <c r="G381" s="14"/>
    </row>
    <row r="382" ht="14.85" customHeight="1" spans="2:7">
      <c r="B382" s="13" t="s">
        <v>460</v>
      </c>
      <c r="C382" s="13" t="s">
        <v>766</v>
      </c>
      <c r="D382" s="13" t="s">
        <v>767</v>
      </c>
      <c r="E382" s="14" t="s">
        <v>30</v>
      </c>
      <c r="F382" s="14" t="s">
        <v>143</v>
      </c>
      <c r="G382" s="14"/>
    </row>
    <row r="383" ht="14.85" customHeight="1" spans="2:7">
      <c r="B383" s="13" t="s">
        <v>460</v>
      </c>
      <c r="C383" s="13" t="s">
        <v>769</v>
      </c>
      <c r="D383" s="13" t="s">
        <v>770</v>
      </c>
      <c r="E383" s="14" t="s">
        <v>30</v>
      </c>
      <c r="F383" s="14" t="s">
        <v>143</v>
      </c>
      <c r="G383" s="14"/>
    </row>
    <row r="384" ht="14.85" customHeight="1" spans="2:7">
      <c r="B384" s="13" t="s">
        <v>460</v>
      </c>
      <c r="C384" s="13" t="s">
        <v>769</v>
      </c>
      <c r="D384" s="13" t="s">
        <v>772</v>
      </c>
      <c r="E384" s="14" t="s">
        <v>30</v>
      </c>
      <c r="F384" s="14" t="s">
        <v>143</v>
      </c>
      <c r="G384" s="14"/>
    </row>
    <row r="385" ht="14.85" customHeight="1" spans="2:7">
      <c r="B385" s="13" t="s">
        <v>774</v>
      </c>
      <c r="C385" s="13" t="s">
        <v>775</v>
      </c>
      <c r="D385" s="13" t="s">
        <v>776</v>
      </c>
      <c r="E385" s="14" t="s">
        <v>30</v>
      </c>
      <c r="F385" s="14" t="s">
        <v>166</v>
      </c>
      <c r="G385" s="14"/>
    </row>
    <row r="386" ht="14.85" customHeight="1" spans="2:7">
      <c r="B386" s="13" t="s">
        <v>778</v>
      </c>
      <c r="C386" s="13" t="s">
        <v>779</v>
      </c>
      <c r="D386" s="13" t="s">
        <v>780</v>
      </c>
      <c r="E386" s="14" t="s">
        <v>30</v>
      </c>
      <c r="F386" s="14" t="s">
        <v>166</v>
      </c>
      <c r="G386" s="14"/>
    </row>
    <row r="387" ht="14.85" customHeight="1" spans="2:7">
      <c r="B387" s="13" t="s">
        <v>782</v>
      </c>
      <c r="C387" s="13" t="s">
        <v>783</v>
      </c>
      <c r="D387" s="13" t="s">
        <v>741</v>
      </c>
      <c r="E387" s="14" t="s">
        <v>30</v>
      </c>
      <c r="F387" s="14" t="s">
        <v>166</v>
      </c>
      <c r="G387" s="14"/>
    </row>
    <row r="388" ht="14.85" customHeight="1" spans="2:7">
      <c r="B388" s="13" t="s">
        <v>782</v>
      </c>
      <c r="C388" s="13" t="s">
        <v>785</v>
      </c>
      <c r="D388" s="13" t="s">
        <v>741</v>
      </c>
      <c r="E388" s="14" t="s">
        <v>30</v>
      </c>
      <c r="F388" s="14" t="s">
        <v>166</v>
      </c>
      <c r="G388" s="14"/>
    </row>
    <row r="389" ht="14.85" customHeight="1" spans="2:7">
      <c r="B389" s="13" t="s">
        <v>295</v>
      </c>
      <c r="C389" s="13" t="s">
        <v>787</v>
      </c>
      <c r="D389" s="13" t="s">
        <v>788</v>
      </c>
      <c r="E389" s="14" t="s">
        <v>30</v>
      </c>
      <c r="F389" s="14" t="s">
        <v>247</v>
      </c>
      <c r="G389" s="13" t="s">
        <v>791</v>
      </c>
    </row>
    <row r="390" ht="14.85" customHeight="1" spans="2:7">
      <c r="B390" s="13" t="s">
        <v>793</v>
      </c>
      <c r="C390" s="13" t="s">
        <v>116</v>
      </c>
      <c r="D390" s="13" t="s">
        <v>794</v>
      </c>
      <c r="E390" s="14" t="s">
        <v>30</v>
      </c>
      <c r="F390" s="14" t="s">
        <v>166</v>
      </c>
      <c r="G390" s="14"/>
    </row>
    <row r="391" ht="14.85" customHeight="1" spans="2:7">
      <c r="B391" s="13" t="s">
        <v>793</v>
      </c>
      <c r="C391" s="13" t="s">
        <v>34</v>
      </c>
      <c r="D391" s="13" t="s">
        <v>798</v>
      </c>
      <c r="E391" s="14" t="s">
        <v>30</v>
      </c>
      <c r="F391" s="14" t="s">
        <v>166</v>
      </c>
      <c r="G391" s="14"/>
    </row>
    <row r="392" ht="14.85" customHeight="1" spans="2:7">
      <c r="B392" s="13" t="s">
        <v>800</v>
      </c>
      <c r="C392" s="13" t="s">
        <v>34</v>
      </c>
      <c r="D392" s="13" t="s">
        <v>801</v>
      </c>
      <c r="E392" s="14" t="s">
        <v>30</v>
      </c>
      <c r="F392" s="14" t="s">
        <v>166</v>
      </c>
      <c r="G392" s="14"/>
    </row>
    <row r="393" ht="14.85" customHeight="1" spans="2:7">
      <c r="B393" s="13" t="s">
        <v>615</v>
      </c>
      <c r="C393" s="13" t="s">
        <v>538</v>
      </c>
      <c r="D393" s="13" t="s">
        <v>803</v>
      </c>
      <c r="E393" s="14" t="s">
        <v>30</v>
      </c>
      <c r="F393" s="14" t="s">
        <v>166</v>
      </c>
      <c r="G393" s="14"/>
    </row>
    <row r="394" ht="14.85" customHeight="1" spans="2:7">
      <c r="B394" s="13" t="s">
        <v>805</v>
      </c>
      <c r="C394" s="13" t="s">
        <v>806</v>
      </c>
      <c r="D394" s="13" t="s">
        <v>807</v>
      </c>
      <c r="E394" s="14" t="s">
        <v>30</v>
      </c>
      <c r="F394" s="14" t="s">
        <v>143</v>
      </c>
      <c r="G394" s="13" t="s">
        <v>810</v>
      </c>
    </row>
    <row r="395" ht="14.85" customHeight="1" spans="2:7">
      <c r="B395" s="13" t="s">
        <v>812</v>
      </c>
      <c r="C395" s="13" t="s">
        <v>813</v>
      </c>
      <c r="D395" s="13" t="s">
        <v>814</v>
      </c>
      <c r="E395" s="14" t="s">
        <v>30</v>
      </c>
      <c r="F395" s="14" t="s">
        <v>143</v>
      </c>
      <c r="G395" s="14"/>
    </row>
    <row r="396" ht="14.85" customHeight="1" spans="2:7">
      <c r="B396" s="13" t="s">
        <v>812</v>
      </c>
      <c r="C396" s="13" t="s">
        <v>813</v>
      </c>
      <c r="D396" s="13" t="s">
        <v>818</v>
      </c>
      <c r="E396" s="14" t="s">
        <v>30</v>
      </c>
      <c r="F396" s="14" t="s">
        <v>143</v>
      </c>
      <c r="G396" s="14"/>
    </row>
    <row r="397" ht="14.85" customHeight="1" spans="2:7">
      <c r="B397" s="13" t="s">
        <v>812</v>
      </c>
      <c r="C397" s="13" t="s">
        <v>813</v>
      </c>
      <c r="D397" s="13" t="s">
        <v>807</v>
      </c>
      <c r="E397" s="14" t="s">
        <v>30</v>
      </c>
      <c r="F397" s="14" t="s">
        <v>143</v>
      </c>
      <c r="G397" s="14"/>
    </row>
    <row r="398" ht="14.85" customHeight="1" spans="2:7">
      <c r="B398" s="13" t="s">
        <v>812</v>
      </c>
      <c r="C398" s="13" t="s">
        <v>813</v>
      </c>
      <c r="D398" s="13" t="s">
        <v>814</v>
      </c>
      <c r="E398" s="14" t="s">
        <v>30</v>
      </c>
      <c r="F398" s="14" t="s">
        <v>143</v>
      </c>
      <c r="G398" s="14"/>
    </row>
    <row r="399" ht="14.85" customHeight="1" spans="2:7">
      <c r="B399" s="13" t="s">
        <v>812</v>
      </c>
      <c r="C399" s="13" t="s">
        <v>825</v>
      </c>
      <c r="D399" s="13" t="s">
        <v>826</v>
      </c>
      <c r="E399" s="14" t="s">
        <v>30</v>
      </c>
      <c r="F399" s="14" t="s">
        <v>143</v>
      </c>
      <c r="G399" s="14"/>
    </row>
    <row r="400" ht="14.85" customHeight="1" spans="2:7">
      <c r="B400" s="13" t="s">
        <v>812</v>
      </c>
      <c r="C400" s="13" t="s">
        <v>813</v>
      </c>
      <c r="D400" s="13" t="s">
        <v>830</v>
      </c>
      <c r="E400" s="14" t="s">
        <v>30</v>
      </c>
      <c r="F400" s="14" t="s">
        <v>143</v>
      </c>
      <c r="G400" s="14"/>
    </row>
    <row r="401" ht="14.85" customHeight="1" spans="2:7">
      <c r="B401" s="13" t="s">
        <v>832</v>
      </c>
      <c r="C401" s="13" t="s">
        <v>833</v>
      </c>
      <c r="D401" s="13" t="s">
        <v>834</v>
      </c>
      <c r="E401" s="14" t="s">
        <v>30</v>
      </c>
      <c r="F401" s="14" t="s">
        <v>143</v>
      </c>
      <c r="G401" s="14"/>
    </row>
    <row r="402" ht="14.85" customHeight="1" spans="2:7">
      <c r="B402" s="13" t="s">
        <v>812</v>
      </c>
      <c r="C402" s="13" t="s">
        <v>813</v>
      </c>
      <c r="D402" s="13" t="s">
        <v>814</v>
      </c>
      <c r="E402" s="14" t="s">
        <v>30</v>
      </c>
      <c r="F402" s="14" t="s">
        <v>143</v>
      </c>
      <c r="G402" s="14"/>
    </row>
    <row r="403" ht="14.85" customHeight="1" spans="2:7">
      <c r="B403" s="13" t="s">
        <v>836</v>
      </c>
      <c r="C403" s="13" t="s">
        <v>837</v>
      </c>
      <c r="D403" s="13" t="s">
        <v>838</v>
      </c>
      <c r="E403" s="14" t="s">
        <v>30</v>
      </c>
      <c r="F403" s="14" t="s">
        <v>143</v>
      </c>
      <c r="G403" s="14"/>
    </row>
    <row r="404" ht="14.85" customHeight="1" spans="2:7">
      <c r="B404" s="13" t="s">
        <v>812</v>
      </c>
      <c r="C404" s="13" t="s">
        <v>843</v>
      </c>
      <c r="D404" s="13" t="s">
        <v>844</v>
      </c>
      <c r="E404" s="14" t="s">
        <v>30</v>
      </c>
      <c r="F404" s="14" t="s">
        <v>143</v>
      </c>
      <c r="G404" s="14"/>
    </row>
    <row r="405" ht="14.85" customHeight="1" spans="2:7">
      <c r="B405" s="13" t="s">
        <v>812</v>
      </c>
      <c r="C405" s="13" t="s">
        <v>843</v>
      </c>
      <c r="D405" s="13" t="s">
        <v>846</v>
      </c>
      <c r="E405" s="14" t="s">
        <v>30</v>
      </c>
      <c r="F405" s="14" t="s">
        <v>143</v>
      </c>
      <c r="G405" s="14"/>
    </row>
    <row r="406" ht="14.85" customHeight="1" spans="2:7">
      <c r="B406" s="15" t="s">
        <v>848</v>
      </c>
      <c r="C406" s="15" t="s">
        <v>849</v>
      </c>
      <c r="D406" s="15" t="s">
        <v>850</v>
      </c>
      <c r="E406" s="16" t="s">
        <v>30</v>
      </c>
      <c r="F406" s="16" t="s">
        <v>143</v>
      </c>
      <c r="G406" s="16"/>
    </row>
    <row r="407" s="10" customFormat="1" ht="22.5" customHeight="1" spans="1:7">
      <c r="A407" s="17">
        <v>68</v>
      </c>
      <c r="B407" s="13" t="s">
        <v>163</v>
      </c>
      <c r="C407" s="13" t="s">
        <v>168</v>
      </c>
      <c r="D407" s="13" t="s">
        <v>165</v>
      </c>
      <c r="E407" s="14" t="s">
        <v>51</v>
      </c>
      <c r="F407" s="14" t="s">
        <v>143</v>
      </c>
      <c r="G407" s="14"/>
    </row>
    <row r="408" s="10" customFormat="1" ht="22.5" customHeight="1" spans="1:7">
      <c r="A408" s="17">
        <v>69</v>
      </c>
      <c r="B408" s="13" t="s">
        <v>163</v>
      </c>
      <c r="C408" s="13" t="s">
        <v>168</v>
      </c>
      <c r="D408" s="13" t="s">
        <v>855</v>
      </c>
      <c r="E408" s="14" t="s">
        <v>51</v>
      </c>
      <c r="F408" s="14" t="s">
        <v>143</v>
      </c>
      <c r="G408" s="14"/>
    </row>
    <row r="409" ht="14.85" customHeight="1" spans="2:7">
      <c r="B409" s="18" t="s">
        <v>138</v>
      </c>
      <c r="C409" s="18" t="s">
        <v>898</v>
      </c>
      <c r="D409" s="18" t="s">
        <v>899</v>
      </c>
      <c r="E409" s="19" t="s">
        <v>30</v>
      </c>
      <c r="F409" s="19" t="s">
        <v>143</v>
      </c>
      <c r="G409" s="19"/>
    </row>
    <row r="410" ht="14.85" customHeight="1" spans="2:7">
      <c r="B410" s="13" t="s">
        <v>138</v>
      </c>
      <c r="C410" s="13" t="s">
        <v>902</v>
      </c>
      <c r="D410" s="13" t="s">
        <v>903</v>
      </c>
      <c r="E410" s="14" t="s">
        <v>30</v>
      </c>
      <c r="F410" s="14" t="s">
        <v>143</v>
      </c>
      <c r="G410" s="14"/>
    </row>
    <row r="411" ht="14.85" customHeight="1" spans="2:7">
      <c r="B411" s="13" t="s">
        <v>494</v>
      </c>
      <c r="C411" s="13" t="s">
        <v>495</v>
      </c>
      <c r="D411" s="13" t="s">
        <v>496</v>
      </c>
      <c r="E411" s="14" t="s">
        <v>30</v>
      </c>
      <c r="F411" s="14" t="s">
        <v>364</v>
      </c>
      <c r="G411" s="14"/>
    </row>
    <row r="412" ht="14.85" customHeight="1" spans="2:7">
      <c r="B412" s="13" t="s">
        <v>758</v>
      </c>
      <c r="C412" s="13" t="s">
        <v>67</v>
      </c>
      <c r="D412" s="13" t="s">
        <v>909</v>
      </c>
      <c r="E412" s="14" t="s">
        <v>30</v>
      </c>
      <c r="F412" s="14" t="s">
        <v>578</v>
      </c>
      <c r="G412" s="13" t="s">
        <v>401</v>
      </c>
    </row>
    <row r="413" ht="14.85" customHeight="1" spans="2:7">
      <c r="B413" s="13" t="s">
        <v>758</v>
      </c>
      <c r="C413" s="13" t="s">
        <v>67</v>
      </c>
      <c r="D413" s="13" t="s">
        <v>913</v>
      </c>
      <c r="E413" s="14" t="s">
        <v>30</v>
      </c>
      <c r="F413" s="14" t="s">
        <v>578</v>
      </c>
      <c r="G413" s="13" t="s">
        <v>397</v>
      </c>
    </row>
    <row r="414" ht="14.85" customHeight="1" spans="2:7">
      <c r="B414" s="13" t="s">
        <v>812</v>
      </c>
      <c r="C414" s="13" t="s">
        <v>806</v>
      </c>
      <c r="D414" s="13" t="s">
        <v>807</v>
      </c>
      <c r="E414" s="14" t="s">
        <v>30</v>
      </c>
      <c r="F414" s="14" t="s">
        <v>143</v>
      </c>
      <c r="G414" s="13" t="s">
        <v>1180</v>
      </c>
    </row>
    <row r="415" ht="14.85" customHeight="1" spans="2:7">
      <c r="B415" s="13" t="s">
        <v>946</v>
      </c>
      <c r="C415" s="13" t="s">
        <v>947</v>
      </c>
      <c r="D415" s="13" t="s">
        <v>948</v>
      </c>
      <c r="E415" s="14" t="s">
        <v>30</v>
      </c>
      <c r="F415" s="14" t="s">
        <v>166</v>
      </c>
      <c r="G415" s="14"/>
    </row>
    <row r="416" ht="14.85" customHeight="1" spans="2:7">
      <c r="B416" s="13" t="s">
        <v>53</v>
      </c>
      <c r="C416" s="13" t="s">
        <v>54</v>
      </c>
      <c r="D416" s="13" t="s">
        <v>1072</v>
      </c>
      <c r="E416" s="14" t="s">
        <v>30</v>
      </c>
      <c r="F416" s="14" t="s">
        <v>718</v>
      </c>
      <c r="G416" s="14"/>
    </row>
    <row r="417" ht="14.85" customHeight="1" spans="2:7">
      <c r="B417" s="13" t="s">
        <v>295</v>
      </c>
      <c r="C417" s="13" t="s">
        <v>1181</v>
      </c>
      <c r="D417" s="13" t="s">
        <v>1182</v>
      </c>
      <c r="E417" s="14" t="s">
        <v>30</v>
      </c>
      <c r="F417" s="14" t="s">
        <v>293</v>
      </c>
      <c r="G417" s="14"/>
    </row>
    <row r="418" ht="14.85" customHeight="1" spans="2:7">
      <c r="B418" s="13" t="s">
        <v>952</v>
      </c>
      <c r="C418" s="13" t="s">
        <v>953</v>
      </c>
      <c r="D418" s="13" t="s">
        <v>954</v>
      </c>
      <c r="E418" s="14" t="s">
        <v>957</v>
      </c>
      <c r="F418" s="14" t="s">
        <v>247</v>
      </c>
      <c r="G418" s="13" t="s">
        <v>958</v>
      </c>
    </row>
    <row r="419" ht="14.85" customHeight="1" spans="2:7">
      <c r="B419" s="13" t="s">
        <v>960</v>
      </c>
      <c r="C419" s="13" t="s">
        <v>961</v>
      </c>
      <c r="D419" s="13" t="s">
        <v>962</v>
      </c>
      <c r="E419" s="14" t="s">
        <v>957</v>
      </c>
      <c r="F419" s="14" t="s">
        <v>247</v>
      </c>
      <c r="G419" s="13" t="s">
        <v>878</v>
      </c>
    </row>
    <row r="420" ht="14.85" customHeight="1" spans="2:7">
      <c r="B420" s="13" t="s">
        <v>967</v>
      </c>
      <c r="C420" s="13" t="s">
        <v>968</v>
      </c>
      <c r="D420" s="13" t="s">
        <v>969</v>
      </c>
      <c r="E420" s="14" t="s">
        <v>957</v>
      </c>
      <c r="F420" s="14" t="s">
        <v>247</v>
      </c>
      <c r="G420" s="13" t="s">
        <v>886</v>
      </c>
    </row>
    <row r="421" ht="14.85" customHeight="1" spans="2:7">
      <c r="B421" s="13" t="s">
        <v>967</v>
      </c>
      <c r="C421" s="13" t="s">
        <v>973</v>
      </c>
      <c r="D421" s="13" t="s">
        <v>974</v>
      </c>
      <c r="E421" s="14" t="s">
        <v>957</v>
      </c>
      <c r="F421" s="14" t="s">
        <v>247</v>
      </c>
      <c r="G421" s="13" t="s">
        <v>894</v>
      </c>
    </row>
    <row r="422" ht="14.85" customHeight="1" spans="2:7">
      <c r="B422" s="13" t="s">
        <v>967</v>
      </c>
      <c r="C422" s="13" t="s">
        <v>968</v>
      </c>
      <c r="D422" s="13" t="s">
        <v>976</v>
      </c>
      <c r="E422" s="14" t="s">
        <v>957</v>
      </c>
      <c r="F422" s="14" t="s">
        <v>247</v>
      </c>
      <c r="G422" s="13" t="s">
        <v>875</v>
      </c>
    </row>
    <row r="423" ht="14.85" customHeight="1" spans="2:7">
      <c r="B423" s="13" t="s">
        <v>138</v>
      </c>
      <c r="C423" s="13" t="s">
        <v>898</v>
      </c>
      <c r="D423" s="13" t="s">
        <v>899</v>
      </c>
      <c r="E423" s="14" t="s">
        <v>30</v>
      </c>
      <c r="F423" s="14" t="s">
        <v>247</v>
      </c>
      <c r="G423" s="13" t="s">
        <v>248</v>
      </c>
    </row>
    <row r="424" ht="14.85" customHeight="1" spans="2:7">
      <c r="B424" s="13" t="s">
        <v>138</v>
      </c>
      <c r="C424" s="13" t="s">
        <v>902</v>
      </c>
      <c r="D424" s="13" t="s">
        <v>903</v>
      </c>
      <c r="E424" s="14" t="s">
        <v>30</v>
      </c>
      <c r="F424" s="14" t="s">
        <v>247</v>
      </c>
      <c r="G424" s="13" t="s">
        <v>248</v>
      </c>
    </row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</sheetData>
  <autoFilter xmlns:etc="http://www.wps.cn/officeDocument/2017/etCustomData" ref="B3:G424" etc:filterBottomFollowUsedRange="0">
    <extLst/>
  </autoFilter>
  <sortState ref="B10:R408">
    <sortCondition ref="B10:B408"/>
  </sortState>
  <mergeCells count="1">
    <mergeCell ref="A1:G2"/>
  </mergeCells>
  <pageMargins left="0.196850393700787" right="0.196850393700787" top="0.196850393700787" bottom="0.196850393700787" header="0.511811023622047" footer="0.511811023622047"/>
  <pageSetup paperSize="9" scale="69" fitToHeight="0" orientation="portrait"/>
  <headerFooter/>
  <rowBreaks count="2" manualBreakCount="2">
    <brk id="173" max="6" man="1"/>
    <brk id="433" max="6" man="1"/>
  </rowBreaks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09"/>
  <sheetViews>
    <sheetView view="pageBreakPreview" zoomScale="55" zoomScaleNormal="85" workbookViewId="0">
      <pane ySplit="3" topLeftCell="A338" activePane="bottomLeft" state="frozen"/>
      <selection/>
      <selection pane="bottomLeft" activeCell="N26" sqref="N26"/>
    </sheetView>
  </sheetViews>
  <sheetFormatPr defaultColWidth="10.2857142857143" defaultRowHeight="12.75"/>
  <cols>
    <col min="1" max="1" width="10.2857142857143" style="3"/>
    <col min="2" max="2" width="7.71428571428571" style="3" customWidth="1"/>
    <col min="3" max="3" width="40.2571428571429" style="3" customWidth="1"/>
    <col min="4" max="4" width="52.7238095238095" style="3" customWidth="1"/>
    <col min="5" max="5" width="78.9523809523809" style="3" customWidth="1"/>
    <col min="6" max="6" width="20.7809523809524" style="3" customWidth="1"/>
    <col min="7" max="7" width="25.7047619047619" style="3" customWidth="1"/>
    <col min="8" max="8" width="21.8190476190476" style="3" customWidth="1"/>
    <col min="9" max="9" width="45.7142857142857" style="3" customWidth="1"/>
    <col min="10" max="10" width="35.8380952380952" style="3" customWidth="1"/>
    <col min="11" max="11" width="120.780952380952" style="3" customWidth="1"/>
  </cols>
  <sheetData>
    <row r="1" s="1" customFormat="1" ht="32" customHeight="1" spans="1:11">
      <c r="A1" s="4" t="s">
        <v>1183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38" customHeight="1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9"/>
    </row>
    <row r="3" s="2" customFormat="1" ht="30" customHeight="1" spans="1:11">
      <c r="A3" s="6" t="s">
        <v>2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</row>
    <row r="4" s="2" customFormat="1" ht="30" customHeight="1" spans="1:11">
      <c r="A4" s="7">
        <f>ROW()-3</f>
        <v>1</v>
      </c>
      <c r="B4" s="8" t="s">
        <v>20</v>
      </c>
      <c r="C4" s="8" t="s">
        <v>21</v>
      </c>
      <c r="D4" s="8" t="s">
        <v>22</v>
      </c>
      <c r="E4" s="8" t="s">
        <v>23</v>
      </c>
      <c r="F4" s="7" t="s">
        <v>27</v>
      </c>
      <c r="G4" s="8" t="s">
        <v>28</v>
      </c>
      <c r="H4" s="7" t="s">
        <v>29</v>
      </c>
      <c r="I4" s="7" t="s">
        <v>30</v>
      </c>
      <c r="J4" s="7" t="s">
        <v>31</v>
      </c>
      <c r="K4" s="7"/>
    </row>
    <row r="5" s="2" customFormat="1" ht="30" customHeight="1" spans="1:11">
      <c r="A5" s="7">
        <f t="shared" ref="A5:A68" si="0">ROW()-3</f>
        <v>2</v>
      </c>
      <c r="B5" s="8" t="s">
        <v>20</v>
      </c>
      <c r="C5" s="8" t="s">
        <v>33</v>
      </c>
      <c r="D5" s="8" t="s">
        <v>34</v>
      </c>
      <c r="E5" s="8" t="s">
        <v>35</v>
      </c>
      <c r="F5" s="7" t="s">
        <v>27</v>
      </c>
      <c r="G5" s="8" t="s">
        <v>28</v>
      </c>
      <c r="H5" s="7" t="s">
        <v>39</v>
      </c>
      <c r="I5" s="7" t="s">
        <v>30</v>
      </c>
      <c r="J5" s="7" t="s">
        <v>31</v>
      </c>
      <c r="K5" s="7"/>
    </row>
    <row r="6" s="2" customFormat="1" ht="30" customHeight="1" spans="1:11">
      <c r="A6" s="7">
        <f t="shared" si="0"/>
        <v>3</v>
      </c>
      <c r="B6" s="8" t="s">
        <v>20</v>
      </c>
      <c r="C6" s="8" t="s">
        <v>41</v>
      </c>
      <c r="D6" s="8" t="s">
        <v>42</v>
      </c>
      <c r="E6" s="8" t="s">
        <v>43</v>
      </c>
      <c r="F6" s="7" t="s">
        <v>27</v>
      </c>
      <c r="G6" s="8" t="s">
        <v>28</v>
      </c>
      <c r="H6" s="7" t="s">
        <v>39</v>
      </c>
      <c r="I6" s="7" t="s">
        <v>30</v>
      </c>
      <c r="J6" s="7" t="s">
        <v>31</v>
      </c>
      <c r="K6" s="7"/>
    </row>
    <row r="7" s="2" customFormat="1" ht="30" customHeight="1" spans="1:11">
      <c r="A7" s="7">
        <f t="shared" si="0"/>
        <v>4</v>
      </c>
      <c r="B7" s="8" t="s">
        <v>20</v>
      </c>
      <c r="C7" s="8" t="s">
        <v>980</v>
      </c>
      <c r="D7" s="8" t="s">
        <v>112</v>
      </c>
      <c r="E7" s="8" t="s">
        <v>981</v>
      </c>
      <c r="F7" s="7" t="s">
        <v>27</v>
      </c>
      <c r="G7" s="8" t="s">
        <v>28</v>
      </c>
      <c r="H7" s="7" t="s">
        <v>39</v>
      </c>
      <c r="I7" s="7" t="s">
        <v>30</v>
      </c>
      <c r="J7" s="7" t="s">
        <v>31</v>
      </c>
      <c r="K7" s="7"/>
    </row>
    <row r="8" s="2" customFormat="1" ht="30" customHeight="1" spans="1:11">
      <c r="A8" s="7">
        <f t="shared" si="0"/>
        <v>5</v>
      </c>
      <c r="B8" s="8" t="s">
        <v>20</v>
      </c>
      <c r="C8" s="8" t="s">
        <v>982</v>
      </c>
      <c r="D8" s="8" t="s">
        <v>983</v>
      </c>
      <c r="E8" s="8" t="s">
        <v>984</v>
      </c>
      <c r="F8" s="7" t="s">
        <v>27</v>
      </c>
      <c r="G8" s="8" t="s">
        <v>28</v>
      </c>
      <c r="H8" s="7" t="s">
        <v>39</v>
      </c>
      <c r="I8" s="7" t="s">
        <v>30</v>
      </c>
      <c r="J8" s="7" t="s">
        <v>61</v>
      </c>
      <c r="K8" s="7"/>
    </row>
    <row r="9" s="2" customFormat="1" ht="30" customHeight="1" spans="1:11">
      <c r="A9" s="7">
        <f t="shared" si="0"/>
        <v>6</v>
      </c>
      <c r="B9" s="8" t="s">
        <v>20</v>
      </c>
      <c r="C9" s="8" t="s">
        <v>985</v>
      </c>
      <c r="D9" s="8" t="s">
        <v>986</v>
      </c>
      <c r="E9" s="8" t="s">
        <v>987</v>
      </c>
      <c r="F9" s="7" t="s">
        <v>27</v>
      </c>
      <c r="G9" s="8" t="s">
        <v>28</v>
      </c>
      <c r="H9" s="7" t="s">
        <v>39</v>
      </c>
      <c r="I9" s="7" t="s">
        <v>30</v>
      </c>
      <c r="J9" s="7" t="s">
        <v>124</v>
      </c>
      <c r="K9" s="7"/>
    </row>
    <row r="10" s="2" customFormat="1" ht="30" customHeight="1" spans="1:11">
      <c r="A10" s="7">
        <f t="shared" si="0"/>
        <v>7</v>
      </c>
      <c r="B10" s="8" t="s">
        <v>20</v>
      </c>
      <c r="C10" s="8" t="s">
        <v>48</v>
      </c>
      <c r="D10" s="8" t="s">
        <v>49</v>
      </c>
      <c r="E10" s="8" t="s">
        <v>50</v>
      </c>
      <c r="F10" s="7" t="s">
        <v>27</v>
      </c>
      <c r="G10" s="8" t="s">
        <v>28</v>
      </c>
      <c r="H10" s="7" t="s">
        <v>39</v>
      </c>
      <c r="I10" s="7" t="s">
        <v>51</v>
      </c>
      <c r="J10" s="7" t="s">
        <v>31</v>
      </c>
      <c r="K10" s="7"/>
    </row>
    <row r="11" s="2" customFormat="1" ht="30" customHeight="1" spans="1:11">
      <c r="A11" s="7">
        <f t="shared" si="0"/>
        <v>8</v>
      </c>
      <c r="B11" s="8" t="s">
        <v>20</v>
      </c>
      <c r="C11" s="8" t="s">
        <v>53</v>
      </c>
      <c r="D11" s="8" t="s">
        <v>54</v>
      </c>
      <c r="E11" s="8" t="s">
        <v>55</v>
      </c>
      <c r="F11" s="7" t="s">
        <v>27</v>
      </c>
      <c r="G11" s="8" t="s">
        <v>28</v>
      </c>
      <c r="H11" s="7" t="s">
        <v>39</v>
      </c>
      <c r="I11" s="7" t="s">
        <v>30</v>
      </c>
      <c r="J11" s="7" t="s">
        <v>31</v>
      </c>
      <c r="K11" s="7"/>
    </row>
    <row r="12" s="2" customFormat="1" ht="30" customHeight="1" spans="1:11">
      <c r="A12" s="7">
        <f t="shared" si="0"/>
        <v>9</v>
      </c>
      <c r="B12" s="8" t="s">
        <v>20</v>
      </c>
      <c r="C12" s="8" t="s">
        <v>982</v>
      </c>
      <c r="D12" s="8" t="s">
        <v>983</v>
      </c>
      <c r="E12" s="8" t="s">
        <v>988</v>
      </c>
      <c r="F12" s="7" t="s">
        <v>27</v>
      </c>
      <c r="G12" s="8" t="s">
        <v>28</v>
      </c>
      <c r="H12" s="7" t="s">
        <v>39</v>
      </c>
      <c r="I12" s="7" t="s">
        <v>30</v>
      </c>
      <c r="J12" s="7" t="s">
        <v>31</v>
      </c>
      <c r="K12" s="7"/>
    </row>
    <row r="13" s="2" customFormat="1" ht="30" customHeight="1" spans="1:11">
      <c r="A13" s="7">
        <f t="shared" si="0"/>
        <v>10</v>
      </c>
      <c r="B13" s="8" t="s">
        <v>20</v>
      </c>
      <c r="C13" s="8" t="s">
        <v>989</v>
      </c>
      <c r="D13" s="8" t="s">
        <v>990</v>
      </c>
      <c r="E13" s="8" t="s">
        <v>991</v>
      </c>
      <c r="F13" s="7" t="s">
        <v>27</v>
      </c>
      <c r="G13" s="8" t="s">
        <v>1184</v>
      </c>
      <c r="H13" s="7" t="s">
        <v>29</v>
      </c>
      <c r="I13" s="7" t="s">
        <v>30</v>
      </c>
      <c r="J13" s="7" t="s">
        <v>61</v>
      </c>
      <c r="K13" s="7"/>
    </row>
    <row r="14" s="2" customFormat="1" ht="30" customHeight="1" spans="1:11">
      <c r="A14" s="7">
        <f t="shared" si="0"/>
        <v>11</v>
      </c>
      <c r="B14" s="8" t="s">
        <v>20</v>
      </c>
      <c r="C14" s="8" t="s">
        <v>48</v>
      </c>
      <c r="D14" s="8" t="s">
        <v>59</v>
      </c>
      <c r="E14" s="8" t="s">
        <v>60</v>
      </c>
      <c r="F14" s="7" t="s">
        <v>27</v>
      </c>
      <c r="G14" s="8" t="s">
        <v>28</v>
      </c>
      <c r="H14" s="7" t="s">
        <v>39</v>
      </c>
      <c r="I14" s="7" t="s">
        <v>51</v>
      </c>
      <c r="J14" s="7" t="s">
        <v>61</v>
      </c>
      <c r="K14" s="7"/>
    </row>
    <row r="15" s="2" customFormat="1" ht="30" customHeight="1" spans="1:11">
      <c r="A15" s="7">
        <f t="shared" si="0"/>
        <v>12</v>
      </c>
      <c r="B15" s="8" t="s">
        <v>20</v>
      </c>
      <c r="C15" s="8" t="s">
        <v>63</v>
      </c>
      <c r="D15" s="8" t="s">
        <v>54</v>
      </c>
      <c r="E15" s="8" t="s">
        <v>64</v>
      </c>
      <c r="F15" s="7" t="s">
        <v>27</v>
      </c>
      <c r="G15" s="8" t="s">
        <v>28</v>
      </c>
      <c r="H15" s="7" t="s">
        <v>39</v>
      </c>
      <c r="I15" s="7" t="s">
        <v>30</v>
      </c>
      <c r="J15" s="7" t="s">
        <v>61</v>
      </c>
      <c r="K15" s="7"/>
    </row>
    <row r="16" s="2" customFormat="1" ht="30" customHeight="1" spans="1:11">
      <c r="A16" s="7">
        <f t="shared" si="0"/>
        <v>13</v>
      </c>
      <c r="B16" s="8" t="s">
        <v>20</v>
      </c>
      <c r="C16" s="8" t="s">
        <v>33</v>
      </c>
      <c r="D16" s="8" t="s">
        <v>116</v>
      </c>
      <c r="E16" s="8" t="s">
        <v>992</v>
      </c>
      <c r="F16" s="7" t="s">
        <v>27</v>
      </c>
      <c r="G16" s="8" t="s">
        <v>28</v>
      </c>
      <c r="H16" s="7" t="s">
        <v>39</v>
      </c>
      <c r="I16" s="7" t="s">
        <v>30</v>
      </c>
      <c r="J16" s="7" t="s">
        <v>61</v>
      </c>
      <c r="K16" s="7"/>
    </row>
    <row r="17" s="2" customFormat="1" ht="30" customHeight="1" spans="1:11">
      <c r="A17" s="7">
        <f t="shared" si="0"/>
        <v>14</v>
      </c>
      <c r="B17" s="8" t="s">
        <v>20</v>
      </c>
      <c r="C17" s="8" t="s">
        <v>66</v>
      </c>
      <c r="D17" s="8" t="s">
        <v>67</v>
      </c>
      <c r="E17" s="8" t="s">
        <v>68</v>
      </c>
      <c r="F17" s="7" t="s">
        <v>27</v>
      </c>
      <c r="G17" s="8" t="s">
        <v>28</v>
      </c>
      <c r="H17" s="7" t="s">
        <v>29</v>
      </c>
      <c r="I17" s="7" t="s">
        <v>30</v>
      </c>
      <c r="J17" s="7" t="s">
        <v>71</v>
      </c>
      <c r="K17" s="8" t="s">
        <v>72</v>
      </c>
    </row>
    <row r="18" s="2" customFormat="1" ht="30" customHeight="1" spans="1:11">
      <c r="A18" s="7">
        <f t="shared" si="0"/>
        <v>15</v>
      </c>
      <c r="B18" s="8" t="s">
        <v>20</v>
      </c>
      <c r="C18" s="8" t="s">
        <v>74</v>
      </c>
      <c r="D18" s="8" t="s">
        <v>75</v>
      </c>
      <c r="E18" s="8" t="s">
        <v>76</v>
      </c>
      <c r="F18" s="7" t="s">
        <v>27</v>
      </c>
      <c r="G18" s="8" t="s">
        <v>28</v>
      </c>
      <c r="H18" s="7" t="s">
        <v>29</v>
      </c>
      <c r="I18" s="7" t="s">
        <v>51</v>
      </c>
      <c r="J18" s="7" t="s">
        <v>71</v>
      </c>
      <c r="K18" s="7"/>
    </row>
    <row r="19" s="2" customFormat="1" ht="30" customHeight="1" spans="1:11">
      <c r="A19" s="7">
        <f t="shared" si="0"/>
        <v>16</v>
      </c>
      <c r="B19" s="8" t="s">
        <v>20</v>
      </c>
      <c r="C19" s="8" t="s">
        <v>460</v>
      </c>
      <c r="D19" s="8" t="s">
        <v>461</v>
      </c>
      <c r="E19" s="8" t="s">
        <v>993</v>
      </c>
      <c r="F19" s="7" t="s">
        <v>27</v>
      </c>
      <c r="G19" s="8" t="s">
        <v>28</v>
      </c>
      <c r="H19" s="7" t="s">
        <v>39</v>
      </c>
      <c r="I19" s="7" t="s">
        <v>30</v>
      </c>
      <c r="J19" s="7" t="s">
        <v>166</v>
      </c>
      <c r="K19" s="7"/>
    </row>
    <row r="20" s="2" customFormat="1" ht="30" customHeight="1" spans="1:11">
      <c r="A20" s="7">
        <f t="shared" si="0"/>
        <v>17</v>
      </c>
      <c r="B20" s="8" t="s">
        <v>20</v>
      </c>
      <c r="C20" s="8" t="s">
        <v>74</v>
      </c>
      <c r="D20" s="8" t="s">
        <v>75</v>
      </c>
      <c r="E20" s="8" t="s">
        <v>79</v>
      </c>
      <c r="F20" s="7" t="s">
        <v>27</v>
      </c>
      <c r="G20" s="8" t="s">
        <v>28</v>
      </c>
      <c r="H20" s="7" t="s">
        <v>29</v>
      </c>
      <c r="I20" s="7" t="s">
        <v>51</v>
      </c>
      <c r="J20" s="7" t="s">
        <v>80</v>
      </c>
      <c r="K20" s="7"/>
    </row>
    <row r="21" s="2" customFormat="1" ht="30" customHeight="1" spans="1:11">
      <c r="A21" s="7">
        <f t="shared" si="0"/>
        <v>18</v>
      </c>
      <c r="B21" s="8" t="s">
        <v>20</v>
      </c>
      <c r="C21" s="8" t="s">
        <v>41</v>
      </c>
      <c r="D21" s="8" t="s">
        <v>42</v>
      </c>
      <c r="E21" s="8" t="s">
        <v>82</v>
      </c>
      <c r="F21" s="7" t="s">
        <v>27</v>
      </c>
      <c r="G21" s="8" t="s">
        <v>28</v>
      </c>
      <c r="H21" s="7" t="s">
        <v>39</v>
      </c>
      <c r="I21" s="7" t="s">
        <v>30</v>
      </c>
      <c r="J21" s="7" t="s">
        <v>61</v>
      </c>
      <c r="K21" s="7"/>
    </row>
    <row r="22" s="2" customFormat="1" ht="30" customHeight="1" spans="1:11">
      <c r="A22" s="7">
        <f t="shared" si="0"/>
        <v>19</v>
      </c>
      <c r="B22" s="8" t="s">
        <v>20</v>
      </c>
      <c r="C22" s="8" t="s">
        <v>460</v>
      </c>
      <c r="D22" s="8" t="s">
        <v>461</v>
      </c>
      <c r="E22" s="8" t="s">
        <v>994</v>
      </c>
      <c r="F22" s="7" t="s">
        <v>27</v>
      </c>
      <c r="G22" s="8" t="s">
        <v>28</v>
      </c>
      <c r="H22" s="7" t="s">
        <v>39</v>
      </c>
      <c r="I22" s="7" t="s">
        <v>30</v>
      </c>
      <c r="J22" s="7" t="s">
        <v>71</v>
      </c>
      <c r="K22" s="7"/>
    </row>
    <row r="23" s="2" customFormat="1" ht="30" customHeight="1" spans="1:11">
      <c r="A23" s="7">
        <f t="shared" si="0"/>
        <v>20</v>
      </c>
      <c r="B23" s="8" t="s">
        <v>20</v>
      </c>
      <c r="C23" s="8" t="s">
        <v>982</v>
      </c>
      <c r="D23" s="8" t="s">
        <v>983</v>
      </c>
      <c r="E23" s="8" t="s">
        <v>995</v>
      </c>
      <c r="F23" s="7" t="s">
        <v>27</v>
      </c>
      <c r="G23" s="8" t="s">
        <v>28</v>
      </c>
      <c r="H23" s="7" t="s">
        <v>39</v>
      </c>
      <c r="I23" s="7" t="s">
        <v>30</v>
      </c>
      <c r="J23" s="7" t="s">
        <v>87</v>
      </c>
      <c r="K23" s="7"/>
    </row>
    <row r="24" s="2" customFormat="1" ht="30" customHeight="1" spans="1:11">
      <c r="A24" s="7">
        <f t="shared" si="0"/>
        <v>21</v>
      </c>
      <c r="B24" s="8" t="s">
        <v>20</v>
      </c>
      <c r="C24" s="8" t="s">
        <v>48</v>
      </c>
      <c r="D24" s="8" t="s">
        <v>49</v>
      </c>
      <c r="E24" s="8" t="s">
        <v>86</v>
      </c>
      <c r="F24" s="7" t="s">
        <v>27</v>
      </c>
      <c r="G24" s="8" t="s">
        <v>28</v>
      </c>
      <c r="H24" s="7" t="s">
        <v>39</v>
      </c>
      <c r="I24" s="7" t="s">
        <v>51</v>
      </c>
      <c r="J24" s="7" t="s">
        <v>87</v>
      </c>
      <c r="K24" s="7"/>
    </row>
    <row r="25" s="2" customFormat="1" ht="30" customHeight="1" spans="1:11">
      <c r="A25" s="7">
        <f t="shared" si="0"/>
        <v>22</v>
      </c>
      <c r="B25" s="8" t="s">
        <v>20</v>
      </c>
      <c r="C25" s="8" t="s">
        <v>89</v>
      </c>
      <c r="D25" s="8" t="s">
        <v>90</v>
      </c>
      <c r="E25" s="8" t="s">
        <v>91</v>
      </c>
      <c r="F25" s="7" t="s">
        <v>27</v>
      </c>
      <c r="G25" s="8" t="s">
        <v>28</v>
      </c>
      <c r="H25" s="7" t="s">
        <v>29</v>
      </c>
      <c r="I25" s="7" t="s">
        <v>30</v>
      </c>
      <c r="J25" s="7" t="s">
        <v>87</v>
      </c>
      <c r="K25" s="7"/>
    </row>
    <row r="26" s="2" customFormat="1" ht="30" customHeight="1" spans="1:11">
      <c r="A26" s="7">
        <f t="shared" si="0"/>
        <v>23</v>
      </c>
      <c r="B26" s="8" t="s">
        <v>20</v>
      </c>
      <c r="C26" s="8" t="s">
        <v>41</v>
      </c>
      <c r="D26" s="8" t="s">
        <v>42</v>
      </c>
      <c r="E26" s="8" t="s">
        <v>96</v>
      </c>
      <c r="F26" s="7" t="s">
        <v>27</v>
      </c>
      <c r="G26" s="8" t="s">
        <v>28</v>
      </c>
      <c r="H26" s="7" t="s">
        <v>39</v>
      </c>
      <c r="I26" s="7" t="s">
        <v>30</v>
      </c>
      <c r="J26" s="7" t="s">
        <v>87</v>
      </c>
      <c r="K26" s="7"/>
    </row>
    <row r="27" s="2" customFormat="1" ht="30" customHeight="1" spans="1:11">
      <c r="A27" s="7">
        <f t="shared" si="0"/>
        <v>24</v>
      </c>
      <c r="B27" s="8" t="s">
        <v>20</v>
      </c>
      <c r="C27" s="8" t="s">
        <v>985</v>
      </c>
      <c r="D27" s="8" t="s">
        <v>986</v>
      </c>
      <c r="E27" s="8" t="s">
        <v>996</v>
      </c>
      <c r="F27" s="7" t="s">
        <v>27</v>
      </c>
      <c r="G27" s="8" t="s">
        <v>28</v>
      </c>
      <c r="H27" s="7" t="s">
        <v>39</v>
      </c>
      <c r="I27" s="7" t="s">
        <v>30</v>
      </c>
      <c r="J27" s="7" t="s">
        <v>136</v>
      </c>
      <c r="K27" s="7"/>
    </row>
    <row r="28" s="2" customFormat="1" ht="30" customHeight="1" spans="1:11">
      <c r="A28" s="7">
        <f t="shared" si="0"/>
        <v>25</v>
      </c>
      <c r="B28" s="8" t="s">
        <v>20</v>
      </c>
      <c r="C28" s="8" t="s">
        <v>100</v>
      </c>
      <c r="D28" s="8" t="s">
        <v>101</v>
      </c>
      <c r="E28" s="8" t="s">
        <v>102</v>
      </c>
      <c r="F28" s="7" t="s">
        <v>27</v>
      </c>
      <c r="G28" s="8" t="s">
        <v>28</v>
      </c>
      <c r="H28" s="7" t="s">
        <v>29</v>
      </c>
      <c r="I28" s="7" t="s">
        <v>51</v>
      </c>
      <c r="J28" s="7" t="s">
        <v>71</v>
      </c>
      <c r="K28" s="8" t="s">
        <v>103</v>
      </c>
    </row>
    <row r="29" s="2" customFormat="1" ht="30" customHeight="1" spans="1:11">
      <c r="A29" s="7">
        <f t="shared" si="0"/>
        <v>26</v>
      </c>
      <c r="B29" s="8" t="s">
        <v>20</v>
      </c>
      <c r="C29" s="8" t="s">
        <v>107</v>
      </c>
      <c r="D29" s="8" t="s">
        <v>108</v>
      </c>
      <c r="E29" s="8" t="s">
        <v>997</v>
      </c>
      <c r="F29" s="7" t="s">
        <v>27</v>
      </c>
      <c r="G29" s="8" t="s">
        <v>28</v>
      </c>
      <c r="H29" s="7" t="s">
        <v>39</v>
      </c>
      <c r="I29" s="7" t="s">
        <v>30</v>
      </c>
      <c r="J29" s="7" t="s">
        <v>71</v>
      </c>
      <c r="K29" s="8" t="s">
        <v>103</v>
      </c>
    </row>
    <row r="30" s="2" customFormat="1" ht="30" customHeight="1" spans="1:11">
      <c r="A30" s="7">
        <f t="shared" si="0"/>
        <v>27</v>
      </c>
      <c r="B30" s="8" t="s">
        <v>20</v>
      </c>
      <c r="C30" s="8" t="s">
        <v>66</v>
      </c>
      <c r="D30" s="8" t="s">
        <v>67</v>
      </c>
      <c r="E30" s="8" t="s">
        <v>105</v>
      </c>
      <c r="F30" s="7" t="s">
        <v>27</v>
      </c>
      <c r="G30" s="8" t="s">
        <v>28</v>
      </c>
      <c r="H30" s="7" t="s">
        <v>39</v>
      </c>
      <c r="I30" s="7" t="s">
        <v>30</v>
      </c>
      <c r="J30" s="7" t="s">
        <v>71</v>
      </c>
      <c r="K30" s="8" t="s">
        <v>103</v>
      </c>
    </row>
    <row r="31" s="2" customFormat="1" ht="30" customHeight="1" spans="1:11">
      <c r="A31" s="7">
        <f t="shared" si="0"/>
        <v>28</v>
      </c>
      <c r="B31" s="8" t="s">
        <v>20</v>
      </c>
      <c r="C31" s="8" t="s">
        <v>107</v>
      </c>
      <c r="D31" s="8" t="s">
        <v>108</v>
      </c>
      <c r="E31" s="8" t="s">
        <v>109</v>
      </c>
      <c r="F31" s="7" t="s">
        <v>27</v>
      </c>
      <c r="G31" s="8" t="s">
        <v>28</v>
      </c>
      <c r="H31" s="7" t="s">
        <v>39</v>
      </c>
      <c r="I31" s="7" t="s">
        <v>30</v>
      </c>
      <c r="J31" s="7" t="s">
        <v>71</v>
      </c>
      <c r="K31" s="8" t="s">
        <v>72</v>
      </c>
    </row>
    <row r="32" s="2" customFormat="1" ht="30" customHeight="1" spans="1:11">
      <c r="A32" s="7">
        <f t="shared" si="0"/>
        <v>29</v>
      </c>
      <c r="B32" s="8" t="s">
        <v>20</v>
      </c>
      <c r="C32" s="8" t="s">
        <v>138</v>
      </c>
      <c r="D32" s="8" t="s">
        <v>998</v>
      </c>
      <c r="E32" s="8" t="s">
        <v>999</v>
      </c>
      <c r="F32" s="7" t="s">
        <v>27</v>
      </c>
      <c r="G32" s="8" t="s">
        <v>28</v>
      </c>
      <c r="H32" s="7" t="s">
        <v>29</v>
      </c>
      <c r="I32" s="7" t="s">
        <v>30</v>
      </c>
      <c r="J32" s="7" t="s">
        <v>143</v>
      </c>
      <c r="K32" s="7"/>
    </row>
    <row r="33" s="2" customFormat="1" ht="30" customHeight="1" spans="1:11">
      <c r="A33" s="7">
        <f t="shared" si="0"/>
        <v>30</v>
      </c>
      <c r="B33" s="8" t="s">
        <v>20</v>
      </c>
      <c r="C33" s="8" t="s">
        <v>111</v>
      </c>
      <c r="D33" s="8" t="s">
        <v>112</v>
      </c>
      <c r="E33" s="8" t="s">
        <v>113</v>
      </c>
      <c r="F33" s="7" t="s">
        <v>27</v>
      </c>
      <c r="G33" s="8" t="s">
        <v>28</v>
      </c>
      <c r="H33" s="7" t="s">
        <v>39</v>
      </c>
      <c r="I33" s="7" t="s">
        <v>30</v>
      </c>
      <c r="J33" s="7" t="s">
        <v>87</v>
      </c>
      <c r="K33" s="7"/>
    </row>
    <row r="34" s="2" customFormat="1" ht="30" customHeight="1" spans="1:11">
      <c r="A34" s="7">
        <f t="shared" si="0"/>
        <v>31</v>
      </c>
      <c r="B34" s="8" t="s">
        <v>20</v>
      </c>
      <c r="C34" s="8" t="s">
        <v>989</v>
      </c>
      <c r="D34" s="8" t="s">
        <v>1000</v>
      </c>
      <c r="E34" s="8" t="s">
        <v>1001</v>
      </c>
      <c r="F34" s="7" t="s">
        <v>27</v>
      </c>
      <c r="G34" s="8" t="s">
        <v>1184</v>
      </c>
      <c r="H34" s="7" t="s">
        <v>29</v>
      </c>
      <c r="I34" s="7" t="s">
        <v>30</v>
      </c>
      <c r="J34" s="7" t="s">
        <v>358</v>
      </c>
      <c r="K34" s="7"/>
    </row>
    <row r="35" s="2" customFormat="1" ht="30" customHeight="1" spans="1:11">
      <c r="A35" s="7">
        <f t="shared" si="0"/>
        <v>32</v>
      </c>
      <c r="B35" s="8" t="s">
        <v>20</v>
      </c>
      <c r="C35" s="8" t="s">
        <v>115</v>
      </c>
      <c r="D35" s="8" t="s">
        <v>116</v>
      </c>
      <c r="E35" s="8" t="s">
        <v>117</v>
      </c>
      <c r="F35" s="7" t="s">
        <v>27</v>
      </c>
      <c r="G35" s="8" t="s">
        <v>28</v>
      </c>
      <c r="H35" s="7" t="s">
        <v>39</v>
      </c>
      <c r="I35" s="7" t="s">
        <v>30</v>
      </c>
      <c r="J35" s="7" t="s">
        <v>87</v>
      </c>
      <c r="K35" s="7"/>
    </row>
    <row r="36" s="2" customFormat="1" ht="30" customHeight="1" spans="1:11">
      <c r="A36" s="7">
        <f t="shared" si="0"/>
        <v>33</v>
      </c>
      <c r="B36" s="8" t="s">
        <v>20</v>
      </c>
      <c r="C36" s="8" t="s">
        <v>53</v>
      </c>
      <c r="D36" s="8" t="s">
        <v>54</v>
      </c>
      <c r="E36" s="8" t="s">
        <v>119</v>
      </c>
      <c r="F36" s="7" t="s">
        <v>27</v>
      </c>
      <c r="G36" s="8" t="s">
        <v>28</v>
      </c>
      <c r="H36" s="7" t="s">
        <v>39</v>
      </c>
      <c r="I36" s="7" t="s">
        <v>30</v>
      </c>
      <c r="J36" s="7" t="s">
        <v>87</v>
      </c>
      <c r="K36" s="7"/>
    </row>
    <row r="37" s="2" customFormat="1" ht="30" customHeight="1" spans="1:11">
      <c r="A37" s="7">
        <f t="shared" si="0"/>
        <v>34</v>
      </c>
      <c r="B37" s="8" t="s">
        <v>20</v>
      </c>
      <c r="C37" s="8" t="s">
        <v>121</v>
      </c>
      <c r="D37" s="8" t="s">
        <v>122</v>
      </c>
      <c r="E37" s="8" t="s">
        <v>123</v>
      </c>
      <c r="F37" s="7" t="s">
        <v>27</v>
      </c>
      <c r="G37" s="8" t="s">
        <v>28</v>
      </c>
      <c r="H37" s="7" t="s">
        <v>29</v>
      </c>
      <c r="I37" s="7" t="s">
        <v>30</v>
      </c>
      <c r="J37" s="7" t="s">
        <v>124</v>
      </c>
      <c r="K37" s="7"/>
    </row>
    <row r="38" s="2" customFormat="1" ht="30" customHeight="1" spans="1:11">
      <c r="A38" s="7">
        <f t="shared" si="0"/>
        <v>35</v>
      </c>
      <c r="B38" s="8" t="s">
        <v>20</v>
      </c>
      <c r="C38" s="8" t="s">
        <v>126</v>
      </c>
      <c r="D38" s="8" t="s">
        <v>127</v>
      </c>
      <c r="E38" s="8" t="s">
        <v>128</v>
      </c>
      <c r="F38" s="7" t="s">
        <v>27</v>
      </c>
      <c r="G38" s="8" t="s">
        <v>28</v>
      </c>
      <c r="H38" s="7" t="s">
        <v>29</v>
      </c>
      <c r="I38" s="7" t="s">
        <v>30</v>
      </c>
      <c r="J38" s="7" t="s">
        <v>129</v>
      </c>
      <c r="K38" s="7"/>
    </row>
    <row r="39" s="2" customFormat="1" ht="30" customHeight="1" spans="1:11">
      <c r="A39" s="7">
        <f t="shared" si="0"/>
        <v>36</v>
      </c>
      <c r="B39" s="8" t="s">
        <v>20</v>
      </c>
      <c r="C39" s="8" t="s">
        <v>1002</v>
      </c>
      <c r="D39" s="8" t="s">
        <v>131</v>
      </c>
      <c r="E39" s="8" t="s">
        <v>132</v>
      </c>
      <c r="F39" s="7" t="s">
        <v>27</v>
      </c>
      <c r="G39" s="8" t="s">
        <v>28</v>
      </c>
      <c r="H39" s="7" t="s">
        <v>29</v>
      </c>
      <c r="I39" s="7" t="s">
        <v>30</v>
      </c>
      <c r="J39" s="7" t="s">
        <v>133</v>
      </c>
      <c r="K39" s="7"/>
    </row>
    <row r="40" s="2" customFormat="1" ht="30" customHeight="1" spans="1:11">
      <c r="A40" s="7">
        <f t="shared" si="0"/>
        <v>37</v>
      </c>
      <c r="B40" s="8" t="s">
        <v>20</v>
      </c>
      <c r="C40" s="8" t="s">
        <v>126</v>
      </c>
      <c r="D40" s="8" t="s">
        <v>131</v>
      </c>
      <c r="E40" s="8" t="s">
        <v>135</v>
      </c>
      <c r="F40" s="7" t="s">
        <v>27</v>
      </c>
      <c r="G40" s="8" t="s">
        <v>28</v>
      </c>
      <c r="H40" s="7" t="s">
        <v>29</v>
      </c>
      <c r="I40" s="7" t="s">
        <v>30</v>
      </c>
      <c r="J40" s="7" t="s">
        <v>136</v>
      </c>
      <c r="K40" s="7"/>
    </row>
    <row r="41" s="2" customFormat="1" ht="30" customHeight="1" spans="1:11">
      <c r="A41" s="7">
        <f t="shared" si="0"/>
        <v>38</v>
      </c>
      <c r="B41" s="8" t="s">
        <v>20</v>
      </c>
      <c r="C41" s="8" t="s">
        <v>138</v>
      </c>
      <c r="D41" s="8" t="s">
        <v>139</v>
      </c>
      <c r="E41" s="8" t="s">
        <v>140</v>
      </c>
      <c r="F41" s="7" t="s">
        <v>27</v>
      </c>
      <c r="G41" s="8" t="s">
        <v>28</v>
      </c>
      <c r="H41" s="7" t="s">
        <v>29</v>
      </c>
      <c r="I41" s="7" t="s">
        <v>30</v>
      </c>
      <c r="J41" s="7" t="s">
        <v>143</v>
      </c>
      <c r="K41" s="7"/>
    </row>
    <row r="42" s="2" customFormat="1" ht="30" customHeight="1" spans="1:11">
      <c r="A42" s="7">
        <f t="shared" si="0"/>
        <v>39</v>
      </c>
      <c r="B42" s="8" t="s">
        <v>20</v>
      </c>
      <c r="C42" s="8" t="s">
        <v>145</v>
      </c>
      <c r="D42" s="8" t="s">
        <v>146</v>
      </c>
      <c r="E42" s="8" t="s">
        <v>147</v>
      </c>
      <c r="F42" s="7" t="s">
        <v>27</v>
      </c>
      <c r="G42" s="8" t="s">
        <v>28</v>
      </c>
      <c r="H42" s="7" t="s">
        <v>39</v>
      </c>
      <c r="I42" s="7" t="s">
        <v>51</v>
      </c>
      <c r="J42" s="7" t="s">
        <v>143</v>
      </c>
      <c r="K42" s="7"/>
    </row>
    <row r="43" s="2" customFormat="1" ht="30" customHeight="1" spans="1:11">
      <c r="A43" s="7">
        <f t="shared" si="0"/>
        <v>40</v>
      </c>
      <c r="B43" s="8" t="s">
        <v>20</v>
      </c>
      <c r="C43" s="8" t="s">
        <v>100</v>
      </c>
      <c r="D43" s="8" t="s">
        <v>149</v>
      </c>
      <c r="E43" s="8" t="s">
        <v>150</v>
      </c>
      <c r="F43" s="7" t="s">
        <v>27</v>
      </c>
      <c r="G43" s="8" t="s">
        <v>28</v>
      </c>
      <c r="H43" s="7" t="s">
        <v>29</v>
      </c>
      <c r="I43" s="7" t="s">
        <v>30</v>
      </c>
      <c r="J43" s="7" t="s">
        <v>143</v>
      </c>
      <c r="K43" s="7"/>
    </row>
    <row r="44" s="2" customFormat="1" ht="30" customHeight="1" spans="1:11">
      <c r="A44" s="7">
        <f t="shared" si="0"/>
        <v>41</v>
      </c>
      <c r="B44" s="8" t="s">
        <v>20</v>
      </c>
      <c r="C44" s="8" t="s">
        <v>138</v>
      </c>
      <c r="D44" s="8" t="s">
        <v>152</v>
      </c>
      <c r="E44" s="8" t="s">
        <v>153</v>
      </c>
      <c r="F44" s="7" t="s">
        <v>27</v>
      </c>
      <c r="G44" s="8" t="s">
        <v>28</v>
      </c>
      <c r="H44" s="7" t="s">
        <v>29</v>
      </c>
      <c r="I44" s="7" t="s">
        <v>30</v>
      </c>
      <c r="J44" s="7" t="s">
        <v>143</v>
      </c>
      <c r="K44" s="7"/>
    </row>
    <row r="45" s="2" customFormat="1" ht="30" customHeight="1" spans="1:11">
      <c r="A45" s="7">
        <f t="shared" si="0"/>
        <v>42</v>
      </c>
      <c r="B45" s="8" t="s">
        <v>20</v>
      </c>
      <c r="C45" s="8" t="s">
        <v>126</v>
      </c>
      <c r="D45" s="8" t="s">
        <v>122</v>
      </c>
      <c r="E45" s="8" t="s">
        <v>155</v>
      </c>
      <c r="F45" s="7" t="s">
        <v>27</v>
      </c>
      <c r="G45" s="8" t="s">
        <v>28</v>
      </c>
      <c r="H45" s="7" t="s">
        <v>29</v>
      </c>
      <c r="I45" s="7" t="s">
        <v>30</v>
      </c>
      <c r="J45" s="7" t="s">
        <v>156</v>
      </c>
      <c r="K45" s="7"/>
    </row>
    <row r="46" s="2" customFormat="1" ht="30" customHeight="1" spans="1:11">
      <c r="A46" s="7">
        <f t="shared" si="0"/>
        <v>43</v>
      </c>
      <c r="B46" s="8" t="s">
        <v>20</v>
      </c>
      <c r="C46" s="8" t="s">
        <v>158</v>
      </c>
      <c r="D46" s="8" t="s">
        <v>159</v>
      </c>
      <c r="E46" s="8" t="s">
        <v>160</v>
      </c>
      <c r="F46" s="7" t="s">
        <v>27</v>
      </c>
      <c r="G46" s="8" t="s">
        <v>28</v>
      </c>
      <c r="H46" s="7" t="s">
        <v>29</v>
      </c>
      <c r="I46" s="7" t="s">
        <v>30</v>
      </c>
      <c r="J46" s="7" t="s">
        <v>161</v>
      </c>
      <c r="K46" s="7"/>
    </row>
    <row r="47" s="2" customFormat="1" ht="30" customHeight="1" spans="1:11">
      <c r="A47" s="7">
        <f t="shared" si="0"/>
        <v>44</v>
      </c>
      <c r="B47" s="8" t="s">
        <v>20</v>
      </c>
      <c r="C47" s="8" t="s">
        <v>163</v>
      </c>
      <c r="D47" s="8" t="s">
        <v>164</v>
      </c>
      <c r="E47" s="8" t="s">
        <v>165</v>
      </c>
      <c r="F47" s="7" t="s">
        <v>27</v>
      </c>
      <c r="G47" s="8" t="s">
        <v>28</v>
      </c>
      <c r="H47" s="7" t="s">
        <v>39</v>
      </c>
      <c r="I47" s="7" t="s">
        <v>30</v>
      </c>
      <c r="J47" s="7" t="s">
        <v>166</v>
      </c>
      <c r="K47" s="7"/>
    </row>
    <row r="48" s="2" customFormat="1" ht="30" customHeight="1" spans="1:11">
      <c r="A48" s="7">
        <f t="shared" si="0"/>
        <v>45</v>
      </c>
      <c r="B48" s="8" t="s">
        <v>20</v>
      </c>
      <c r="C48" s="8" t="s">
        <v>163</v>
      </c>
      <c r="D48" s="8" t="s">
        <v>168</v>
      </c>
      <c r="E48" s="8" t="s">
        <v>169</v>
      </c>
      <c r="F48" s="7" t="s">
        <v>27</v>
      </c>
      <c r="G48" s="8" t="s">
        <v>28</v>
      </c>
      <c r="H48" s="7" t="s">
        <v>39</v>
      </c>
      <c r="I48" s="7" t="s">
        <v>51</v>
      </c>
      <c r="J48" s="7" t="s">
        <v>166</v>
      </c>
      <c r="K48" s="7"/>
    </row>
    <row r="49" s="2" customFormat="1" ht="30" customHeight="1" spans="1:11">
      <c r="A49" s="7">
        <f t="shared" si="0"/>
        <v>46</v>
      </c>
      <c r="B49" s="8" t="s">
        <v>20</v>
      </c>
      <c r="C49" s="8" t="s">
        <v>111</v>
      </c>
      <c r="D49" s="8" t="s">
        <v>112</v>
      </c>
      <c r="E49" s="8" t="s">
        <v>171</v>
      </c>
      <c r="F49" s="7" t="s">
        <v>27</v>
      </c>
      <c r="G49" s="8" t="s">
        <v>28</v>
      </c>
      <c r="H49" s="7" t="s">
        <v>39</v>
      </c>
      <c r="I49" s="7" t="s">
        <v>30</v>
      </c>
      <c r="J49" s="7" t="s">
        <v>166</v>
      </c>
      <c r="K49" s="7"/>
    </row>
    <row r="50" s="2" customFormat="1" ht="30" customHeight="1" spans="1:11">
      <c r="A50" s="7">
        <f t="shared" si="0"/>
        <v>47</v>
      </c>
      <c r="B50" s="8" t="s">
        <v>20</v>
      </c>
      <c r="C50" s="8" t="s">
        <v>138</v>
      </c>
      <c r="D50" s="8" t="s">
        <v>173</v>
      </c>
      <c r="E50" s="8" t="s">
        <v>174</v>
      </c>
      <c r="F50" s="7" t="s">
        <v>27</v>
      </c>
      <c r="G50" s="8" t="s">
        <v>28</v>
      </c>
      <c r="H50" s="7" t="s">
        <v>29</v>
      </c>
      <c r="I50" s="7" t="s">
        <v>30</v>
      </c>
      <c r="J50" s="7" t="s">
        <v>166</v>
      </c>
      <c r="K50" s="7"/>
    </row>
    <row r="51" s="2" customFormat="1" ht="30" customHeight="1" spans="1:11">
      <c r="A51" s="7">
        <f t="shared" si="0"/>
        <v>48</v>
      </c>
      <c r="B51" s="8" t="s">
        <v>20</v>
      </c>
      <c r="C51" s="8" t="s">
        <v>100</v>
      </c>
      <c r="D51" s="8" t="s">
        <v>176</v>
      </c>
      <c r="E51" s="8" t="s">
        <v>177</v>
      </c>
      <c r="F51" s="7" t="s">
        <v>27</v>
      </c>
      <c r="G51" s="8" t="s">
        <v>28</v>
      </c>
      <c r="H51" s="7" t="s">
        <v>29</v>
      </c>
      <c r="I51" s="7" t="s">
        <v>30</v>
      </c>
      <c r="J51" s="7" t="s">
        <v>166</v>
      </c>
      <c r="K51" s="7"/>
    </row>
    <row r="52" s="2" customFormat="1" ht="30" customHeight="1" spans="1:11">
      <c r="A52" s="7">
        <f t="shared" si="0"/>
        <v>49</v>
      </c>
      <c r="B52" s="8" t="s">
        <v>20</v>
      </c>
      <c r="C52" s="8" t="s">
        <v>145</v>
      </c>
      <c r="D52" s="8" t="s">
        <v>146</v>
      </c>
      <c r="E52" s="8" t="s">
        <v>181</v>
      </c>
      <c r="F52" s="7" t="s">
        <v>27</v>
      </c>
      <c r="G52" s="8" t="s">
        <v>28</v>
      </c>
      <c r="H52" s="7" t="s">
        <v>39</v>
      </c>
      <c r="I52" s="7" t="s">
        <v>51</v>
      </c>
      <c r="J52" s="7" t="s">
        <v>166</v>
      </c>
      <c r="K52" s="7"/>
    </row>
    <row r="53" s="2" customFormat="1" ht="30" customHeight="1" spans="1:11">
      <c r="A53" s="7">
        <f t="shared" si="0"/>
        <v>50</v>
      </c>
      <c r="B53" s="8" t="s">
        <v>20</v>
      </c>
      <c r="C53" s="8" t="s">
        <v>163</v>
      </c>
      <c r="D53" s="8" t="s">
        <v>183</v>
      </c>
      <c r="E53" s="8" t="s">
        <v>184</v>
      </c>
      <c r="F53" s="7" t="s">
        <v>27</v>
      </c>
      <c r="G53" s="8" t="s">
        <v>28</v>
      </c>
      <c r="H53" s="7" t="s">
        <v>39</v>
      </c>
      <c r="I53" s="7" t="s">
        <v>51</v>
      </c>
      <c r="J53" s="7" t="s">
        <v>166</v>
      </c>
      <c r="K53" s="7"/>
    </row>
    <row r="54" s="2" customFormat="1" ht="30" customHeight="1" spans="1:11">
      <c r="A54" s="7">
        <f t="shared" si="0"/>
        <v>51</v>
      </c>
      <c r="B54" s="8" t="s">
        <v>20</v>
      </c>
      <c r="C54" s="8" t="s">
        <v>163</v>
      </c>
      <c r="D54" s="8" t="s">
        <v>183</v>
      </c>
      <c r="E54" s="8" t="s">
        <v>186</v>
      </c>
      <c r="F54" s="7" t="s">
        <v>27</v>
      </c>
      <c r="G54" s="8" t="s">
        <v>28</v>
      </c>
      <c r="H54" s="7" t="s">
        <v>39</v>
      </c>
      <c r="I54" s="7" t="s">
        <v>51</v>
      </c>
      <c r="J54" s="7" t="s">
        <v>166</v>
      </c>
      <c r="K54" s="7"/>
    </row>
    <row r="55" s="2" customFormat="1" ht="30" customHeight="1" spans="1:11">
      <c r="A55" s="7">
        <f t="shared" si="0"/>
        <v>52</v>
      </c>
      <c r="B55" s="8" t="s">
        <v>20</v>
      </c>
      <c r="C55" s="8" t="s">
        <v>460</v>
      </c>
      <c r="D55" s="8" t="s">
        <v>461</v>
      </c>
      <c r="E55" s="8" t="s">
        <v>1003</v>
      </c>
      <c r="F55" s="7" t="s">
        <v>27</v>
      </c>
      <c r="G55" s="8" t="s">
        <v>28</v>
      </c>
      <c r="H55" s="7" t="s">
        <v>39</v>
      </c>
      <c r="I55" s="7" t="s">
        <v>30</v>
      </c>
      <c r="J55" s="7" t="s">
        <v>166</v>
      </c>
      <c r="K55" s="7"/>
    </row>
    <row r="56" s="2" customFormat="1" ht="30" customHeight="1" spans="1:11">
      <c r="A56" s="7">
        <f t="shared" si="0"/>
        <v>53</v>
      </c>
      <c r="B56" s="8" t="s">
        <v>20</v>
      </c>
      <c r="C56" s="8" t="s">
        <v>138</v>
      </c>
      <c r="D56" s="8" t="s">
        <v>188</v>
      </c>
      <c r="E56" s="8" t="s">
        <v>189</v>
      </c>
      <c r="F56" s="7" t="s">
        <v>27</v>
      </c>
      <c r="G56" s="8" t="s">
        <v>28</v>
      </c>
      <c r="H56" s="7" t="s">
        <v>29</v>
      </c>
      <c r="I56" s="7" t="s">
        <v>30</v>
      </c>
      <c r="J56" s="7" t="s">
        <v>143</v>
      </c>
      <c r="K56" s="7"/>
    </row>
    <row r="57" s="2" customFormat="1" ht="30" customHeight="1" spans="1:11">
      <c r="A57" s="7">
        <f t="shared" si="0"/>
        <v>54</v>
      </c>
      <c r="B57" s="8" t="s">
        <v>20</v>
      </c>
      <c r="C57" s="8" t="s">
        <v>466</v>
      </c>
      <c r="D57" s="8" t="s">
        <v>1004</v>
      </c>
      <c r="E57" s="8" t="s">
        <v>1005</v>
      </c>
      <c r="F57" s="7" t="s">
        <v>27</v>
      </c>
      <c r="G57" s="8" t="s">
        <v>28</v>
      </c>
      <c r="H57" s="7" t="s">
        <v>29</v>
      </c>
      <c r="I57" s="7" t="s">
        <v>30</v>
      </c>
      <c r="J57" s="7" t="s">
        <v>364</v>
      </c>
      <c r="K57" s="7"/>
    </row>
    <row r="58" s="2" customFormat="1" ht="30" customHeight="1" spans="1:11">
      <c r="A58" s="7">
        <f t="shared" si="0"/>
        <v>55</v>
      </c>
      <c r="B58" s="8" t="s">
        <v>20</v>
      </c>
      <c r="C58" s="8" t="s">
        <v>100</v>
      </c>
      <c r="D58" s="8" t="s">
        <v>176</v>
      </c>
      <c r="E58" s="8" t="s">
        <v>191</v>
      </c>
      <c r="F58" s="7" t="s">
        <v>27</v>
      </c>
      <c r="G58" s="8" t="s">
        <v>28</v>
      </c>
      <c r="H58" s="7" t="s">
        <v>29</v>
      </c>
      <c r="I58" s="7" t="s">
        <v>30</v>
      </c>
      <c r="J58" s="7" t="s">
        <v>143</v>
      </c>
      <c r="K58" s="7"/>
    </row>
    <row r="59" s="2" customFormat="1" ht="30" customHeight="1" spans="1:11">
      <c r="A59" s="7">
        <f t="shared" si="0"/>
        <v>56</v>
      </c>
      <c r="B59" s="8" t="s">
        <v>20</v>
      </c>
      <c r="C59" s="8" t="s">
        <v>145</v>
      </c>
      <c r="D59" s="8" t="s">
        <v>193</v>
      </c>
      <c r="E59" s="8" t="s">
        <v>194</v>
      </c>
      <c r="F59" s="7" t="s">
        <v>27</v>
      </c>
      <c r="G59" s="8" t="s">
        <v>28</v>
      </c>
      <c r="H59" s="7" t="s">
        <v>39</v>
      </c>
      <c r="I59" s="7" t="s">
        <v>51</v>
      </c>
      <c r="J59" s="7" t="s">
        <v>143</v>
      </c>
      <c r="K59" s="7"/>
    </row>
    <row r="60" s="2" customFormat="1" ht="30" customHeight="1" spans="1:11">
      <c r="A60" s="7">
        <f t="shared" si="0"/>
        <v>57</v>
      </c>
      <c r="B60" s="8" t="s">
        <v>20</v>
      </c>
      <c r="C60" s="8" t="s">
        <v>163</v>
      </c>
      <c r="D60" s="8" t="s">
        <v>168</v>
      </c>
      <c r="E60" s="8" t="s">
        <v>196</v>
      </c>
      <c r="F60" s="7" t="s">
        <v>27</v>
      </c>
      <c r="G60" s="8" t="s">
        <v>28</v>
      </c>
      <c r="H60" s="7" t="s">
        <v>39</v>
      </c>
      <c r="I60" s="7" t="s">
        <v>51</v>
      </c>
      <c r="J60" s="7" t="s">
        <v>166</v>
      </c>
      <c r="K60" s="7"/>
    </row>
    <row r="61" s="2" customFormat="1" ht="30" customHeight="1" spans="1:11">
      <c r="A61" s="7">
        <f t="shared" si="0"/>
        <v>58</v>
      </c>
      <c r="B61" s="8" t="s">
        <v>20</v>
      </c>
      <c r="C61" s="8" t="s">
        <v>163</v>
      </c>
      <c r="D61" s="8" t="s">
        <v>168</v>
      </c>
      <c r="E61" s="8" t="s">
        <v>198</v>
      </c>
      <c r="F61" s="7" t="s">
        <v>27</v>
      </c>
      <c r="G61" s="8" t="s">
        <v>28</v>
      </c>
      <c r="H61" s="7" t="s">
        <v>39</v>
      </c>
      <c r="I61" s="7" t="s">
        <v>51</v>
      </c>
      <c r="J61" s="7" t="s">
        <v>166</v>
      </c>
      <c r="K61" s="7"/>
    </row>
    <row r="62" s="2" customFormat="1" ht="30" customHeight="1" spans="1:11">
      <c r="A62" s="7">
        <f t="shared" si="0"/>
        <v>59</v>
      </c>
      <c r="B62" s="8" t="s">
        <v>20</v>
      </c>
      <c r="C62" s="8" t="s">
        <v>200</v>
      </c>
      <c r="D62" s="8" t="s">
        <v>201</v>
      </c>
      <c r="E62" s="8" t="s">
        <v>202</v>
      </c>
      <c r="F62" s="7" t="s">
        <v>27</v>
      </c>
      <c r="G62" s="8" t="s">
        <v>28</v>
      </c>
      <c r="H62" s="7" t="s">
        <v>29</v>
      </c>
      <c r="I62" s="7" t="s">
        <v>30</v>
      </c>
      <c r="J62" s="7" t="s">
        <v>166</v>
      </c>
      <c r="K62" s="7"/>
    </row>
    <row r="63" s="2" customFormat="1" ht="30" customHeight="1" spans="1:11">
      <c r="A63" s="7">
        <f t="shared" si="0"/>
        <v>60</v>
      </c>
      <c r="B63" s="8" t="s">
        <v>20</v>
      </c>
      <c r="C63" s="8" t="s">
        <v>206</v>
      </c>
      <c r="D63" s="8" t="s">
        <v>207</v>
      </c>
      <c r="E63" s="8" t="s">
        <v>208</v>
      </c>
      <c r="F63" s="7" t="s">
        <v>27</v>
      </c>
      <c r="G63" s="8" t="s">
        <v>28</v>
      </c>
      <c r="H63" s="7" t="s">
        <v>39</v>
      </c>
      <c r="I63" s="7" t="s">
        <v>30</v>
      </c>
      <c r="J63" s="7" t="s">
        <v>166</v>
      </c>
      <c r="K63" s="7"/>
    </row>
    <row r="64" s="2" customFormat="1" ht="30" customHeight="1" spans="1:11">
      <c r="A64" s="7">
        <f t="shared" si="0"/>
        <v>61</v>
      </c>
      <c r="B64" s="8" t="s">
        <v>20</v>
      </c>
      <c r="C64" s="8" t="s">
        <v>985</v>
      </c>
      <c r="D64" s="8" t="s">
        <v>986</v>
      </c>
      <c r="E64" s="8" t="s">
        <v>1006</v>
      </c>
      <c r="F64" s="7" t="s">
        <v>27</v>
      </c>
      <c r="G64" s="8" t="s">
        <v>28</v>
      </c>
      <c r="H64" s="7" t="s">
        <v>39</v>
      </c>
      <c r="I64" s="7" t="s">
        <v>30</v>
      </c>
      <c r="J64" s="7" t="s">
        <v>166</v>
      </c>
      <c r="K64" s="7"/>
    </row>
    <row r="65" s="2" customFormat="1" ht="30" customHeight="1" spans="1:11">
      <c r="A65" s="7">
        <f t="shared" si="0"/>
        <v>62</v>
      </c>
      <c r="B65" s="8" t="s">
        <v>20</v>
      </c>
      <c r="C65" s="8" t="s">
        <v>210</v>
      </c>
      <c r="D65" s="8" t="s">
        <v>211</v>
      </c>
      <c r="E65" s="8" t="s">
        <v>212</v>
      </c>
      <c r="F65" s="7" t="s">
        <v>27</v>
      </c>
      <c r="G65" s="8" t="s">
        <v>28</v>
      </c>
      <c r="H65" s="7" t="s">
        <v>39</v>
      </c>
      <c r="I65" s="7" t="s">
        <v>51</v>
      </c>
      <c r="J65" s="7" t="s">
        <v>166</v>
      </c>
      <c r="K65" s="7"/>
    </row>
    <row r="66" s="2" customFormat="1" ht="30" customHeight="1" spans="1:11">
      <c r="A66" s="7">
        <f t="shared" si="0"/>
        <v>63</v>
      </c>
      <c r="B66" s="8" t="s">
        <v>20</v>
      </c>
      <c r="C66" s="8" t="s">
        <v>210</v>
      </c>
      <c r="D66" s="8" t="s">
        <v>214</v>
      </c>
      <c r="E66" s="8" t="s">
        <v>215</v>
      </c>
      <c r="F66" s="7" t="s">
        <v>27</v>
      </c>
      <c r="G66" s="8" t="s">
        <v>28</v>
      </c>
      <c r="H66" s="7" t="s">
        <v>39</v>
      </c>
      <c r="I66" s="7" t="s">
        <v>51</v>
      </c>
      <c r="J66" s="7" t="s">
        <v>166</v>
      </c>
      <c r="K66" s="7"/>
    </row>
    <row r="67" s="2" customFormat="1" ht="30" customHeight="1" spans="1:11">
      <c r="A67" s="7">
        <f t="shared" si="0"/>
        <v>64</v>
      </c>
      <c r="B67" s="8" t="s">
        <v>20</v>
      </c>
      <c r="C67" s="8" t="s">
        <v>982</v>
      </c>
      <c r="D67" s="8" t="s">
        <v>1007</v>
      </c>
      <c r="E67" s="8" t="s">
        <v>1008</v>
      </c>
      <c r="F67" s="7" t="s">
        <v>27</v>
      </c>
      <c r="G67" s="8" t="s">
        <v>28</v>
      </c>
      <c r="H67" s="7" t="s">
        <v>39</v>
      </c>
      <c r="I67" s="7" t="s">
        <v>30</v>
      </c>
      <c r="J67" s="7" t="s">
        <v>166</v>
      </c>
      <c r="K67" s="7"/>
    </row>
    <row r="68" s="2" customFormat="1" ht="30" customHeight="1" spans="1:11">
      <c r="A68" s="7">
        <f t="shared" si="0"/>
        <v>65</v>
      </c>
      <c r="B68" s="8" t="s">
        <v>20</v>
      </c>
      <c r="C68" s="8" t="s">
        <v>217</v>
      </c>
      <c r="D68" s="8" t="s">
        <v>218</v>
      </c>
      <c r="E68" s="8" t="s">
        <v>219</v>
      </c>
      <c r="F68" s="7" t="s">
        <v>27</v>
      </c>
      <c r="G68" s="8" t="s">
        <v>28</v>
      </c>
      <c r="H68" s="7" t="s">
        <v>39</v>
      </c>
      <c r="I68" s="7" t="s">
        <v>30</v>
      </c>
      <c r="J68" s="7" t="s">
        <v>166</v>
      </c>
      <c r="K68" s="7"/>
    </row>
    <row r="69" s="2" customFormat="1" ht="30" customHeight="1" spans="1:11">
      <c r="A69" s="7">
        <f t="shared" ref="A69:A132" si="1">ROW()-3</f>
        <v>66</v>
      </c>
      <c r="B69" s="8" t="s">
        <v>20</v>
      </c>
      <c r="C69" s="8" t="s">
        <v>720</v>
      </c>
      <c r="D69" s="8" t="s">
        <v>1009</v>
      </c>
      <c r="E69" s="8" t="s">
        <v>1010</v>
      </c>
      <c r="F69" s="7" t="s">
        <v>27</v>
      </c>
      <c r="G69" s="8" t="s">
        <v>28</v>
      </c>
      <c r="H69" s="7" t="s">
        <v>39</v>
      </c>
      <c r="I69" s="7" t="s">
        <v>30</v>
      </c>
      <c r="J69" s="7" t="s">
        <v>166</v>
      </c>
      <c r="K69" s="7"/>
    </row>
    <row r="70" s="2" customFormat="1" ht="30" customHeight="1" spans="1:11">
      <c r="A70" s="7">
        <f t="shared" si="1"/>
        <v>67</v>
      </c>
      <c r="B70" s="8" t="s">
        <v>20</v>
      </c>
      <c r="C70" s="8" t="s">
        <v>138</v>
      </c>
      <c r="D70" s="8" t="s">
        <v>221</v>
      </c>
      <c r="E70" s="8" t="s">
        <v>222</v>
      </c>
      <c r="F70" s="7" t="s">
        <v>27</v>
      </c>
      <c r="G70" s="8" t="s">
        <v>28</v>
      </c>
      <c r="H70" s="7" t="s">
        <v>29</v>
      </c>
      <c r="I70" s="7" t="s">
        <v>30</v>
      </c>
      <c r="J70" s="7" t="s">
        <v>166</v>
      </c>
      <c r="K70" s="7"/>
    </row>
    <row r="71" s="2" customFormat="1" ht="30" customHeight="1" spans="1:11">
      <c r="A71" s="7">
        <f t="shared" si="1"/>
        <v>68</v>
      </c>
      <c r="B71" s="8" t="s">
        <v>20</v>
      </c>
      <c r="C71" s="8" t="s">
        <v>200</v>
      </c>
      <c r="D71" s="8" t="s">
        <v>474</v>
      </c>
      <c r="E71" s="8" t="s">
        <v>1011</v>
      </c>
      <c r="F71" s="7" t="s">
        <v>27</v>
      </c>
      <c r="G71" s="8" t="s">
        <v>28</v>
      </c>
      <c r="H71" s="7" t="s">
        <v>29</v>
      </c>
      <c r="I71" s="7" t="s">
        <v>30</v>
      </c>
      <c r="J71" s="7" t="s">
        <v>166</v>
      </c>
      <c r="K71" s="7"/>
    </row>
    <row r="72" s="2" customFormat="1" ht="30" customHeight="1" spans="1:11">
      <c r="A72" s="7">
        <f t="shared" si="1"/>
        <v>69</v>
      </c>
      <c r="B72" s="8" t="s">
        <v>20</v>
      </c>
      <c r="C72" s="8" t="s">
        <v>115</v>
      </c>
      <c r="D72" s="8" t="s">
        <v>116</v>
      </c>
      <c r="E72" s="8" t="s">
        <v>226</v>
      </c>
      <c r="F72" s="7" t="s">
        <v>27</v>
      </c>
      <c r="G72" s="8" t="s">
        <v>28</v>
      </c>
      <c r="H72" s="7" t="s">
        <v>39</v>
      </c>
      <c r="I72" s="7" t="s">
        <v>30</v>
      </c>
      <c r="J72" s="7" t="s">
        <v>166</v>
      </c>
      <c r="K72" s="7"/>
    </row>
    <row r="73" s="2" customFormat="1" ht="30" customHeight="1" spans="1:11">
      <c r="A73" s="7">
        <f t="shared" si="1"/>
        <v>70</v>
      </c>
      <c r="B73" s="8" t="s">
        <v>20</v>
      </c>
      <c r="C73" s="8" t="s">
        <v>228</v>
      </c>
      <c r="D73" s="8" t="s">
        <v>116</v>
      </c>
      <c r="E73" s="8" t="s">
        <v>229</v>
      </c>
      <c r="F73" s="7" t="s">
        <v>27</v>
      </c>
      <c r="G73" s="8" t="s">
        <v>28</v>
      </c>
      <c r="H73" s="7" t="s">
        <v>39</v>
      </c>
      <c r="I73" s="7" t="s">
        <v>30</v>
      </c>
      <c r="J73" s="7" t="s">
        <v>166</v>
      </c>
      <c r="K73" s="7"/>
    </row>
    <row r="74" s="2" customFormat="1" ht="30" customHeight="1" spans="1:11">
      <c r="A74" s="7">
        <f t="shared" si="1"/>
        <v>71</v>
      </c>
      <c r="B74" s="8" t="s">
        <v>20</v>
      </c>
      <c r="C74" s="8" t="s">
        <v>48</v>
      </c>
      <c r="D74" s="8" t="s">
        <v>49</v>
      </c>
      <c r="E74" s="8" t="s">
        <v>231</v>
      </c>
      <c r="F74" s="7" t="s">
        <v>27</v>
      </c>
      <c r="G74" s="8" t="s">
        <v>28</v>
      </c>
      <c r="H74" s="7" t="s">
        <v>39</v>
      </c>
      <c r="I74" s="7" t="s">
        <v>51</v>
      </c>
      <c r="J74" s="7" t="s">
        <v>166</v>
      </c>
      <c r="K74" s="7"/>
    </row>
    <row r="75" s="2" customFormat="1" ht="30" customHeight="1" spans="1:11">
      <c r="A75" s="7">
        <f t="shared" si="1"/>
        <v>72</v>
      </c>
      <c r="B75" s="8" t="s">
        <v>20</v>
      </c>
      <c r="C75" s="8" t="s">
        <v>53</v>
      </c>
      <c r="D75" s="8" t="s">
        <v>233</v>
      </c>
      <c r="E75" s="8" t="s">
        <v>234</v>
      </c>
      <c r="F75" s="7" t="s">
        <v>27</v>
      </c>
      <c r="G75" s="8" t="s">
        <v>28</v>
      </c>
      <c r="H75" s="7" t="s">
        <v>39</v>
      </c>
      <c r="I75" s="7" t="s">
        <v>30</v>
      </c>
      <c r="J75" s="7" t="s">
        <v>166</v>
      </c>
      <c r="K75" s="7"/>
    </row>
    <row r="76" s="2" customFormat="1" ht="30" customHeight="1" spans="1:11">
      <c r="A76" s="7">
        <f t="shared" si="1"/>
        <v>73</v>
      </c>
      <c r="B76" s="8" t="s">
        <v>20</v>
      </c>
      <c r="C76" s="8" t="s">
        <v>53</v>
      </c>
      <c r="D76" s="8" t="s">
        <v>54</v>
      </c>
      <c r="E76" s="8" t="s">
        <v>236</v>
      </c>
      <c r="F76" s="7" t="s">
        <v>27</v>
      </c>
      <c r="G76" s="8" t="s">
        <v>28</v>
      </c>
      <c r="H76" s="7" t="s">
        <v>39</v>
      </c>
      <c r="I76" s="7" t="s">
        <v>30</v>
      </c>
      <c r="J76" s="7" t="s">
        <v>166</v>
      </c>
      <c r="K76" s="7"/>
    </row>
    <row r="77" s="2" customFormat="1" ht="30" customHeight="1" spans="1:11">
      <c r="A77" s="7">
        <f t="shared" si="1"/>
        <v>74</v>
      </c>
      <c r="B77" s="8" t="s">
        <v>20</v>
      </c>
      <c r="C77" s="8" t="s">
        <v>238</v>
      </c>
      <c r="D77" s="8" t="s">
        <v>239</v>
      </c>
      <c r="E77" s="8" t="s">
        <v>240</v>
      </c>
      <c r="F77" s="7" t="s">
        <v>27</v>
      </c>
      <c r="G77" s="8" t="s">
        <v>28</v>
      </c>
      <c r="H77" s="7" t="s">
        <v>39</v>
      </c>
      <c r="I77" s="7" t="s">
        <v>30</v>
      </c>
      <c r="J77" s="7" t="s">
        <v>166</v>
      </c>
      <c r="K77" s="7"/>
    </row>
    <row r="78" s="2" customFormat="1" ht="30" customHeight="1" spans="1:11">
      <c r="A78" s="7">
        <f t="shared" si="1"/>
        <v>75</v>
      </c>
      <c r="B78" s="8" t="s">
        <v>20</v>
      </c>
      <c r="C78" s="8" t="s">
        <v>242</v>
      </c>
      <c r="D78" s="8" t="s">
        <v>243</v>
      </c>
      <c r="E78" s="8" t="s">
        <v>244</v>
      </c>
      <c r="F78" s="7" t="s">
        <v>27</v>
      </c>
      <c r="G78" s="8" t="s">
        <v>28</v>
      </c>
      <c r="H78" s="7" t="s">
        <v>39</v>
      </c>
      <c r="I78" s="7" t="s">
        <v>30</v>
      </c>
      <c r="J78" s="7" t="s">
        <v>247</v>
      </c>
      <c r="K78" s="8" t="s">
        <v>248</v>
      </c>
    </row>
    <row r="79" s="2" customFormat="1" ht="30" customHeight="1" spans="1:11">
      <c r="A79" s="7">
        <f t="shared" si="1"/>
        <v>76</v>
      </c>
      <c r="B79" s="8" t="s">
        <v>20</v>
      </c>
      <c r="C79" s="8" t="s">
        <v>200</v>
      </c>
      <c r="D79" s="8" t="s">
        <v>250</v>
      </c>
      <c r="E79" s="8" t="s">
        <v>251</v>
      </c>
      <c r="F79" s="7" t="s">
        <v>27</v>
      </c>
      <c r="G79" s="8" t="s">
        <v>28</v>
      </c>
      <c r="H79" s="7" t="s">
        <v>29</v>
      </c>
      <c r="I79" s="7" t="s">
        <v>30</v>
      </c>
      <c r="J79" s="7" t="s">
        <v>166</v>
      </c>
      <c r="K79" s="7"/>
    </row>
    <row r="80" s="2" customFormat="1" ht="30" customHeight="1" spans="1:11">
      <c r="A80" s="7">
        <f t="shared" si="1"/>
        <v>77</v>
      </c>
      <c r="B80" s="8" t="s">
        <v>20</v>
      </c>
      <c r="C80" s="8" t="s">
        <v>989</v>
      </c>
      <c r="D80" s="8" t="s">
        <v>1000</v>
      </c>
      <c r="E80" s="8" t="s">
        <v>1012</v>
      </c>
      <c r="F80" s="7" t="s">
        <v>27</v>
      </c>
      <c r="G80" s="8" t="s">
        <v>1184</v>
      </c>
      <c r="H80" s="7" t="s">
        <v>29</v>
      </c>
      <c r="I80" s="7" t="s">
        <v>30</v>
      </c>
      <c r="J80" s="7" t="s">
        <v>166</v>
      </c>
      <c r="K80" s="7"/>
    </row>
    <row r="81" s="2" customFormat="1" ht="30" customHeight="1" spans="1:11">
      <c r="A81" s="7">
        <f t="shared" si="1"/>
        <v>78</v>
      </c>
      <c r="B81" s="8" t="s">
        <v>20</v>
      </c>
      <c r="C81" s="8" t="s">
        <v>253</v>
      </c>
      <c r="D81" s="8" t="s">
        <v>254</v>
      </c>
      <c r="E81" s="8" t="s">
        <v>255</v>
      </c>
      <c r="F81" s="7" t="s">
        <v>27</v>
      </c>
      <c r="G81" s="8" t="s">
        <v>28</v>
      </c>
      <c r="H81" s="7" t="s">
        <v>39</v>
      </c>
      <c r="I81" s="7" t="s">
        <v>30</v>
      </c>
      <c r="J81" s="7" t="s">
        <v>247</v>
      </c>
      <c r="K81" s="8" t="s">
        <v>256</v>
      </c>
    </row>
    <row r="82" s="2" customFormat="1" ht="30" customHeight="1" spans="1:11">
      <c r="A82" s="7">
        <f t="shared" si="1"/>
        <v>79</v>
      </c>
      <c r="B82" s="8" t="s">
        <v>20</v>
      </c>
      <c r="C82" s="8" t="s">
        <v>258</v>
      </c>
      <c r="D82" s="8" t="s">
        <v>259</v>
      </c>
      <c r="E82" s="8" t="s">
        <v>260</v>
      </c>
      <c r="F82" s="7" t="s">
        <v>27</v>
      </c>
      <c r="G82" s="8" t="s">
        <v>28</v>
      </c>
      <c r="H82" s="7" t="s">
        <v>39</v>
      </c>
      <c r="I82" s="7" t="s">
        <v>30</v>
      </c>
      <c r="J82" s="7" t="s">
        <v>261</v>
      </c>
      <c r="K82" s="7"/>
    </row>
    <row r="83" s="2" customFormat="1" ht="30" customHeight="1" spans="1:11">
      <c r="A83" s="7">
        <f t="shared" si="1"/>
        <v>80</v>
      </c>
      <c r="B83" s="8" t="s">
        <v>20</v>
      </c>
      <c r="C83" s="8" t="s">
        <v>258</v>
      </c>
      <c r="D83" s="8" t="s">
        <v>259</v>
      </c>
      <c r="E83" s="8" t="s">
        <v>263</v>
      </c>
      <c r="F83" s="7" t="s">
        <v>27</v>
      </c>
      <c r="G83" s="8" t="s">
        <v>28</v>
      </c>
      <c r="H83" s="7" t="s">
        <v>39</v>
      </c>
      <c r="I83" s="7" t="s">
        <v>30</v>
      </c>
      <c r="J83" s="7" t="s">
        <v>261</v>
      </c>
      <c r="K83" s="7"/>
    </row>
    <row r="84" s="2" customFormat="1" ht="30" customHeight="1" spans="1:11">
      <c r="A84" s="7">
        <f t="shared" si="1"/>
        <v>81</v>
      </c>
      <c r="B84" s="8" t="s">
        <v>20</v>
      </c>
      <c r="C84" s="8" t="s">
        <v>200</v>
      </c>
      <c r="D84" s="8" t="s">
        <v>250</v>
      </c>
      <c r="E84" s="8" t="s">
        <v>265</v>
      </c>
      <c r="F84" s="7" t="s">
        <v>27</v>
      </c>
      <c r="G84" s="8" t="s">
        <v>28</v>
      </c>
      <c r="H84" s="7" t="s">
        <v>29</v>
      </c>
      <c r="I84" s="7" t="s">
        <v>30</v>
      </c>
      <c r="J84" s="7" t="s">
        <v>166</v>
      </c>
      <c r="K84" s="7"/>
    </row>
    <row r="85" s="2" customFormat="1" ht="30" customHeight="1" spans="1:11">
      <c r="A85" s="7">
        <f t="shared" si="1"/>
        <v>82</v>
      </c>
      <c r="B85" s="8" t="s">
        <v>20</v>
      </c>
      <c r="C85" s="8" t="s">
        <v>267</v>
      </c>
      <c r="D85" s="8" t="s">
        <v>268</v>
      </c>
      <c r="E85" s="8" t="s">
        <v>269</v>
      </c>
      <c r="F85" s="7" t="s">
        <v>27</v>
      </c>
      <c r="G85" s="8" t="s">
        <v>28</v>
      </c>
      <c r="H85" s="7" t="s">
        <v>39</v>
      </c>
      <c r="I85" s="7" t="s">
        <v>30</v>
      </c>
      <c r="J85" s="7" t="s">
        <v>166</v>
      </c>
      <c r="K85" s="7"/>
    </row>
    <row r="86" s="2" customFormat="1" ht="30" customHeight="1" spans="1:11">
      <c r="A86" s="7">
        <f t="shared" si="1"/>
        <v>83</v>
      </c>
      <c r="B86" s="8" t="s">
        <v>20</v>
      </c>
      <c r="C86" s="8" t="s">
        <v>271</v>
      </c>
      <c r="D86" s="8" t="s">
        <v>272</v>
      </c>
      <c r="E86" s="8" t="s">
        <v>273</v>
      </c>
      <c r="F86" s="7" t="s">
        <v>27</v>
      </c>
      <c r="G86" s="8" t="s">
        <v>28</v>
      </c>
      <c r="H86" s="7" t="s">
        <v>39</v>
      </c>
      <c r="I86" s="7" t="s">
        <v>30</v>
      </c>
      <c r="J86" s="7" t="s">
        <v>247</v>
      </c>
      <c r="K86" s="8" t="s">
        <v>256</v>
      </c>
    </row>
    <row r="87" s="2" customFormat="1" ht="30" customHeight="1" spans="1:11">
      <c r="A87" s="7">
        <f t="shared" si="1"/>
        <v>84</v>
      </c>
      <c r="B87" s="8" t="s">
        <v>20</v>
      </c>
      <c r="C87" s="8" t="s">
        <v>100</v>
      </c>
      <c r="D87" s="8" t="s">
        <v>275</v>
      </c>
      <c r="E87" s="8" t="s">
        <v>276</v>
      </c>
      <c r="F87" s="7" t="s">
        <v>27</v>
      </c>
      <c r="G87" s="8" t="s">
        <v>28</v>
      </c>
      <c r="H87" s="7" t="s">
        <v>29</v>
      </c>
      <c r="I87" s="7" t="s">
        <v>51</v>
      </c>
      <c r="J87" s="7" t="s">
        <v>166</v>
      </c>
      <c r="K87" s="7"/>
    </row>
    <row r="88" s="2" customFormat="1" ht="30" customHeight="1" spans="1:11">
      <c r="A88" s="7">
        <f t="shared" si="1"/>
        <v>85</v>
      </c>
      <c r="B88" s="8" t="s">
        <v>20</v>
      </c>
      <c r="C88" s="8" t="s">
        <v>271</v>
      </c>
      <c r="D88" s="8" t="s">
        <v>278</v>
      </c>
      <c r="E88" s="8" t="s">
        <v>279</v>
      </c>
      <c r="F88" s="7" t="s">
        <v>27</v>
      </c>
      <c r="G88" s="8" t="s">
        <v>28</v>
      </c>
      <c r="H88" s="7" t="s">
        <v>39</v>
      </c>
      <c r="I88" s="7" t="s">
        <v>30</v>
      </c>
      <c r="J88" s="7" t="s">
        <v>247</v>
      </c>
      <c r="K88" s="8" t="s">
        <v>256</v>
      </c>
    </row>
    <row r="89" s="2" customFormat="1" ht="30" customHeight="1" spans="1:11">
      <c r="A89" s="7">
        <f t="shared" si="1"/>
        <v>86</v>
      </c>
      <c r="B89" s="8" t="s">
        <v>20</v>
      </c>
      <c r="C89" s="8" t="s">
        <v>271</v>
      </c>
      <c r="D89" s="8" t="s">
        <v>278</v>
      </c>
      <c r="E89" s="8" t="s">
        <v>281</v>
      </c>
      <c r="F89" s="7" t="s">
        <v>27</v>
      </c>
      <c r="G89" s="8" t="s">
        <v>28</v>
      </c>
      <c r="H89" s="7" t="s">
        <v>39</v>
      </c>
      <c r="I89" s="7" t="s">
        <v>30</v>
      </c>
      <c r="J89" s="7" t="s">
        <v>247</v>
      </c>
      <c r="K89" s="8" t="s">
        <v>256</v>
      </c>
    </row>
    <row r="90" s="2" customFormat="1" ht="30" customHeight="1" spans="1:11">
      <c r="A90" s="7">
        <f t="shared" si="1"/>
        <v>87</v>
      </c>
      <c r="B90" s="8" t="s">
        <v>20</v>
      </c>
      <c r="C90" s="8" t="s">
        <v>253</v>
      </c>
      <c r="D90" s="8" t="s">
        <v>254</v>
      </c>
      <c r="E90" s="8" t="s">
        <v>285</v>
      </c>
      <c r="F90" s="7" t="s">
        <v>27</v>
      </c>
      <c r="G90" s="8" t="s">
        <v>28</v>
      </c>
      <c r="H90" s="7" t="s">
        <v>39</v>
      </c>
      <c r="I90" s="7" t="s">
        <v>30</v>
      </c>
      <c r="J90" s="7" t="s">
        <v>247</v>
      </c>
      <c r="K90" s="8" t="s">
        <v>256</v>
      </c>
    </row>
    <row r="91" s="2" customFormat="1" ht="30" customHeight="1" spans="1:11">
      <c r="A91" s="7">
        <f t="shared" si="1"/>
        <v>88</v>
      </c>
      <c r="B91" s="8" t="s">
        <v>20</v>
      </c>
      <c r="C91" s="8" t="s">
        <v>253</v>
      </c>
      <c r="D91" s="8" t="s">
        <v>254</v>
      </c>
      <c r="E91" s="8" t="s">
        <v>287</v>
      </c>
      <c r="F91" s="7" t="s">
        <v>27</v>
      </c>
      <c r="G91" s="8" t="s">
        <v>28</v>
      </c>
      <c r="H91" s="7" t="s">
        <v>39</v>
      </c>
      <c r="I91" s="7" t="s">
        <v>30</v>
      </c>
      <c r="J91" s="7" t="s">
        <v>247</v>
      </c>
      <c r="K91" s="8" t="s">
        <v>256</v>
      </c>
    </row>
    <row r="92" s="2" customFormat="1" ht="30" customHeight="1" spans="1:11">
      <c r="A92" s="7">
        <f t="shared" si="1"/>
        <v>89</v>
      </c>
      <c r="B92" s="8" t="s">
        <v>20</v>
      </c>
      <c r="C92" s="8" t="s">
        <v>74</v>
      </c>
      <c r="D92" s="8" t="s">
        <v>289</v>
      </c>
      <c r="E92" s="8" t="s">
        <v>290</v>
      </c>
      <c r="F92" s="7" t="s">
        <v>27</v>
      </c>
      <c r="G92" s="8" t="s">
        <v>28</v>
      </c>
      <c r="H92" s="7" t="s">
        <v>29</v>
      </c>
      <c r="I92" s="7" t="s">
        <v>51</v>
      </c>
      <c r="J92" s="7" t="s">
        <v>293</v>
      </c>
      <c r="K92" s="7"/>
    </row>
    <row r="93" s="2" customFormat="1" ht="30" customHeight="1" spans="1:11">
      <c r="A93" s="7">
        <f t="shared" si="1"/>
        <v>90</v>
      </c>
      <c r="B93" s="8" t="s">
        <v>20</v>
      </c>
      <c r="C93" s="8" t="s">
        <v>295</v>
      </c>
      <c r="D93" s="8" t="s">
        <v>296</v>
      </c>
      <c r="E93" s="8" t="s">
        <v>297</v>
      </c>
      <c r="F93" s="7" t="s">
        <v>27</v>
      </c>
      <c r="G93" s="8" t="s">
        <v>28</v>
      </c>
      <c r="H93" s="7" t="s">
        <v>29</v>
      </c>
      <c r="I93" s="7" t="s">
        <v>30</v>
      </c>
      <c r="J93" s="7" t="s">
        <v>166</v>
      </c>
      <c r="K93" s="7"/>
    </row>
    <row r="94" s="2" customFormat="1" ht="30" customHeight="1" spans="1:11">
      <c r="A94" s="7">
        <f t="shared" si="1"/>
        <v>91</v>
      </c>
      <c r="B94" s="8" t="s">
        <v>20</v>
      </c>
      <c r="C94" s="8" t="s">
        <v>1013</v>
      </c>
      <c r="D94" s="8" t="s">
        <v>1014</v>
      </c>
      <c r="E94" s="8" t="s">
        <v>1015</v>
      </c>
      <c r="F94" s="7" t="s">
        <v>27</v>
      </c>
      <c r="G94" s="8" t="s">
        <v>28</v>
      </c>
      <c r="H94" s="7" t="s">
        <v>29</v>
      </c>
      <c r="I94" s="7" t="s">
        <v>30</v>
      </c>
      <c r="J94" s="7" t="s">
        <v>247</v>
      </c>
      <c r="K94" s="8" t="s">
        <v>248</v>
      </c>
    </row>
    <row r="95" s="2" customFormat="1" ht="30" customHeight="1" spans="1:11">
      <c r="A95" s="7">
        <f t="shared" si="1"/>
        <v>92</v>
      </c>
      <c r="B95" s="8" t="s">
        <v>20</v>
      </c>
      <c r="C95" s="8" t="s">
        <v>271</v>
      </c>
      <c r="D95" s="8" t="s">
        <v>272</v>
      </c>
      <c r="E95" s="8" t="s">
        <v>301</v>
      </c>
      <c r="F95" s="7" t="s">
        <v>27</v>
      </c>
      <c r="G95" s="8" t="s">
        <v>28</v>
      </c>
      <c r="H95" s="7" t="s">
        <v>39</v>
      </c>
      <c r="I95" s="7" t="s">
        <v>30</v>
      </c>
      <c r="J95" s="7" t="s">
        <v>247</v>
      </c>
      <c r="K95" s="8" t="s">
        <v>256</v>
      </c>
    </row>
    <row r="96" s="2" customFormat="1" ht="30" customHeight="1" spans="1:11">
      <c r="A96" s="7">
        <f t="shared" si="1"/>
        <v>93</v>
      </c>
      <c r="B96" s="8" t="s">
        <v>20</v>
      </c>
      <c r="C96" s="8" t="s">
        <v>271</v>
      </c>
      <c r="D96" s="8" t="s">
        <v>278</v>
      </c>
      <c r="E96" s="8" t="s">
        <v>303</v>
      </c>
      <c r="F96" s="7" t="s">
        <v>27</v>
      </c>
      <c r="G96" s="8" t="s">
        <v>28</v>
      </c>
      <c r="H96" s="7" t="s">
        <v>39</v>
      </c>
      <c r="I96" s="7" t="s">
        <v>30</v>
      </c>
      <c r="J96" s="7" t="s">
        <v>247</v>
      </c>
      <c r="K96" s="8" t="s">
        <v>256</v>
      </c>
    </row>
    <row r="97" s="2" customFormat="1" ht="30" customHeight="1" spans="1:11">
      <c r="A97" s="7">
        <f t="shared" si="1"/>
        <v>94</v>
      </c>
      <c r="B97" s="8" t="s">
        <v>20</v>
      </c>
      <c r="C97" s="8" t="s">
        <v>305</v>
      </c>
      <c r="D97" s="8" t="s">
        <v>306</v>
      </c>
      <c r="E97" s="8" t="s">
        <v>307</v>
      </c>
      <c r="F97" s="7" t="s">
        <v>27</v>
      </c>
      <c r="G97" s="8" t="s">
        <v>28</v>
      </c>
      <c r="H97" s="7" t="s">
        <v>39</v>
      </c>
      <c r="I97" s="7" t="s">
        <v>30</v>
      </c>
      <c r="J97" s="7" t="s">
        <v>166</v>
      </c>
      <c r="K97" s="7"/>
    </row>
    <row r="98" s="2" customFormat="1" ht="30" customHeight="1" spans="1:11">
      <c r="A98" s="7">
        <f t="shared" si="1"/>
        <v>95</v>
      </c>
      <c r="B98" s="8" t="s">
        <v>20</v>
      </c>
      <c r="C98" s="8" t="s">
        <v>74</v>
      </c>
      <c r="D98" s="8" t="s">
        <v>309</v>
      </c>
      <c r="E98" s="8" t="s">
        <v>310</v>
      </c>
      <c r="F98" s="7" t="s">
        <v>27</v>
      </c>
      <c r="G98" s="8" t="s">
        <v>28</v>
      </c>
      <c r="H98" s="7" t="s">
        <v>29</v>
      </c>
      <c r="I98" s="7" t="s">
        <v>51</v>
      </c>
      <c r="J98" s="7" t="s">
        <v>293</v>
      </c>
      <c r="K98" s="7"/>
    </row>
    <row r="99" s="2" customFormat="1" ht="30" customHeight="1" spans="1:11">
      <c r="A99" s="7">
        <f t="shared" si="1"/>
        <v>96</v>
      </c>
      <c r="B99" s="8" t="s">
        <v>20</v>
      </c>
      <c r="C99" s="8" t="s">
        <v>312</v>
      </c>
      <c r="D99" s="8" t="s">
        <v>313</v>
      </c>
      <c r="E99" s="8" t="s">
        <v>314</v>
      </c>
      <c r="F99" s="7" t="s">
        <v>27</v>
      </c>
      <c r="G99" s="8" t="s">
        <v>28</v>
      </c>
      <c r="H99" s="7" t="s">
        <v>39</v>
      </c>
      <c r="I99" s="7" t="s">
        <v>30</v>
      </c>
      <c r="J99" s="7" t="s">
        <v>247</v>
      </c>
      <c r="K99" s="8" t="s">
        <v>248</v>
      </c>
    </row>
    <row r="100" s="2" customFormat="1" ht="30" customHeight="1" spans="1:11">
      <c r="A100" s="7">
        <f t="shared" si="1"/>
        <v>97</v>
      </c>
      <c r="B100" s="8" t="s">
        <v>20</v>
      </c>
      <c r="C100" s="8" t="s">
        <v>1016</v>
      </c>
      <c r="D100" s="8" t="s">
        <v>1017</v>
      </c>
      <c r="E100" s="8" t="s">
        <v>1018</v>
      </c>
      <c r="F100" s="7" t="s">
        <v>27</v>
      </c>
      <c r="G100" s="8" t="s">
        <v>28</v>
      </c>
      <c r="H100" s="7" t="s">
        <v>29</v>
      </c>
      <c r="I100" s="7" t="s">
        <v>30</v>
      </c>
      <c r="J100" s="7" t="s">
        <v>247</v>
      </c>
      <c r="K100" s="8" t="s">
        <v>756</v>
      </c>
    </row>
    <row r="101" s="2" customFormat="1" ht="30" customHeight="1" spans="1:11">
      <c r="A101" s="7">
        <f t="shared" si="1"/>
        <v>98</v>
      </c>
      <c r="B101" s="8" t="s">
        <v>20</v>
      </c>
      <c r="C101" s="8" t="s">
        <v>1016</v>
      </c>
      <c r="D101" s="8" t="s">
        <v>1017</v>
      </c>
      <c r="E101" s="8" t="s">
        <v>1019</v>
      </c>
      <c r="F101" s="7" t="s">
        <v>27</v>
      </c>
      <c r="G101" s="8" t="s">
        <v>28</v>
      </c>
      <c r="H101" s="7" t="s">
        <v>29</v>
      </c>
      <c r="I101" s="7" t="s">
        <v>30</v>
      </c>
      <c r="J101" s="7" t="s">
        <v>247</v>
      </c>
      <c r="K101" s="8" t="s">
        <v>756</v>
      </c>
    </row>
    <row r="102" s="2" customFormat="1" ht="30" customHeight="1" spans="1:11">
      <c r="A102" s="7">
        <f t="shared" si="1"/>
        <v>99</v>
      </c>
      <c r="B102" s="8" t="s">
        <v>20</v>
      </c>
      <c r="C102" s="8" t="s">
        <v>1020</v>
      </c>
      <c r="D102" s="8" t="s">
        <v>1021</v>
      </c>
      <c r="E102" s="8" t="s">
        <v>1022</v>
      </c>
      <c r="F102" s="7" t="s">
        <v>27</v>
      </c>
      <c r="G102" s="8" t="s">
        <v>28</v>
      </c>
      <c r="H102" s="7" t="s">
        <v>39</v>
      </c>
      <c r="I102" s="7" t="s">
        <v>30</v>
      </c>
      <c r="J102" s="7" t="s">
        <v>247</v>
      </c>
      <c r="K102" s="8" t="s">
        <v>256</v>
      </c>
    </row>
    <row r="103" s="2" customFormat="1" ht="30" customHeight="1" spans="1:11">
      <c r="A103" s="7">
        <f t="shared" si="1"/>
        <v>100</v>
      </c>
      <c r="B103" s="8" t="s">
        <v>20</v>
      </c>
      <c r="C103" s="8" t="s">
        <v>317</v>
      </c>
      <c r="D103" s="8" t="s">
        <v>318</v>
      </c>
      <c r="E103" s="8" t="s">
        <v>319</v>
      </c>
      <c r="F103" s="7" t="s">
        <v>27</v>
      </c>
      <c r="G103" s="8" t="s">
        <v>28</v>
      </c>
      <c r="H103" s="7" t="s">
        <v>29</v>
      </c>
      <c r="I103" s="7" t="s">
        <v>30</v>
      </c>
      <c r="J103" s="7" t="s">
        <v>143</v>
      </c>
      <c r="K103" s="7"/>
    </row>
    <row r="104" s="2" customFormat="1" ht="30" customHeight="1" spans="1:11">
      <c r="A104" s="7">
        <f t="shared" si="1"/>
        <v>101</v>
      </c>
      <c r="B104" s="8" t="s">
        <v>20</v>
      </c>
      <c r="C104" s="8" t="s">
        <v>321</v>
      </c>
      <c r="D104" s="8" t="s">
        <v>322</v>
      </c>
      <c r="E104" s="8" t="s">
        <v>323</v>
      </c>
      <c r="F104" s="7" t="s">
        <v>27</v>
      </c>
      <c r="G104" s="8" t="s">
        <v>28</v>
      </c>
      <c r="H104" s="7" t="s">
        <v>39</v>
      </c>
      <c r="I104" s="7" t="s">
        <v>30</v>
      </c>
      <c r="J104" s="7" t="s">
        <v>166</v>
      </c>
      <c r="K104" s="7"/>
    </row>
    <row r="105" s="2" customFormat="1" ht="30" customHeight="1" spans="1:11">
      <c r="A105" s="7">
        <f t="shared" si="1"/>
        <v>102</v>
      </c>
      <c r="B105" s="8" t="s">
        <v>20</v>
      </c>
      <c r="C105" s="8" t="s">
        <v>321</v>
      </c>
      <c r="D105" s="8" t="s">
        <v>322</v>
      </c>
      <c r="E105" s="8" t="s">
        <v>327</v>
      </c>
      <c r="F105" s="7" t="s">
        <v>27</v>
      </c>
      <c r="G105" s="8" t="s">
        <v>28</v>
      </c>
      <c r="H105" s="7" t="s">
        <v>39</v>
      </c>
      <c r="I105" s="7" t="s">
        <v>30</v>
      </c>
      <c r="J105" s="7" t="s">
        <v>166</v>
      </c>
      <c r="K105" s="7"/>
    </row>
    <row r="106" s="2" customFormat="1" ht="30" customHeight="1" spans="1:11">
      <c r="A106" s="7">
        <f t="shared" si="1"/>
        <v>103</v>
      </c>
      <c r="B106" s="8" t="s">
        <v>20</v>
      </c>
      <c r="C106" s="8" t="s">
        <v>74</v>
      </c>
      <c r="D106" s="8" t="s">
        <v>309</v>
      </c>
      <c r="E106" s="8" t="s">
        <v>329</v>
      </c>
      <c r="F106" s="7" t="s">
        <v>27</v>
      </c>
      <c r="G106" s="8" t="s">
        <v>28</v>
      </c>
      <c r="H106" s="7" t="s">
        <v>29</v>
      </c>
      <c r="I106" s="7" t="s">
        <v>51</v>
      </c>
      <c r="J106" s="7" t="s">
        <v>293</v>
      </c>
      <c r="K106" s="7"/>
    </row>
    <row r="107" s="2" customFormat="1" ht="30" customHeight="1" spans="1:11">
      <c r="A107" s="7">
        <f t="shared" si="1"/>
        <v>104</v>
      </c>
      <c r="B107" s="8" t="s">
        <v>20</v>
      </c>
      <c r="C107" s="8" t="s">
        <v>74</v>
      </c>
      <c r="D107" s="8" t="s">
        <v>309</v>
      </c>
      <c r="E107" s="8" t="s">
        <v>331</v>
      </c>
      <c r="F107" s="7" t="s">
        <v>27</v>
      </c>
      <c r="G107" s="8" t="s">
        <v>28</v>
      </c>
      <c r="H107" s="7" t="s">
        <v>29</v>
      </c>
      <c r="I107" s="7" t="s">
        <v>51</v>
      </c>
      <c r="J107" s="7" t="s">
        <v>293</v>
      </c>
      <c r="K107" s="7"/>
    </row>
    <row r="108" s="2" customFormat="1" ht="30" customHeight="1" spans="1:11">
      <c r="A108" s="7">
        <f t="shared" si="1"/>
        <v>105</v>
      </c>
      <c r="B108" s="8" t="s">
        <v>20</v>
      </c>
      <c r="C108" s="8" t="s">
        <v>74</v>
      </c>
      <c r="D108" s="8" t="s">
        <v>309</v>
      </c>
      <c r="E108" s="8" t="s">
        <v>333</v>
      </c>
      <c r="F108" s="7" t="s">
        <v>27</v>
      </c>
      <c r="G108" s="8" t="s">
        <v>28</v>
      </c>
      <c r="H108" s="7" t="s">
        <v>29</v>
      </c>
      <c r="I108" s="7" t="s">
        <v>51</v>
      </c>
      <c r="J108" s="7" t="s">
        <v>293</v>
      </c>
      <c r="K108" s="7"/>
    </row>
    <row r="109" s="2" customFormat="1" ht="30" customHeight="1" spans="1:11">
      <c r="A109" s="7">
        <f t="shared" si="1"/>
        <v>106</v>
      </c>
      <c r="B109" s="8" t="s">
        <v>20</v>
      </c>
      <c r="C109" s="8" t="s">
        <v>335</v>
      </c>
      <c r="D109" s="8" t="s">
        <v>336</v>
      </c>
      <c r="E109" s="8" t="s">
        <v>337</v>
      </c>
      <c r="F109" s="7" t="s">
        <v>27</v>
      </c>
      <c r="G109" s="8" t="s">
        <v>28</v>
      </c>
      <c r="H109" s="7" t="s">
        <v>39</v>
      </c>
      <c r="I109" s="7" t="s">
        <v>51</v>
      </c>
      <c r="J109" s="7" t="s">
        <v>166</v>
      </c>
      <c r="K109" s="7"/>
    </row>
    <row r="110" s="2" customFormat="1" ht="30" customHeight="1" spans="1:11">
      <c r="A110" s="7">
        <f t="shared" si="1"/>
        <v>107</v>
      </c>
      <c r="B110" s="8" t="s">
        <v>20</v>
      </c>
      <c r="C110" s="8" t="s">
        <v>339</v>
      </c>
      <c r="D110" s="8" t="s">
        <v>340</v>
      </c>
      <c r="E110" s="8" t="s">
        <v>341</v>
      </c>
      <c r="F110" s="7" t="s">
        <v>27</v>
      </c>
      <c r="G110" s="8" t="s">
        <v>28</v>
      </c>
      <c r="H110" s="7" t="s">
        <v>29</v>
      </c>
      <c r="I110" s="7" t="s">
        <v>51</v>
      </c>
      <c r="J110" s="7" t="s">
        <v>342</v>
      </c>
      <c r="K110" s="7"/>
    </row>
    <row r="111" s="2" customFormat="1" ht="30" customHeight="1" spans="1:11">
      <c r="A111" s="7">
        <f t="shared" si="1"/>
        <v>108</v>
      </c>
      <c r="B111" s="8" t="s">
        <v>20</v>
      </c>
      <c r="C111" s="8" t="s">
        <v>1029</v>
      </c>
      <c r="D111" s="8" t="s">
        <v>1030</v>
      </c>
      <c r="E111" s="8" t="s">
        <v>1031</v>
      </c>
      <c r="F111" s="7" t="s">
        <v>27</v>
      </c>
      <c r="G111" s="8" t="s">
        <v>28</v>
      </c>
      <c r="H111" s="7" t="s">
        <v>39</v>
      </c>
      <c r="I111" s="7" t="s">
        <v>30</v>
      </c>
      <c r="J111" s="7" t="s">
        <v>143</v>
      </c>
      <c r="K111" s="7"/>
    </row>
    <row r="112" s="2" customFormat="1" ht="30" customHeight="1" spans="1:11">
      <c r="A112" s="7">
        <f t="shared" si="1"/>
        <v>109</v>
      </c>
      <c r="B112" s="8" t="s">
        <v>20</v>
      </c>
      <c r="C112" s="8" t="s">
        <v>351</v>
      </c>
      <c r="D112" s="8" t="s">
        <v>352</v>
      </c>
      <c r="E112" s="8" t="s">
        <v>353</v>
      </c>
      <c r="F112" s="7" t="s">
        <v>27</v>
      </c>
      <c r="G112" s="8" t="s">
        <v>28</v>
      </c>
      <c r="H112" s="7" t="s">
        <v>29</v>
      </c>
      <c r="I112" s="7" t="s">
        <v>30</v>
      </c>
      <c r="J112" s="7" t="s">
        <v>143</v>
      </c>
      <c r="K112" s="7"/>
    </row>
    <row r="113" s="2" customFormat="1" ht="30" customHeight="1" spans="1:11">
      <c r="A113" s="7">
        <f t="shared" si="1"/>
        <v>110</v>
      </c>
      <c r="B113" s="8" t="s">
        <v>20</v>
      </c>
      <c r="C113" s="8" t="s">
        <v>1032</v>
      </c>
      <c r="D113" s="8" t="s">
        <v>837</v>
      </c>
      <c r="E113" s="8" t="s">
        <v>838</v>
      </c>
      <c r="F113" s="7" t="s">
        <v>27</v>
      </c>
      <c r="G113" s="8" t="s">
        <v>28</v>
      </c>
      <c r="H113" s="7" t="s">
        <v>29</v>
      </c>
      <c r="I113" s="7" t="s">
        <v>30</v>
      </c>
      <c r="J113" s="7" t="s">
        <v>143</v>
      </c>
      <c r="K113" s="7"/>
    </row>
    <row r="114" s="2" customFormat="1" ht="30" customHeight="1" spans="1:11">
      <c r="A114" s="7">
        <f t="shared" si="1"/>
        <v>111</v>
      </c>
      <c r="B114" s="8" t="s">
        <v>20</v>
      </c>
      <c r="C114" s="8" t="s">
        <v>460</v>
      </c>
      <c r="D114" s="8" t="s">
        <v>769</v>
      </c>
      <c r="E114" s="8" t="s">
        <v>1033</v>
      </c>
      <c r="F114" s="7" t="s">
        <v>27</v>
      </c>
      <c r="G114" s="8" t="s">
        <v>28</v>
      </c>
      <c r="H114" s="7" t="s">
        <v>39</v>
      </c>
      <c r="I114" s="7" t="s">
        <v>30</v>
      </c>
      <c r="J114" s="7" t="s">
        <v>80</v>
      </c>
      <c r="K114" s="8" t="s">
        <v>103</v>
      </c>
    </row>
    <row r="115" s="2" customFormat="1" ht="30" customHeight="1" spans="1:11">
      <c r="A115" s="7">
        <f t="shared" si="1"/>
        <v>112</v>
      </c>
      <c r="B115" s="8" t="s">
        <v>20</v>
      </c>
      <c r="C115" s="8" t="s">
        <v>460</v>
      </c>
      <c r="D115" s="8" t="s">
        <v>769</v>
      </c>
      <c r="E115" s="8" t="s">
        <v>1037</v>
      </c>
      <c r="F115" s="7" t="s">
        <v>27</v>
      </c>
      <c r="G115" s="8" t="s">
        <v>28</v>
      </c>
      <c r="H115" s="7" t="s">
        <v>39</v>
      </c>
      <c r="I115" s="7" t="s">
        <v>30</v>
      </c>
      <c r="J115" s="7" t="s">
        <v>247</v>
      </c>
      <c r="K115" s="8" t="s">
        <v>375</v>
      </c>
    </row>
    <row r="116" s="2" customFormat="1" ht="30" customHeight="1" spans="1:11">
      <c r="A116" s="7">
        <f t="shared" si="1"/>
        <v>113</v>
      </c>
      <c r="B116" s="8" t="s">
        <v>20</v>
      </c>
      <c r="C116" s="8" t="s">
        <v>1038</v>
      </c>
      <c r="D116" s="8" t="s">
        <v>603</v>
      </c>
      <c r="E116" s="8" t="s">
        <v>1039</v>
      </c>
      <c r="F116" s="7" t="s">
        <v>27</v>
      </c>
      <c r="G116" s="8" t="s">
        <v>28</v>
      </c>
      <c r="H116" s="7" t="s">
        <v>39</v>
      </c>
      <c r="I116" s="7" t="s">
        <v>30</v>
      </c>
      <c r="J116" s="7" t="s">
        <v>129</v>
      </c>
      <c r="K116" s="8" t="s">
        <v>1040</v>
      </c>
    </row>
    <row r="117" s="2" customFormat="1" ht="30" customHeight="1" spans="1:11">
      <c r="A117" s="7">
        <f t="shared" si="1"/>
        <v>114</v>
      </c>
      <c r="B117" s="8" t="s">
        <v>20</v>
      </c>
      <c r="C117" s="8" t="s">
        <v>460</v>
      </c>
      <c r="D117" s="8" t="s">
        <v>769</v>
      </c>
      <c r="E117" s="8" t="s">
        <v>1045</v>
      </c>
      <c r="F117" s="7" t="s">
        <v>27</v>
      </c>
      <c r="G117" s="8" t="s">
        <v>28</v>
      </c>
      <c r="H117" s="7" t="s">
        <v>39</v>
      </c>
      <c r="I117" s="7" t="s">
        <v>30</v>
      </c>
      <c r="J117" s="7" t="s">
        <v>247</v>
      </c>
      <c r="K117" s="8" t="s">
        <v>375</v>
      </c>
    </row>
    <row r="118" s="2" customFormat="1" ht="30" customHeight="1" spans="1:11">
      <c r="A118" s="7">
        <f t="shared" si="1"/>
        <v>115</v>
      </c>
      <c r="B118" s="8" t="s">
        <v>20</v>
      </c>
      <c r="C118" s="8" t="s">
        <v>1038</v>
      </c>
      <c r="D118" s="8" t="s">
        <v>603</v>
      </c>
      <c r="E118" s="8" t="s">
        <v>1046</v>
      </c>
      <c r="F118" s="7" t="s">
        <v>27</v>
      </c>
      <c r="G118" s="8" t="s">
        <v>28</v>
      </c>
      <c r="H118" s="7" t="s">
        <v>39</v>
      </c>
      <c r="I118" s="7" t="s">
        <v>30</v>
      </c>
      <c r="J118" s="7" t="s">
        <v>133</v>
      </c>
      <c r="K118" s="7"/>
    </row>
    <row r="119" s="2" customFormat="1" ht="30" customHeight="1" spans="1:11">
      <c r="A119" s="7">
        <f t="shared" si="1"/>
        <v>116</v>
      </c>
      <c r="B119" s="8" t="s">
        <v>20</v>
      </c>
      <c r="C119" s="8" t="s">
        <v>295</v>
      </c>
      <c r="D119" s="8" t="s">
        <v>489</v>
      </c>
      <c r="E119" s="8" t="s">
        <v>741</v>
      </c>
      <c r="F119" s="7" t="s">
        <v>27</v>
      </c>
      <c r="G119" s="8" t="s">
        <v>28</v>
      </c>
      <c r="H119" s="7" t="s">
        <v>29</v>
      </c>
      <c r="I119" s="7" t="s">
        <v>30</v>
      </c>
      <c r="J119" s="7" t="s">
        <v>364</v>
      </c>
      <c r="K119" s="7"/>
    </row>
    <row r="120" s="2" customFormat="1" ht="30" customHeight="1" spans="1:11">
      <c r="A120" s="7">
        <f t="shared" si="1"/>
        <v>117</v>
      </c>
      <c r="B120" s="8" t="s">
        <v>20</v>
      </c>
      <c r="C120" s="8" t="s">
        <v>460</v>
      </c>
      <c r="D120" s="8" t="s">
        <v>461</v>
      </c>
      <c r="E120" s="8" t="s">
        <v>1047</v>
      </c>
      <c r="F120" s="7" t="s">
        <v>27</v>
      </c>
      <c r="G120" s="8" t="s">
        <v>28</v>
      </c>
      <c r="H120" s="7" t="s">
        <v>39</v>
      </c>
      <c r="I120" s="7" t="s">
        <v>30</v>
      </c>
      <c r="J120" s="7" t="s">
        <v>358</v>
      </c>
      <c r="K120" s="7"/>
    </row>
    <row r="121" s="2" customFormat="1" ht="30" customHeight="1" spans="1:11">
      <c r="A121" s="7">
        <f t="shared" si="1"/>
        <v>118</v>
      </c>
      <c r="B121" s="8" t="s">
        <v>20</v>
      </c>
      <c r="C121" s="8" t="s">
        <v>295</v>
      </c>
      <c r="D121" s="8" t="s">
        <v>1049</v>
      </c>
      <c r="E121" s="8" t="s">
        <v>1050</v>
      </c>
      <c r="F121" s="7" t="s">
        <v>27</v>
      </c>
      <c r="G121" s="8" t="s">
        <v>28</v>
      </c>
      <c r="H121" s="7" t="s">
        <v>29</v>
      </c>
      <c r="I121" s="7" t="s">
        <v>30</v>
      </c>
      <c r="J121" s="7" t="s">
        <v>143</v>
      </c>
      <c r="K121" s="7"/>
    </row>
    <row r="122" s="2" customFormat="1" ht="30" customHeight="1" spans="1:11">
      <c r="A122" s="7">
        <f t="shared" si="1"/>
        <v>119</v>
      </c>
      <c r="B122" s="8" t="s">
        <v>20</v>
      </c>
      <c r="C122" s="8" t="s">
        <v>295</v>
      </c>
      <c r="D122" s="8" t="s">
        <v>1051</v>
      </c>
      <c r="E122" s="8" t="s">
        <v>1052</v>
      </c>
      <c r="F122" s="7" t="s">
        <v>27</v>
      </c>
      <c r="G122" s="8" t="s">
        <v>28</v>
      </c>
      <c r="H122" s="7" t="s">
        <v>29</v>
      </c>
      <c r="I122" s="7" t="s">
        <v>30</v>
      </c>
      <c r="J122" s="7" t="s">
        <v>143</v>
      </c>
      <c r="K122" s="7"/>
    </row>
    <row r="123" s="2" customFormat="1" ht="30" customHeight="1" spans="1:11">
      <c r="A123" s="7">
        <f t="shared" si="1"/>
        <v>120</v>
      </c>
      <c r="B123" s="8" t="s">
        <v>20</v>
      </c>
      <c r="C123" s="8" t="s">
        <v>1038</v>
      </c>
      <c r="D123" s="8" t="s">
        <v>603</v>
      </c>
      <c r="E123" s="8" t="s">
        <v>1053</v>
      </c>
      <c r="F123" s="7" t="s">
        <v>27</v>
      </c>
      <c r="G123" s="8" t="s">
        <v>28</v>
      </c>
      <c r="H123" s="7" t="s">
        <v>39</v>
      </c>
      <c r="I123" s="7" t="s">
        <v>30</v>
      </c>
      <c r="J123" s="7" t="s">
        <v>136</v>
      </c>
      <c r="K123" s="7"/>
    </row>
    <row r="124" s="2" customFormat="1" ht="30" customHeight="1" spans="1:11">
      <c r="A124" s="7">
        <f t="shared" si="1"/>
        <v>121</v>
      </c>
      <c r="B124" s="8" t="s">
        <v>20</v>
      </c>
      <c r="C124" s="8" t="s">
        <v>982</v>
      </c>
      <c r="D124" s="8" t="s">
        <v>1007</v>
      </c>
      <c r="E124" s="8" t="s">
        <v>1185</v>
      </c>
      <c r="F124" s="7" t="s">
        <v>27</v>
      </c>
      <c r="G124" s="8" t="s">
        <v>28</v>
      </c>
      <c r="H124" s="7" t="s">
        <v>39</v>
      </c>
      <c r="I124" s="7" t="s">
        <v>30</v>
      </c>
      <c r="J124" s="7" t="s">
        <v>358</v>
      </c>
      <c r="K124" s="7"/>
    </row>
    <row r="125" s="2" customFormat="1" ht="30" customHeight="1" spans="1:11">
      <c r="A125" s="7">
        <f t="shared" si="1"/>
        <v>122</v>
      </c>
      <c r="B125" s="8" t="s">
        <v>20</v>
      </c>
      <c r="C125" s="8" t="s">
        <v>989</v>
      </c>
      <c r="D125" s="8" t="s">
        <v>990</v>
      </c>
      <c r="E125" s="8" t="s">
        <v>1054</v>
      </c>
      <c r="F125" s="7" t="s">
        <v>27</v>
      </c>
      <c r="G125" s="8" t="s">
        <v>1184</v>
      </c>
      <c r="H125" s="7" t="s">
        <v>29</v>
      </c>
      <c r="I125" s="7" t="s">
        <v>30</v>
      </c>
      <c r="J125" s="7" t="s">
        <v>247</v>
      </c>
      <c r="K125" s="8" t="s">
        <v>375</v>
      </c>
    </row>
    <row r="126" s="2" customFormat="1" ht="30" customHeight="1" spans="1:11">
      <c r="A126" s="7">
        <f t="shared" si="1"/>
        <v>123</v>
      </c>
      <c r="B126" s="8" t="s">
        <v>20</v>
      </c>
      <c r="C126" s="8" t="s">
        <v>1038</v>
      </c>
      <c r="D126" s="8" t="s">
        <v>603</v>
      </c>
      <c r="E126" s="8" t="s">
        <v>1055</v>
      </c>
      <c r="F126" s="7" t="s">
        <v>27</v>
      </c>
      <c r="G126" s="8" t="s">
        <v>28</v>
      </c>
      <c r="H126" s="7" t="s">
        <v>39</v>
      </c>
      <c r="I126" s="7" t="s">
        <v>30</v>
      </c>
      <c r="J126" s="7" t="s">
        <v>431</v>
      </c>
      <c r="K126" s="7"/>
    </row>
    <row r="127" s="2" customFormat="1" ht="30" customHeight="1" spans="1:11">
      <c r="A127" s="7">
        <f t="shared" si="1"/>
        <v>124</v>
      </c>
      <c r="B127" s="8" t="s">
        <v>20</v>
      </c>
      <c r="C127" s="8" t="s">
        <v>1038</v>
      </c>
      <c r="D127" s="8" t="s">
        <v>603</v>
      </c>
      <c r="E127" s="8" t="s">
        <v>1056</v>
      </c>
      <c r="F127" s="7" t="s">
        <v>27</v>
      </c>
      <c r="G127" s="8" t="s">
        <v>28</v>
      </c>
      <c r="H127" s="7" t="s">
        <v>39</v>
      </c>
      <c r="I127" s="7" t="s">
        <v>30</v>
      </c>
      <c r="J127" s="7" t="s">
        <v>161</v>
      </c>
      <c r="K127" s="7"/>
    </row>
    <row r="128" s="2" customFormat="1" ht="30" customHeight="1" spans="1:11">
      <c r="A128" s="7">
        <f t="shared" si="1"/>
        <v>125</v>
      </c>
      <c r="B128" s="8" t="s">
        <v>20</v>
      </c>
      <c r="C128" s="8" t="s">
        <v>1038</v>
      </c>
      <c r="D128" s="8" t="s">
        <v>603</v>
      </c>
      <c r="E128" s="8" t="s">
        <v>1057</v>
      </c>
      <c r="F128" s="7" t="s">
        <v>27</v>
      </c>
      <c r="G128" s="8" t="s">
        <v>28</v>
      </c>
      <c r="H128" s="7" t="s">
        <v>39</v>
      </c>
      <c r="I128" s="7" t="s">
        <v>30</v>
      </c>
      <c r="J128" s="7" t="s">
        <v>156</v>
      </c>
      <c r="K128" s="7"/>
    </row>
    <row r="129" s="2" customFormat="1" ht="30" customHeight="1" spans="1:11">
      <c r="A129" s="7">
        <f t="shared" si="1"/>
        <v>126</v>
      </c>
      <c r="B129" s="8" t="s">
        <v>20</v>
      </c>
      <c r="C129" s="8" t="s">
        <v>1038</v>
      </c>
      <c r="D129" s="8" t="s">
        <v>603</v>
      </c>
      <c r="E129" s="8" t="s">
        <v>1058</v>
      </c>
      <c r="F129" s="7" t="s">
        <v>27</v>
      </c>
      <c r="G129" s="8" t="s">
        <v>28</v>
      </c>
      <c r="H129" s="7" t="s">
        <v>39</v>
      </c>
      <c r="I129" s="7" t="s">
        <v>30</v>
      </c>
      <c r="J129" s="7" t="s">
        <v>452</v>
      </c>
      <c r="K129" s="7"/>
    </row>
    <row r="130" s="2" customFormat="1" ht="30" customHeight="1" spans="1:11">
      <c r="A130" s="7">
        <f t="shared" si="1"/>
        <v>127</v>
      </c>
      <c r="B130" s="8" t="s">
        <v>20</v>
      </c>
      <c r="C130" s="8" t="s">
        <v>48</v>
      </c>
      <c r="D130" s="8" t="s">
        <v>59</v>
      </c>
      <c r="E130" s="8" t="s">
        <v>357</v>
      </c>
      <c r="F130" s="7" t="s">
        <v>27</v>
      </c>
      <c r="G130" s="8" t="s">
        <v>28</v>
      </c>
      <c r="H130" s="7" t="s">
        <v>39</v>
      </c>
      <c r="I130" s="7" t="s">
        <v>51</v>
      </c>
      <c r="J130" s="7" t="s">
        <v>358</v>
      </c>
      <c r="K130" s="7"/>
    </row>
    <row r="131" s="2" customFormat="1" ht="30" customHeight="1" spans="1:11">
      <c r="A131" s="7">
        <f t="shared" si="1"/>
        <v>128</v>
      </c>
      <c r="B131" s="8" t="s">
        <v>20</v>
      </c>
      <c r="C131" s="8" t="s">
        <v>100</v>
      </c>
      <c r="D131" s="8" t="s">
        <v>176</v>
      </c>
      <c r="E131" s="8" t="s">
        <v>360</v>
      </c>
      <c r="F131" s="7" t="s">
        <v>27</v>
      </c>
      <c r="G131" s="8" t="s">
        <v>28</v>
      </c>
      <c r="H131" s="7" t="s">
        <v>29</v>
      </c>
      <c r="I131" s="7" t="s">
        <v>51</v>
      </c>
      <c r="J131" s="7" t="s">
        <v>358</v>
      </c>
      <c r="K131" s="7"/>
    </row>
    <row r="132" s="2" customFormat="1" ht="30" customHeight="1" spans="1:11">
      <c r="A132" s="7">
        <f t="shared" si="1"/>
        <v>129</v>
      </c>
      <c r="B132" s="8" t="s">
        <v>20</v>
      </c>
      <c r="C132" s="8" t="s">
        <v>48</v>
      </c>
      <c r="D132" s="8" t="s">
        <v>362</v>
      </c>
      <c r="E132" s="8" t="s">
        <v>363</v>
      </c>
      <c r="F132" s="7" t="s">
        <v>27</v>
      </c>
      <c r="G132" s="8" t="s">
        <v>28</v>
      </c>
      <c r="H132" s="7" t="s">
        <v>39</v>
      </c>
      <c r="I132" s="7" t="s">
        <v>51</v>
      </c>
      <c r="J132" s="7" t="s">
        <v>364</v>
      </c>
      <c r="K132" s="7"/>
    </row>
    <row r="133" s="2" customFormat="1" ht="30" customHeight="1" spans="1:11">
      <c r="A133" s="7">
        <f t="shared" ref="A133:A140" si="2">ROW()-3</f>
        <v>130</v>
      </c>
      <c r="B133" s="8" t="s">
        <v>20</v>
      </c>
      <c r="C133" s="8" t="s">
        <v>48</v>
      </c>
      <c r="D133" s="8" t="s">
        <v>366</v>
      </c>
      <c r="E133" s="8" t="s">
        <v>367</v>
      </c>
      <c r="F133" s="7" t="s">
        <v>27</v>
      </c>
      <c r="G133" s="8" t="s">
        <v>28</v>
      </c>
      <c r="H133" s="7" t="s">
        <v>39</v>
      </c>
      <c r="I133" s="7" t="s">
        <v>51</v>
      </c>
      <c r="J133" s="7" t="s">
        <v>364</v>
      </c>
      <c r="K133" s="7"/>
    </row>
    <row r="134" s="2" customFormat="1" ht="30" customHeight="1" spans="1:11">
      <c r="A134" s="7">
        <f t="shared" si="2"/>
        <v>131</v>
      </c>
      <c r="B134" s="8" t="s">
        <v>20</v>
      </c>
      <c r="C134" s="8" t="s">
        <v>100</v>
      </c>
      <c r="D134" s="8" t="s">
        <v>369</v>
      </c>
      <c r="E134" s="8" t="s">
        <v>370</v>
      </c>
      <c r="F134" s="7" t="s">
        <v>27</v>
      </c>
      <c r="G134" s="8" t="s">
        <v>28</v>
      </c>
      <c r="H134" s="7" t="s">
        <v>29</v>
      </c>
      <c r="I134" s="7" t="s">
        <v>51</v>
      </c>
      <c r="J134" s="7" t="s">
        <v>293</v>
      </c>
      <c r="K134" s="7"/>
    </row>
    <row r="135" s="2" customFormat="1" ht="30" customHeight="1" spans="1:11">
      <c r="A135" s="7">
        <f t="shared" si="2"/>
        <v>132</v>
      </c>
      <c r="B135" s="8" t="s">
        <v>20</v>
      </c>
      <c r="C135" s="8" t="s">
        <v>48</v>
      </c>
      <c r="D135" s="8" t="s">
        <v>49</v>
      </c>
      <c r="E135" s="8" t="s">
        <v>372</v>
      </c>
      <c r="F135" s="7" t="s">
        <v>27</v>
      </c>
      <c r="G135" s="8" t="s">
        <v>28</v>
      </c>
      <c r="H135" s="7" t="s">
        <v>39</v>
      </c>
      <c r="I135" s="7" t="s">
        <v>51</v>
      </c>
      <c r="J135" s="7" t="s">
        <v>166</v>
      </c>
      <c r="K135" s="7"/>
    </row>
    <row r="136" s="2" customFormat="1" ht="30" customHeight="1" spans="1:11">
      <c r="A136" s="7">
        <f t="shared" si="2"/>
        <v>133</v>
      </c>
      <c r="B136" s="8" t="s">
        <v>20</v>
      </c>
      <c r="C136" s="8" t="s">
        <v>100</v>
      </c>
      <c r="D136" s="8" t="s">
        <v>369</v>
      </c>
      <c r="E136" s="8" t="s">
        <v>374</v>
      </c>
      <c r="F136" s="7" t="s">
        <v>27</v>
      </c>
      <c r="G136" s="8" t="s">
        <v>28</v>
      </c>
      <c r="H136" s="7" t="s">
        <v>29</v>
      </c>
      <c r="I136" s="7" t="s">
        <v>51</v>
      </c>
      <c r="J136" s="7" t="s">
        <v>247</v>
      </c>
      <c r="K136" s="8" t="s">
        <v>375</v>
      </c>
    </row>
    <row r="137" s="2" customFormat="1" ht="30" customHeight="1" spans="1:11">
      <c r="A137" s="7">
        <f t="shared" si="2"/>
        <v>134</v>
      </c>
      <c r="B137" s="8" t="s">
        <v>20</v>
      </c>
      <c r="C137" s="8" t="s">
        <v>100</v>
      </c>
      <c r="D137" s="8" t="s">
        <v>377</v>
      </c>
      <c r="E137" s="8" t="s">
        <v>378</v>
      </c>
      <c r="F137" s="7" t="s">
        <v>27</v>
      </c>
      <c r="G137" s="8" t="s">
        <v>28</v>
      </c>
      <c r="H137" s="7" t="s">
        <v>29</v>
      </c>
      <c r="I137" s="7" t="s">
        <v>51</v>
      </c>
      <c r="J137" s="7" t="s">
        <v>293</v>
      </c>
      <c r="K137" s="7"/>
    </row>
    <row r="138" s="2" customFormat="1" ht="30" customHeight="1" spans="1:11">
      <c r="A138" s="7">
        <f t="shared" si="2"/>
        <v>135</v>
      </c>
      <c r="B138" s="8" t="s">
        <v>20</v>
      </c>
      <c r="C138" s="8" t="s">
        <v>100</v>
      </c>
      <c r="D138" s="8" t="s">
        <v>377</v>
      </c>
      <c r="E138" s="8" t="s">
        <v>380</v>
      </c>
      <c r="F138" s="7" t="s">
        <v>27</v>
      </c>
      <c r="G138" s="8" t="s">
        <v>28</v>
      </c>
      <c r="H138" s="7" t="s">
        <v>29</v>
      </c>
      <c r="I138" s="7" t="s">
        <v>51</v>
      </c>
      <c r="J138" s="7" t="s">
        <v>293</v>
      </c>
      <c r="K138" s="7"/>
    </row>
    <row r="139" s="2" customFormat="1" ht="30" customHeight="1" spans="1:11">
      <c r="A139" s="7">
        <f t="shared" si="2"/>
        <v>136</v>
      </c>
      <c r="B139" s="8" t="s">
        <v>20</v>
      </c>
      <c r="C139" s="8" t="s">
        <v>48</v>
      </c>
      <c r="D139" s="8" t="s">
        <v>49</v>
      </c>
      <c r="E139" s="8" t="s">
        <v>381</v>
      </c>
      <c r="F139" s="7" t="s">
        <v>27</v>
      </c>
      <c r="G139" s="8" t="s">
        <v>28</v>
      </c>
      <c r="H139" s="7" t="s">
        <v>39</v>
      </c>
      <c r="I139" s="7" t="s">
        <v>51</v>
      </c>
      <c r="J139" s="7" t="s">
        <v>166</v>
      </c>
      <c r="K139" s="7"/>
    </row>
    <row r="140" s="2" customFormat="1" ht="30" customHeight="1" spans="1:11">
      <c r="A140" s="7">
        <f t="shared" si="2"/>
        <v>137</v>
      </c>
      <c r="B140" s="8" t="s">
        <v>20</v>
      </c>
      <c r="C140" s="8" t="s">
        <v>100</v>
      </c>
      <c r="D140" s="8" t="s">
        <v>383</v>
      </c>
      <c r="E140" s="8" t="s">
        <v>384</v>
      </c>
      <c r="F140" s="7" t="s">
        <v>27</v>
      </c>
      <c r="G140" s="8" t="s">
        <v>28</v>
      </c>
      <c r="H140" s="7" t="s">
        <v>29</v>
      </c>
      <c r="I140" s="7" t="s">
        <v>51</v>
      </c>
      <c r="J140" s="7" t="s">
        <v>293</v>
      </c>
      <c r="K140" s="7"/>
    </row>
    <row r="141" s="2" customFormat="1" ht="30" customHeight="1" spans="1:11">
      <c r="A141" s="7">
        <f t="shared" ref="A141:A188" si="3">ROW()-3</f>
        <v>138</v>
      </c>
      <c r="B141" s="8" t="s">
        <v>20</v>
      </c>
      <c r="C141" s="8" t="s">
        <v>100</v>
      </c>
      <c r="D141" s="8" t="s">
        <v>383</v>
      </c>
      <c r="E141" s="8" t="s">
        <v>386</v>
      </c>
      <c r="F141" s="7" t="s">
        <v>27</v>
      </c>
      <c r="G141" s="8" t="s">
        <v>28</v>
      </c>
      <c r="H141" s="7" t="s">
        <v>29</v>
      </c>
      <c r="I141" s="7" t="s">
        <v>51</v>
      </c>
      <c r="J141" s="7" t="s">
        <v>293</v>
      </c>
      <c r="K141" s="7"/>
    </row>
    <row r="142" s="2" customFormat="1" ht="30" customHeight="1" spans="1:11">
      <c r="A142" s="7">
        <f t="shared" si="3"/>
        <v>139</v>
      </c>
      <c r="B142" s="8" t="s">
        <v>20</v>
      </c>
      <c r="C142" s="8" t="s">
        <v>100</v>
      </c>
      <c r="D142" s="8" t="s">
        <v>388</v>
      </c>
      <c r="E142" s="8" t="s">
        <v>389</v>
      </c>
      <c r="F142" s="7" t="s">
        <v>27</v>
      </c>
      <c r="G142" s="8" t="s">
        <v>28</v>
      </c>
      <c r="H142" s="7" t="s">
        <v>29</v>
      </c>
      <c r="I142" s="7" t="s">
        <v>51</v>
      </c>
      <c r="J142" s="7" t="s">
        <v>156</v>
      </c>
      <c r="K142" s="7"/>
    </row>
    <row r="143" s="2" customFormat="1" ht="30" customHeight="1" spans="1:11">
      <c r="A143" s="7">
        <f t="shared" si="3"/>
        <v>140</v>
      </c>
      <c r="B143" s="8" t="s">
        <v>20</v>
      </c>
      <c r="C143" s="8" t="s">
        <v>100</v>
      </c>
      <c r="D143" s="8" t="s">
        <v>391</v>
      </c>
      <c r="E143" s="8" t="s">
        <v>392</v>
      </c>
      <c r="F143" s="7" t="s">
        <v>27</v>
      </c>
      <c r="G143" s="8" t="s">
        <v>28</v>
      </c>
      <c r="H143" s="7" t="s">
        <v>29</v>
      </c>
      <c r="I143" s="7" t="s">
        <v>51</v>
      </c>
      <c r="J143" s="7" t="s">
        <v>293</v>
      </c>
      <c r="K143" s="7"/>
    </row>
    <row r="144" s="2" customFormat="1" ht="30" customHeight="1" spans="1:11">
      <c r="A144" s="7">
        <f t="shared" si="3"/>
        <v>141</v>
      </c>
      <c r="B144" s="8" t="s">
        <v>20</v>
      </c>
      <c r="C144" s="8" t="s">
        <v>100</v>
      </c>
      <c r="D144" s="8" t="s">
        <v>394</v>
      </c>
      <c r="E144" s="8" t="s">
        <v>395</v>
      </c>
      <c r="F144" s="7" t="s">
        <v>27</v>
      </c>
      <c r="G144" s="8" t="s">
        <v>28</v>
      </c>
      <c r="H144" s="7" t="s">
        <v>29</v>
      </c>
      <c r="I144" s="7" t="s">
        <v>51</v>
      </c>
      <c r="J144" s="7" t="s">
        <v>396</v>
      </c>
      <c r="K144" s="8" t="s">
        <v>397</v>
      </c>
    </row>
    <row r="145" s="2" customFormat="1" ht="30" customHeight="1" spans="1:11">
      <c r="A145" s="7">
        <f t="shared" si="3"/>
        <v>142</v>
      </c>
      <c r="B145" s="8" t="s">
        <v>20</v>
      </c>
      <c r="C145" s="8" t="s">
        <v>100</v>
      </c>
      <c r="D145" s="8" t="s">
        <v>399</v>
      </c>
      <c r="E145" s="8" t="s">
        <v>400</v>
      </c>
      <c r="F145" s="7" t="s">
        <v>27</v>
      </c>
      <c r="G145" s="8" t="s">
        <v>28</v>
      </c>
      <c r="H145" s="7" t="s">
        <v>29</v>
      </c>
      <c r="I145" s="7" t="s">
        <v>51</v>
      </c>
      <c r="J145" s="7" t="s">
        <v>396</v>
      </c>
      <c r="K145" s="8" t="s">
        <v>401</v>
      </c>
    </row>
    <row r="146" s="2" customFormat="1" ht="30" customHeight="1" spans="1:11">
      <c r="A146" s="7">
        <f t="shared" si="3"/>
        <v>143</v>
      </c>
      <c r="B146" s="8" t="s">
        <v>20</v>
      </c>
      <c r="C146" s="8" t="s">
        <v>100</v>
      </c>
      <c r="D146" s="8" t="s">
        <v>394</v>
      </c>
      <c r="E146" s="8" t="s">
        <v>403</v>
      </c>
      <c r="F146" s="7" t="s">
        <v>27</v>
      </c>
      <c r="G146" s="8" t="s">
        <v>28</v>
      </c>
      <c r="H146" s="7" t="s">
        <v>29</v>
      </c>
      <c r="I146" s="7" t="s">
        <v>51</v>
      </c>
      <c r="J146" s="7" t="s">
        <v>156</v>
      </c>
      <c r="K146" s="7"/>
    </row>
    <row r="147" s="2" customFormat="1" ht="30" customHeight="1" spans="1:11">
      <c r="A147" s="7">
        <f t="shared" si="3"/>
        <v>144</v>
      </c>
      <c r="B147" s="8" t="s">
        <v>20</v>
      </c>
      <c r="C147" s="8" t="s">
        <v>100</v>
      </c>
      <c r="D147" s="8" t="s">
        <v>399</v>
      </c>
      <c r="E147" s="8" t="s">
        <v>405</v>
      </c>
      <c r="F147" s="7" t="s">
        <v>27</v>
      </c>
      <c r="G147" s="8" t="s">
        <v>28</v>
      </c>
      <c r="H147" s="7" t="s">
        <v>29</v>
      </c>
      <c r="I147" s="7" t="s">
        <v>51</v>
      </c>
      <c r="J147" s="7" t="s">
        <v>71</v>
      </c>
      <c r="K147" s="8" t="s">
        <v>406</v>
      </c>
    </row>
    <row r="148" s="2" customFormat="1" ht="30" customHeight="1" spans="1:11">
      <c r="A148" s="7">
        <f t="shared" si="3"/>
        <v>145</v>
      </c>
      <c r="B148" s="8" t="s">
        <v>20</v>
      </c>
      <c r="C148" s="8" t="s">
        <v>408</v>
      </c>
      <c r="D148" s="8" t="s">
        <v>409</v>
      </c>
      <c r="E148" s="8" t="s">
        <v>410</v>
      </c>
      <c r="F148" s="7" t="s">
        <v>27</v>
      </c>
      <c r="G148" s="8" t="s">
        <v>28</v>
      </c>
      <c r="H148" s="7" t="s">
        <v>39</v>
      </c>
      <c r="I148" s="7" t="s">
        <v>51</v>
      </c>
      <c r="J148" s="7" t="s">
        <v>143</v>
      </c>
      <c r="K148" s="7"/>
    </row>
    <row r="149" s="2" customFormat="1" ht="30" customHeight="1" spans="1:11">
      <c r="A149" s="7">
        <f t="shared" si="3"/>
        <v>146</v>
      </c>
      <c r="B149" s="8" t="s">
        <v>20</v>
      </c>
      <c r="C149" s="8" t="s">
        <v>74</v>
      </c>
      <c r="D149" s="8" t="s">
        <v>412</v>
      </c>
      <c r="E149" s="8" t="s">
        <v>413</v>
      </c>
      <c r="F149" s="7" t="s">
        <v>27</v>
      </c>
      <c r="G149" s="8" t="s">
        <v>28</v>
      </c>
      <c r="H149" s="7" t="s">
        <v>29</v>
      </c>
      <c r="I149" s="7" t="s">
        <v>51</v>
      </c>
      <c r="J149" s="7" t="s">
        <v>293</v>
      </c>
      <c r="K149" s="7"/>
    </row>
    <row r="150" s="2" customFormat="1" ht="30" customHeight="1" spans="1:11">
      <c r="A150" s="7">
        <f t="shared" si="3"/>
        <v>147</v>
      </c>
      <c r="B150" s="8" t="s">
        <v>20</v>
      </c>
      <c r="C150" s="8" t="s">
        <v>74</v>
      </c>
      <c r="D150" s="8" t="s">
        <v>412</v>
      </c>
      <c r="E150" s="8" t="s">
        <v>415</v>
      </c>
      <c r="F150" s="7" t="s">
        <v>27</v>
      </c>
      <c r="G150" s="8" t="s">
        <v>28</v>
      </c>
      <c r="H150" s="7" t="s">
        <v>29</v>
      </c>
      <c r="I150" s="7" t="s">
        <v>51</v>
      </c>
      <c r="J150" s="7" t="s">
        <v>293</v>
      </c>
      <c r="K150" s="7"/>
    </row>
    <row r="151" s="2" customFormat="1" ht="30" customHeight="1" spans="1:11">
      <c r="A151" s="7">
        <f t="shared" si="3"/>
        <v>148</v>
      </c>
      <c r="B151" s="8" t="s">
        <v>20</v>
      </c>
      <c r="C151" s="8" t="s">
        <v>100</v>
      </c>
      <c r="D151" s="8" t="s">
        <v>391</v>
      </c>
      <c r="E151" s="8" t="s">
        <v>417</v>
      </c>
      <c r="F151" s="7" t="s">
        <v>27</v>
      </c>
      <c r="G151" s="8" t="s">
        <v>28</v>
      </c>
      <c r="H151" s="7" t="s">
        <v>29</v>
      </c>
      <c r="I151" s="7" t="s">
        <v>51</v>
      </c>
      <c r="J151" s="7" t="s">
        <v>293</v>
      </c>
      <c r="K151" s="7"/>
    </row>
    <row r="152" s="2" customFormat="1" ht="30" customHeight="1" spans="1:11">
      <c r="A152" s="7">
        <f t="shared" si="3"/>
        <v>149</v>
      </c>
      <c r="B152" s="8" t="s">
        <v>20</v>
      </c>
      <c r="C152" s="8" t="s">
        <v>100</v>
      </c>
      <c r="D152" s="8" t="s">
        <v>176</v>
      </c>
      <c r="E152" s="8" t="s">
        <v>419</v>
      </c>
      <c r="F152" s="7" t="s">
        <v>27</v>
      </c>
      <c r="G152" s="8" t="s">
        <v>28</v>
      </c>
      <c r="H152" s="7" t="s">
        <v>29</v>
      </c>
      <c r="I152" s="7" t="s">
        <v>51</v>
      </c>
      <c r="J152" s="7" t="s">
        <v>420</v>
      </c>
      <c r="K152" s="7"/>
    </row>
    <row r="153" s="2" customFormat="1" ht="30" customHeight="1" spans="1:11">
      <c r="A153" s="7">
        <f t="shared" si="3"/>
        <v>150</v>
      </c>
      <c r="B153" s="8" t="s">
        <v>20</v>
      </c>
      <c r="C153" s="8" t="s">
        <v>74</v>
      </c>
      <c r="D153" s="8" t="s">
        <v>75</v>
      </c>
      <c r="E153" s="8" t="s">
        <v>422</v>
      </c>
      <c r="F153" s="7" t="s">
        <v>27</v>
      </c>
      <c r="G153" s="8" t="s">
        <v>28</v>
      </c>
      <c r="H153" s="7" t="s">
        <v>29</v>
      </c>
      <c r="I153" s="7" t="s">
        <v>51</v>
      </c>
      <c r="J153" s="7" t="s">
        <v>71</v>
      </c>
      <c r="K153" s="7"/>
    </row>
    <row r="154" s="2" customFormat="1" ht="30" customHeight="1" spans="1:11">
      <c r="A154" s="7">
        <f t="shared" si="3"/>
        <v>151</v>
      </c>
      <c r="B154" s="8" t="s">
        <v>20</v>
      </c>
      <c r="C154" s="8" t="s">
        <v>210</v>
      </c>
      <c r="D154" s="8" t="s">
        <v>211</v>
      </c>
      <c r="E154" s="8" t="s">
        <v>424</v>
      </c>
      <c r="F154" s="7" t="s">
        <v>27</v>
      </c>
      <c r="G154" s="8" t="s">
        <v>28</v>
      </c>
      <c r="H154" s="7" t="s">
        <v>39</v>
      </c>
      <c r="I154" s="7" t="s">
        <v>51</v>
      </c>
      <c r="J154" s="7" t="s">
        <v>166</v>
      </c>
      <c r="K154" s="7"/>
    </row>
    <row r="155" s="2" customFormat="1" ht="30" customHeight="1" spans="1:11">
      <c r="A155" s="7">
        <f t="shared" si="3"/>
        <v>152</v>
      </c>
      <c r="B155" s="8" t="s">
        <v>20</v>
      </c>
      <c r="C155" s="8" t="s">
        <v>74</v>
      </c>
      <c r="D155" s="8" t="s">
        <v>75</v>
      </c>
      <c r="E155" s="8" t="s">
        <v>426</v>
      </c>
      <c r="F155" s="7" t="s">
        <v>27</v>
      </c>
      <c r="G155" s="8" t="s">
        <v>28</v>
      </c>
      <c r="H155" s="7" t="s">
        <v>29</v>
      </c>
      <c r="I155" s="7" t="s">
        <v>51</v>
      </c>
      <c r="J155" s="7" t="s">
        <v>420</v>
      </c>
      <c r="K155" s="7"/>
    </row>
    <row r="156" s="2" customFormat="1" ht="30" customHeight="1" spans="1:11">
      <c r="A156" s="7">
        <f t="shared" si="3"/>
        <v>153</v>
      </c>
      <c r="B156" s="8" t="s">
        <v>20</v>
      </c>
      <c r="C156" s="8" t="s">
        <v>74</v>
      </c>
      <c r="D156" s="8" t="s">
        <v>75</v>
      </c>
      <c r="E156" s="8" t="s">
        <v>428</v>
      </c>
      <c r="F156" s="7" t="s">
        <v>27</v>
      </c>
      <c r="G156" s="8" t="s">
        <v>28</v>
      </c>
      <c r="H156" s="7" t="s">
        <v>29</v>
      </c>
      <c r="I156" s="7" t="s">
        <v>51</v>
      </c>
      <c r="J156" s="7" t="s">
        <v>420</v>
      </c>
      <c r="K156" s="7"/>
    </row>
    <row r="157" s="2" customFormat="1" ht="30" customHeight="1" spans="1:11">
      <c r="A157" s="7">
        <f t="shared" si="3"/>
        <v>154</v>
      </c>
      <c r="B157" s="8" t="s">
        <v>20</v>
      </c>
      <c r="C157" s="8" t="s">
        <v>74</v>
      </c>
      <c r="D157" s="8" t="s">
        <v>75</v>
      </c>
      <c r="E157" s="8" t="s">
        <v>430</v>
      </c>
      <c r="F157" s="7" t="s">
        <v>27</v>
      </c>
      <c r="G157" s="8" t="s">
        <v>28</v>
      </c>
      <c r="H157" s="7" t="s">
        <v>29</v>
      </c>
      <c r="I157" s="7" t="s">
        <v>51</v>
      </c>
      <c r="J157" s="7" t="s">
        <v>431</v>
      </c>
      <c r="K157" s="7"/>
    </row>
    <row r="158" s="2" customFormat="1" ht="30" customHeight="1" spans="1:11">
      <c r="A158" s="7">
        <f t="shared" si="3"/>
        <v>155</v>
      </c>
      <c r="B158" s="8" t="s">
        <v>20</v>
      </c>
      <c r="C158" s="8" t="s">
        <v>1065</v>
      </c>
      <c r="D158" s="8" t="s">
        <v>1066</v>
      </c>
      <c r="E158" s="8" t="s">
        <v>1067</v>
      </c>
      <c r="F158" s="7" t="s">
        <v>27</v>
      </c>
      <c r="G158" s="8" t="s">
        <v>28</v>
      </c>
      <c r="H158" s="7" t="s">
        <v>39</v>
      </c>
      <c r="I158" s="7" t="s">
        <v>30</v>
      </c>
      <c r="J158" s="7" t="s">
        <v>247</v>
      </c>
      <c r="K158" s="8" t="s">
        <v>756</v>
      </c>
    </row>
    <row r="159" s="2" customFormat="1" ht="30" customHeight="1" spans="1:11">
      <c r="A159" s="7">
        <f t="shared" si="3"/>
        <v>156</v>
      </c>
      <c r="B159" s="8" t="s">
        <v>20</v>
      </c>
      <c r="C159" s="8" t="s">
        <v>1068</v>
      </c>
      <c r="D159" s="8" t="s">
        <v>1069</v>
      </c>
      <c r="E159" s="8" t="s">
        <v>1070</v>
      </c>
      <c r="F159" s="7" t="s">
        <v>27</v>
      </c>
      <c r="G159" s="8" t="s">
        <v>28</v>
      </c>
      <c r="H159" s="7" t="s">
        <v>29</v>
      </c>
      <c r="I159" s="7" t="s">
        <v>30</v>
      </c>
      <c r="J159" s="7" t="s">
        <v>247</v>
      </c>
      <c r="K159" s="8" t="s">
        <v>756</v>
      </c>
    </row>
    <row r="160" s="2" customFormat="1" ht="30" customHeight="1" spans="1:11">
      <c r="A160" s="7">
        <f t="shared" si="3"/>
        <v>157</v>
      </c>
      <c r="B160" s="8" t="s">
        <v>20</v>
      </c>
      <c r="C160" s="8" t="s">
        <v>74</v>
      </c>
      <c r="D160" s="8" t="s">
        <v>75</v>
      </c>
      <c r="E160" s="8" t="s">
        <v>433</v>
      </c>
      <c r="F160" s="7" t="s">
        <v>27</v>
      </c>
      <c r="G160" s="8" t="s">
        <v>28</v>
      </c>
      <c r="H160" s="7" t="s">
        <v>29</v>
      </c>
      <c r="I160" s="7" t="s">
        <v>51</v>
      </c>
      <c r="J160" s="7" t="s">
        <v>247</v>
      </c>
      <c r="K160" s="8" t="s">
        <v>375</v>
      </c>
    </row>
    <row r="161" s="2" customFormat="1" ht="30" customHeight="1" spans="1:11">
      <c r="A161" s="7">
        <f t="shared" si="3"/>
        <v>158</v>
      </c>
      <c r="B161" s="8" t="s">
        <v>20</v>
      </c>
      <c r="C161" s="8" t="s">
        <v>74</v>
      </c>
      <c r="D161" s="8" t="s">
        <v>75</v>
      </c>
      <c r="E161" s="8" t="s">
        <v>435</v>
      </c>
      <c r="F161" s="7" t="s">
        <v>27</v>
      </c>
      <c r="G161" s="8" t="s">
        <v>28</v>
      </c>
      <c r="H161" s="7" t="s">
        <v>29</v>
      </c>
      <c r="I161" s="7" t="s">
        <v>51</v>
      </c>
      <c r="J161" s="7" t="s">
        <v>396</v>
      </c>
      <c r="K161" s="7"/>
    </row>
    <row r="162" s="2" customFormat="1" ht="30" customHeight="1" spans="1:11">
      <c r="A162" s="7">
        <f t="shared" si="3"/>
        <v>159</v>
      </c>
      <c r="B162" s="8" t="s">
        <v>20</v>
      </c>
      <c r="C162" s="8" t="s">
        <v>100</v>
      </c>
      <c r="D162" s="8" t="s">
        <v>176</v>
      </c>
      <c r="E162" s="8" t="s">
        <v>437</v>
      </c>
      <c r="F162" s="7" t="s">
        <v>27</v>
      </c>
      <c r="G162" s="8" t="s">
        <v>28</v>
      </c>
      <c r="H162" s="7" t="s">
        <v>29</v>
      </c>
      <c r="I162" s="7" t="s">
        <v>51</v>
      </c>
      <c r="J162" s="7" t="s">
        <v>420</v>
      </c>
      <c r="K162" s="7"/>
    </row>
    <row r="163" s="2" customFormat="1" ht="30" customHeight="1" spans="1:11">
      <c r="A163" s="7">
        <f t="shared" si="3"/>
        <v>160</v>
      </c>
      <c r="B163" s="8" t="s">
        <v>20</v>
      </c>
      <c r="C163" s="8" t="s">
        <v>53</v>
      </c>
      <c r="D163" s="8" t="s">
        <v>54</v>
      </c>
      <c r="E163" s="8" t="s">
        <v>1072</v>
      </c>
      <c r="F163" s="7" t="s">
        <v>27</v>
      </c>
      <c r="G163" s="8" t="s">
        <v>28</v>
      </c>
      <c r="H163" s="7" t="s">
        <v>39</v>
      </c>
      <c r="I163" s="7" t="s">
        <v>30</v>
      </c>
      <c r="J163" s="7" t="s">
        <v>364</v>
      </c>
      <c r="K163" s="7"/>
    </row>
    <row r="164" s="2" customFormat="1" ht="30" customHeight="1" spans="1:11">
      <c r="A164" s="7">
        <f t="shared" si="3"/>
        <v>161</v>
      </c>
      <c r="B164" s="8" t="s">
        <v>20</v>
      </c>
      <c r="C164" s="8" t="s">
        <v>107</v>
      </c>
      <c r="D164" s="8" t="s">
        <v>108</v>
      </c>
      <c r="E164" s="8" t="s">
        <v>1073</v>
      </c>
      <c r="F164" s="7" t="s">
        <v>27</v>
      </c>
      <c r="G164" s="8" t="s">
        <v>28</v>
      </c>
      <c r="H164" s="7" t="s">
        <v>39</v>
      </c>
      <c r="I164" s="7" t="s">
        <v>30</v>
      </c>
      <c r="J164" s="7" t="s">
        <v>247</v>
      </c>
      <c r="K164" s="8" t="s">
        <v>579</v>
      </c>
    </row>
    <row r="165" s="2" customFormat="1" ht="30" customHeight="1" spans="1:11">
      <c r="A165" s="7">
        <f t="shared" si="3"/>
        <v>162</v>
      </c>
      <c r="B165" s="8" t="s">
        <v>20</v>
      </c>
      <c r="C165" s="8" t="s">
        <v>74</v>
      </c>
      <c r="D165" s="8" t="s">
        <v>75</v>
      </c>
      <c r="E165" s="8" t="s">
        <v>439</v>
      </c>
      <c r="F165" s="7" t="s">
        <v>27</v>
      </c>
      <c r="G165" s="8" t="s">
        <v>28</v>
      </c>
      <c r="H165" s="7" t="s">
        <v>29</v>
      </c>
      <c r="I165" s="7" t="s">
        <v>51</v>
      </c>
      <c r="J165" s="7" t="s">
        <v>440</v>
      </c>
      <c r="K165" s="7"/>
    </row>
    <row r="166" s="2" customFormat="1" ht="30" customHeight="1" spans="1:11">
      <c r="A166" s="7">
        <f t="shared" si="3"/>
        <v>163</v>
      </c>
      <c r="B166" s="8" t="s">
        <v>20</v>
      </c>
      <c r="C166" s="8" t="s">
        <v>100</v>
      </c>
      <c r="D166" s="8" t="s">
        <v>176</v>
      </c>
      <c r="E166" s="8" t="s">
        <v>442</v>
      </c>
      <c r="F166" s="7" t="s">
        <v>27</v>
      </c>
      <c r="G166" s="8" t="s">
        <v>28</v>
      </c>
      <c r="H166" s="7" t="s">
        <v>29</v>
      </c>
      <c r="I166" s="7" t="s">
        <v>51</v>
      </c>
      <c r="J166" s="7" t="s">
        <v>364</v>
      </c>
      <c r="K166" s="7"/>
    </row>
    <row r="167" s="2" customFormat="1" ht="30" customHeight="1" spans="1:11">
      <c r="A167" s="7">
        <f t="shared" si="3"/>
        <v>164</v>
      </c>
      <c r="B167" s="8" t="s">
        <v>20</v>
      </c>
      <c r="C167" s="8" t="s">
        <v>74</v>
      </c>
      <c r="D167" s="8" t="s">
        <v>75</v>
      </c>
      <c r="E167" s="8" t="s">
        <v>444</v>
      </c>
      <c r="F167" s="7" t="s">
        <v>27</v>
      </c>
      <c r="G167" s="8" t="s">
        <v>28</v>
      </c>
      <c r="H167" s="7" t="s">
        <v>29</v>
      </c>
      <c r="I167" s="7" t="s">
        <v>51</v>
      </c>
      <c r="J167" s="7" t="s">
        <v>445</v>
      </c>
      <c r="K167" s="7"/>
    </row>
    <row r="168" s="2" customFormat="1" ht="30" customHeight="1" spans="1:11">
      <c r="A168" s="7">
        <f t="shared" si="3"/>
        <v>165</v>
      </c>
      <c r="B168" s="8" t="s">
        <v>20</v>
      </c>
      <c r="C168" s="8" t="s">
        <v>100</v>
      </c>
      <c r="D168" s="8" t="s">
        <v>399</v>
      </c>
      <c r="E168" s="8" t="s">
        <v>447</v>
      </c>
      <c r="F168" s="7" t="s">
        <v>27</v>
      </c>
      <c r="G168" s="8" t="s">
        <v>28</v>
      </c>
      <c r="H168" s="7" t="s">
        <v>29</v>
      </c>
      <c r="I168" s="7" t="s">
        <v>51</v>
      </c>
      <c r="J168" s="7" t="s">
        <v>358</v>
      </c>
      <c r="K168" s="7"/>
    </row>
    <row r="169" s="2" customFormat="1" ht="30" customHeight="1" spans="1:11">
      <c r="A169" s="7">
        <f t="shared" si="3"/>
        <v>166</v>
      </c>
      <c r="B169" s="8" t="s">
        <v>20</v>
      </c>
      <c r="C169" s="8" t="s">
        <v>74</v>
      </c>
      <c r="D169" s="8" t="s">
        <v>75</v>
      </c>
      <c r="E169" s="8" t="s">
        <v>449</v>
      </c>
      <c r="F169" s="7" t="s">
        <v>27</v>
      </c>
      <c r="G169" s="8" t="s">
        <v>28</v>
      </c>
      <c r="H169" s="7" t="s">
        <v>29</v>
      </c>
      <c r="I169" s="7" t="s">
        <v>51</v>
      </c>
      <c r="J169" s="7" t="s">
        <v>80</v>
      </c>
      <c r="K169" s="7"/>
    </row>
    <row r="170" s="2" customFormat="1" ht="30" customHeight="1" spans="1:11">
      <c r="A170" s="7">
        <f t="shared" si="3"/>
        <v>167</v>
      </c>
      <c r="B170" s="8" t="s">
        <v>20</v>
      </c>
      <c r="C170" s="8" t="s">
        <v>74</v>
      </c>
      <c r="D170" s="8" t="s">
        <v>75</v>
      </c>
      <c r="E170" s="8" t="s">
        <v>451</v>
      </c>
      <c r="F170" s="7" t="s">
        <v>27</v>
      </c>
      <c r="G170" s="8" t="s">
        <v>28</v>
      </c>
      <c r="H170" s="7" t="s">
        <v>29</v>
      </c>
      <c r="I170" s="7" t="s">
        <v>51</v>
      </c>
      <c r="J170" s="7" t="s">
        <v>452</v>
      </c>
      <c r="K170" s="7"/>
    </row>
    <row r="171" s="2" customFormat="1" ht="30" customHeight="1" spans="1:11">
      <c r="A171" s="7">
        <f t="shared" si="3"/>
        <v>168</v>
      </c>
      <c r="B171" s="8" t="s">
        <v>20</v>
      </c>
      <c r="C171" s="8" t="s">
        <v>74</v>
      </c>
      <c r="D171" s="8" t="s">
        <v>75</v>
      </c>
      <c r="E171" s="8" t="s">
        <v>454</v>
      </c>
      <c r="F171" s="7" t="s">
        <v>27</v>
      </c>
      <c r="G171" s="8" t="s">
        <v>28</v>
      </c>
      <c r="H171" s="7" t="s">
        <v>29</v>
      </c>
      <c r="I171" s="7" t="s">
        <v>51</v>
      </c>
      <c r="J171" s="7" t="s">
        <v>293</v>
      </c>
      <c r="K171" s="7"/>
    </row>
    <row r="172" s="2" customFormat="1" ht="30" customHeight="1" spans="1:11">
      <c r="A172" s="7">
        <f t="shared" si="3"/>
        <v>169</v>
      </c>
      <c r="B172" s="8" t="s">
        <v>20</v>
      </c>
      <c r="C172" s="8" t="s">
        <v>33</v>
      </c>
      <c r="D172" s="8" t="s">
        <v>116</v>
      </c>
      <c r="E172" s="8" t="s">
        <v>1075</v>
      </c>
      <c r="F172" s="7" t="s">
        <v>27</v>
      </c>
      <c r="G172" s="8" t="s">
        <v>28</v>
      </c>
      <c r="H172" s="7" t="s">
        <v>39</v>
      </c>
      <c r="I172" s="7" t="s">
        <v>30</v>
      </c>
      <c r="J172" s="7" t="s">
        <v>535</v>
      </c>
      <c r="K172" s="7"/>
    </row>
    <row r="173" s="2" customFormat="1" ht="30" customHeight="1" spans="1:11">
      <c r="A173" s="7">
        <f t="shared" si="3"/>
        <v>170</v>
      </c>
      <c r="B173" s="8" t="s">
        <v>20</v>
      </c>
      <c r="C173" s="8" t="s">
        <v>33</v>
      </c>
      <c r="D173" s="8" t="s">
        <v>34</v>
      </c>
      <c r="E173" s="8" t="s">
        <v>1078</v>
      </c>
      <c r="F173" s="7" t="s">
        <v>27</v>
      </c>
      <c r="G173" s="8" t="s">
        <v>28</v>
      </c>
      <c r="H173" s="7" t="s">
        <v>39</v>
      </c>
      <c r="I173" s="7" t="s">
        <v>30</v>
      </c>
      <c r="J173" s="7" t="s">
        <v>166</v>
      </c>
      <c r="K173" s="7"/>
    </row>
    <row r="174" s="2" customFormat="1" ht="30" customHeight="1" spans="1:11">
      <c r="A174" s="7">
        <f t="shared" si="3"/>
        <v>171</v>
      </c>
      <c r="B174" s="8" t="s">
        <v>20</v>
      </c>
      <c r="C174" s="8" t="s">
        <v>100</v>
      </c>
      <c r="D174" s="8" t="s">
        <v>176</v>
      </c>
      <c r="E174" s="8" t="s">
        <v>456</v>
      </c>
      <c r="F174" s="7" t="s">
        <v>27</v>
      </c>
      <c r="G174" s="8" t="s">
        <v>28</v>
      </c>
      <c r="H174" s="7" t="s">
        <v>29</v>
      </c>
      <c r="I174" s="7" t="s">
        <v>51</v>
      </c>
      <c r="J174" s="7" t="s">
        <v>420</v>
      </c>
      <c r="K174" s="7"/>
    </row>
    <row r="175" s="2" customFormat="1" ht="30" customHeight="1" spans="1:11">
      <c r="A175" s="7">
        <f t="shared" si="3"/>
        <v>172</v>
      </c>
      <c r="B175" s="8" t="s">
        <v>20</v>
      </c>
      <c r="C175" s="8" t="s">
        <v>100</v>
      </c>
      <c r="D175" s="8" t="s">
        <v>176</v>
      </c>
      <c r="E175" s="8" t="s">
        <v>458</v>
      </c>
      <c r="F175" s="7" t="s">
        <v>27</v>
      </c>
      <c r="G175" s="8" t="s">
        <v>28</v>
      </c>
      <c r="H175" s="7" t="s">
        <v>29</v>
      </c>
      <c r="I175" s="7" t="s">
        <v>51</v>
      </c>
      <c r="J175" s="7" t="s">
        <v>420</v>
      </c>
      <c r="K175" s="7"/>
    </row>
    <row r="176" s="2" customFormat="1" ht="30" customHeight="1" spans="1:11">
      <c r="A176" s="7">
        <f t="shared" si="3"/>
        <v>173</v>
      </c>
      <c r="B176" s="8" t="s">
        <v>20</v>
      </c>
      <c r="C176" s="8" t="s">
        <v>33</v>
      </c>
      <c r="D176" s="8" t="s">
        <v>116</v>
      </c>
      <c r="E176" s="8" t="s">
        <v>1080</v>
      </c>
      <c r="F176" s="7" t="s">
        <v>27</v>
      </c>
      <c r="G176" s="8" t="s">
        <v>28</v>
      </c>
      <c r="H176" s="7" t="s">
        <v>39</v>
      </c>
      <c r="I176" s="7" t="s">
        <v>30</v>
      </c>
      <c r="J176" s="7" t="s">
        <v>358</v>
      </c>
      <c r="K176" s="7"/>
    </row>
    <row r="177" s="2" customFormat="1" ht="30" customHeight="1" spans="1:11">
      <c r="A177" s="7">
        <f t="shared" si="3"/>
        <v>174</v>
      </c>
      <c r="B177" s="8" t="s">
        <v>20</v>
      </c>
      <c r="C177" s="8" t="s">
        <v>33</v>
      </c>
      <c r="D177" s="8" t="s">
        <v>116</v>
      </c>
      <c r="E177" s="8" t="s">
        <v>1081</v>
      </c>
      <c r="F177" s="7" t="s">
        <v>27</v>
      </c>
      <c r="G177" s="8" t="s">
        <v>28</v>
      </c>
      <c r="H177" s="7" t="s">
        <v>39</v>
      </c>
      <c r="I177" s="7" t="s">
        <v>30</v>
      </c>
      <c r="J177" s="7" t="s">
        <v>261</v>
      </c>
      <c r="K177" s="7"/>
    </row>
    <row r="178" s="2" customFormat="1" ht="30" customHeight="1" spans="1:11">
      <c r="A178" s="7">
        <f t="shared" si="3"/>
        <v>175</v>
      </c>
      <c r="B178" s="8" t="s">
        <v>20</v>
      </c>
      <c r="C178" s="8" t="s">
        <v>460</v>
      </c>
      <c r="D178" s="8" t="s">
        <v>769</v>
      </c>
      <c r="E178" s="8" t="s">
        <v>1083</v>
      </c>
      <c r="F178" s="7" t="s">
        <v>27</v>
      </c>
      <c r="G178" s="8" t="s">
        <v>28</v>
      </c>
      <c r="H178" s="7" t="s">
        <v>39</v>
      </c>
      <c r="I178" s="7" t="s">
        <v>30</v>
      </c>
      <c r="J178" s="7" t="s">
        <v>80</v>
      </c>
      <c r="K178" s="7"/>
    </row>
    <row r="179" s="2" customFormat="1" ht="30" customHeight="1" spans="1:11">
      <c r="A179" s="7">
        <f t="shared" si="3"/>
        <v>176</v>
      </c>
      <c r="B179" s="8" t="s">
        <v>20</v>
      </c>
      <c r="C179" s="8" t="s">
        <v>460</v>
      </c>
      <c r="D179" s="8" t="s">
        <v>769</v>
      </c>
      <c r="E179" s="8" t="s">
        <v>1084</v>
      </c>
      <c r="F179" s="7" t="s">
        <v>27</v>
      </c>
      <c r="G179" s="8" t="s">
        <v>28</v>
      </c>
      <c r="H179" s="7" t="s">
        <v>39</v>
      </c>
      <c r="I179" s="7" t="s">
        <v>30</v>
      </c>
      <c r="J179" s="7" t="s">
        <v>342</v>
      </c>
      <c r="K179" s="7"/>
    </row>
    <row r="180" s="2" customFormat="1" ht="30" customHeight="1" spans="1:11">
      <c r="A180" s="7">
        <f t="shared" si="3"/>
        <v>177</v>
      </c>
      <c r="B180" s="8" t="s">
        <v>20</v>
      </c>
      <c r="C180" s="8" t="s">
        <v>33</v>
      </c>
      <c r="D180" s="8" t="s">
        <v>116</v>
      </c>
      <c r="E180" s="8" t="s">
        <v>1085</v>
      </c>
      <c r="F180" s="7" t="s">
        <v>27</v>
      </c>
      <c r="G180" s="8" t="s">
        <v>28</v>
      </c>
      <c r="H180" s="7" t="s">
        <v>39</v>
      </c>
      <c r="I180" s="7" t="s">
        <v>30</v>
      </c>
      <c r="J180" s="7" t="s">
        <v>261</v>
      </c>
      <c r="K180" s="7"/>
    </row>
    <row r="181" s="2" customFormat="1" ht="30" customHeight="1" spans="1:11">
      <c r="A181" s="7">
        <f t="shared" si="3"/>
        <v>178</v>
      </c>
      <c r="B181" s="8" t="s">
        <v>20</v>
      </c>
      <c r="C181" s="8" t="s">
        <v>460</v>
      </c>
      <c r="D181" s="8" t="s">
        <v>461</v>
      </c>
      <c r="E181" s="8" t="s">
        <v>1086</v>
      </c>
      <c r="F181" s="7" t="s">
        <v>27</v>
      </c>
      <c r="G181" s="8" t="s">
        <v>28</v>
      </c>
      <c r="H181" s="7" t="s">
        <v>39</v>
      </c>
      <c r="I181" s="7" t="s">
        <v>30</v>
      </c>
      <c r="J181" s="7" t="s">
        <v>247</v>
      </c>
      <c r="K181" s="8" t="s">
        <v>1087</v>
      </c>
    </row>
    <row r="182" s="2" customFormat="1" ht="30" customHeight="1" spans="1:11">
      <c r="A182" s="7">
        <f t="shared" si="3"/>
        <v>179</v>
      </c>
      <c r="B182" s="8" t="s">
        <v>20</v>
      </c>
      <c r="C182" s="8" t="s">
        <v>460</v>
      </c>
      <c r="D182" s="8" t="s">
        <v>461</v>
      </c>
      <c r="E182" s="8" t="s">
        <v>1090</v>
      </c>
      <c r="F182" s="7" t="s">
        <v>27</v>
      </c>
      <c r="G182" s="8" t="s">
        <v>28</v>
      </c>
      <c r="H182" s="7" t="s">
        <v>39</v>
      </c>
      <c r="I182" s="7" t="s">
        <v>30</v>
      </c>
      <c r="J182" s="7" t="s">
        <v>247</v>
      </c>
      <c r="K182" s="8" t="s">
        <v>1087</v>
      </c>
    </row>
    <row r="183" s="2" customFormat="1" ht="30" customHeight="1" spans="1:11">
      <c r="A183" s="7">
        <f t="shared" si="3"/>
        <v>180</v>
      </c>
      <c r="B183" s="8" t="s">
        <v>20</v>
      </c>
      <c r="C183" s="8" t="s">
        <v>21</v>
      </c>
      <c r="D183" s="8" t="s">
        <v>1091</v>
      </c>
      <c r="E183" s="8" t="s">
        <v>1092</v>
      </c>
      <c r="F183" s="7" t="s">
        <v>27</v>
      </c>
      <c r="G183" s="8" t="s">
        <v>28</v>
      </c>
      <c r="H183" s="7" t="s">
        <v>39</v>
      </c>
      <c r="I183" s="7" t="s">
        <v>30</v>
      </c>
      <c r="J183" s="7" t="s">
        <v>166</v>
      </c>
      <c r="K183" s="7"/>
    </row>
    <row r="184" s="2" customFormat="1" ht="30" customHeight="1" spans="1:11">
      <c r="A184" s="7">
        <f t="shared" si="3"/>
        <v>181</v>
      </c>
      <c r="B184" s="8" t="s">
        <v>20</v>
      </c>
      <c r="C184" s="8" t="s">
        <v>21</v>
      </c>
      <c r="D184" s="8" t="s">
        <v>22</v>
      </c>
      <c r="E184" s="8" t="s">
        <v>1096</v>
      </c>
      <c r="F184" s="7" t="s">
        <v>27</v>
      </c>
      <c r="G184" s="8" t="s">
        <v>28</v>
      </c>
      <c r="H184" s="7" t="s">
        <v>39</v>
      </c>
      <c r="I184" s="7" t="s">
        <v>30</v>
      </c>
      <c r="J184" s="7" t="s">
        <v>166</v>
      </c>
      <c r="K184" s="7"/>
    </row>
    <row r="185" s="2" customFormat="1" ht="30" customHeight="1" spans="1:11">
      <c r="A185" s="7">
        <f t="shared" si="3"/>
        <v>182</v>
      </c>
      <c r="B185" s="8" t="s">
        <v>20</v>
      </c>
      <c r="C185" s="8" t="s">
        <v>460</v>
      </c>
      <c r="D185" s="8" t="s">
        <v>461</v>
      </c>
      <c r="E185" s="8" t="s">
        <v>1097</v>
      </c>
      <c r="F185" s="7" t="s">
        <v>27</v>
      </c>
      <c r="G185" s="8" t="s">
        <v>28</v>
      </c>
      <c r="H185" s="7" t="s">
        <v>39</v>
      </c>
      <c r="I185" s="7" t="s">
        <v>30</v>
      </c>
      <c r="J185" s="7" t="s">
        <v>247</v>
      </c>
      <c r="K185" s="8" t="s">
        <v>375</v>
      </c>
    </row>
    <row r="186" s="2" customFormat="1" ht="30" customHeight="1" spans="1:11">
      <c r="A186" s="7">
        <f t="shared" si="3"/>
        <v>183</v>
      </c>
      <c r="B186" s="8" t="s">
        <v>20</v>
      </c>
      <c r="C186" s="8" t="s">
        <v>460</v>
      </c>
      <c r="D186" s="8" t="s">
        <v>461</v>
      </c>
      <c r="E186" s="8" t="s">
        <v>1098</v>
      </c>
      <c r="F186" s="7" t="s">
        <v>27</v>
      </c>
      <c r="G186" s="8" t="s">
        <v>28</v>
      </c>
      <c r="H186" s="7" t="s">
        <v>39</v>
      </c>
      <c r="I186" s="7" t="s">
        <v>30</v>
      </c>
      <c r="J186" s="7" t="s">
        <v>71</v>
      </c>
      <c r="K186" s="8" t="s">
        <v>1099</v>
      </c>
    </row>
    <row r="187" s="2" customFormat="1" ht="30" customHeight="1" spans="1:11">
      <c r="A187" s="7">
        <f t="shared" si="3"/>
        <v>184</v>
      </c>
      <c r="B187" s="8" t="s">
        <v>20</v>
      </c>
      <c r="C187" s="8" t="s">
        <v>460</v>
      </c>
      <c r="D187" s="8" t="s">
        <v>461</v>
      </c>
      <c r="E187" s="8" t="s">
        <v>1100</v>
      </c>
      <c r="F187" s="7" t="s">
        <v>27</v>
      </c>
      <c r="G187" s="8" t="s">
        <v>28</v>
      </c>
      <c r="H187" s="7" t="s">
        <v>39</v>
      </c>
      <c r="I187" s="7" t="s">
        <v>30</v>
      </c>
      <c r="J187" s="7" t="s">
        <v>247</v>
      </c>
      <c r="K187" s="8" t="s">
        <v>1087</v>
      </c>
    </row>
    <row r="188" s="2" customFormat="1" ht="30" customHeight="1" spans="1:11">
      <c r="A188" s="7">
        <f t="shared" si="3"/>
        <v>185</v>
      </c>
      <c r="B188" s="8" t="s">
        <v>20</v>
      </c>
      <c r="C188" s="8" t="s">
        <v>460</v>
      </c>
      <c r="D188" s="8" t="s">
        <v>461</v>
      </c>
      <c r="E188" s="8" t="s">
        <v>1101</v>
      </c>
      <c r="F188" s="7" t="s">
        <v>27</v>
      </c>
      <c r="G188" s="8" t="s">
        <v>28</v>
      </c>
      <c r="H188" s="7" t="s">
        <v>39</v>
      </c>
      <c r="I188" s="7" t="s">
        <v>30</v>
      </c>
      <c r="J188" s="7" t="s">
        <v>133</v>
      </c>
      <c r="K188" s="7"/>
    </row>
    <row r="189" s="2" customFormat="1" ht="30" customHeight="1" spans="1:11">
      <c r="A189" s="7">
        <f t="shared" ref="A189:A199" si="4">ROW()-3</f>
        <v>186</v>
      </c>
      <c r="B189" s="8" t="s">
        <v>20</v>
      </c>
      <c r="C189" s="8" t="s">
        <v>21</v>
      </c>
      <c r="D189" s="8" t="s">
        <v>22</v>
      </c>
      <c r="E189" s="8" t="s">
        <v>1102</v>
      </c>
      <c r="F189" s="7" t="s">
        <v>27</v>
      </c>
      <c r="G189" s="8" t="s">
        <v>28</v>
      </c>
      <c r="H189" s="7" t="s">
        <v>39</v>
      </c>
      <c r="I189" s="7" t="s">
        <v>30</v>
      </c>
      <c r="J189" s="7" t="s">
        <v>166</v>
      </c>
      <c r="K189" s="7"/>
    </row>
    <row r="190" s="2" customFormat="1" ht="30" customHeight="1" spans="1:11">
      <c r="A190" s="7">
        <f t="shared" si="4"/>
        <v>187</v>
      </c>
      <c r="B190" s="8" t="s">
        <v>20</v>
      </c>
      <c r="C190" s="8" t="s">
        <v>21</v>
      </c>
      <c r="D190" s="8" t="s">
        <v>22</v>
      </c>
      <c r="E190" s="8" t="s">
        <v>1107</v>
      </c>
      <c r="F190" s="7" t="s">
        <v>27</v>
      </c>
      <c r="G190" s="8" t="s">
        <v>28</v>
      </c>
      <c r="H190" s="7" t="s">
        <v>39</v>
      </c>
      <c r="I190" s="7" t="s">
        <v>30</v>
      </c>
      <c r="J190" s="7" t="s">
        <v>166</v>
      </c>
      <c r="K190" s="7"/>
    </row>
    <row r="191" s="2" customFormat="1" ht="30" customHeight="1" spans="1:11">
      <c r="A191" s="7">
        <f t="shared" si="4"/>
        <v>188</v>
      </c>
      <c r="B191" s="8" t="s">
        <v>20</v>
      </c>
      <c r="C191" s="8" t="s">
        <v>107</v>
      </c>
      <c r="D191" s="8" t="s">
        <v>108</v>
      </c>
      <c r="E191" s="8" t="s">
        <v>1108</v>
      </c>
      <c r="F191" s="7" t="s">
        <v>27</v>
      </c>
      <c r="G191" s="8" t="s">
        <v>28</v>
      </c>
      <c r="H191" s="7" t="s">
        <v>39</v>
      </c>
      <c r="I191" s="7" t="s">
        <v>30</v>
      </c>
      <c r="J191" s="7" t="s">
        <v>420</v>
      </c>
      <c r="K191" s="8" t="s">
        <v>1109</v>
      </c>
    </row>
    <row r="192" s="2" customFormat="1" ht="30" customHeight="1" spans="1:11">
      <c r="A192" s="7">
        <f t="shared" si="4"/>
        <v>189</v>
      </c>
      <c r="B192" s="8" t="s">
        <v>20</v>
      </c>
      <c r="C192" s="8" t="s">
        <v>985</v>
      </c>
      <c r="D192" s="8" t="s">
        <v>1110</v>
      </c>
      <c r="E192" s="8" t="s">
        <v>1111</v>
      </c>
      <c r="F192" s="7" t="s">
        <v>27</v>
      </c>
      <c r="G192" s="8" t="s">
        <v>28</v>
      </c>
      <c r="H192" s="7" t="s">
        <v>39</v>
      </c>
      <c r="I192" s="7" t="s">
        <v>30</v>
      </c>
      <c r="J192" s="7" t="s">
        <v>247</v>
      </c>
      <c r="K192" s="8" t="s">
        <v>375</v>
      </c>
    </row>
    <row r="193" s="2" customFormat="1" ht="30" customHeight="1" spans="1:11">
      <c r="A193" s="7">
        <f t="shared" si="4"/>
        <v>190</v>
      </c>
      <c r="B193" s="8" t="s">
        <v>20</v>
      </c>
      <c r="C193" s="8" t="s">
        <v>985</v>
      </c>
      <c r="D193" s="8" t="s">
        <v>538</v>
      </c>
      <c r="E193" s="8" t="s">
        <v>1112</v>
      </c>
      <c r="F193" s="7" t="s">
        <v>27</v>
      </c>
      <c r="G193" s="8" t="s">
        <v>28</v>
      </c>
      <c r="H193" s="7" t="s">
        <v>39</v>
      </c>
      <c r="I193" s="7" t="s">
        <v>30</v>
      </c>
      <c r="J193" s="7" t="s">
        <v>452</v>
      </c>
      <c r="K193" s="8" t="s">
        <v>375</v>
      </c>
    </row>
    <row r="194" s="2" customFormat="1" ht="30" customHeight="1" spans="1:11">
      <c r="A194" s="7">
        <f t="shared" si="4"/>
        <v>191</v>
      </c>
      <c r="B194" s="8" t="s">
        <v>20</v>
      </c>
      <c r="C194" s="8" t="s">
        <v>21</v>
      </c>
      <c r="D194" s="8" t="s">
        <v>22</v>
      </c>
      <c r="E194" s="8" t="s">
        <v>1113</v>
      </c>
      <c r="F194" s="7" t="s">
        <v>27</v>
      </c>
      <c r="G194" s="8" t="s">
        <v>28</v>
      </c>
      <c r="H194" s="7" t="s">
        <v>39</v>
      </c>
      <c r="I194" s="7" t="s">
        <v>30</v>
      </c>
      <c r="J194" s="7" t="s">
        <v>535</v>
      </c>
      <c r="K194" s="7"/>
    </row>
    <row r="195" s="2" customFormat="1" ht="30" customHeight="1" spans="1:11">
      <c r="A195" s="7">
        <f t="shared" si="4"/>
        <v>192</v>
      </c>
      <c r="B195" s="8" t="s">
        <v>20</v>
      </c>
      <c r="C195" s="8" t="s">
        <v>982</v>
      </c>
      <c r="D195" s="8" t="s">
        <v>1007</v>
      </c>
      <c r="E195" s="8" t="s">
        <v>1114</v>
      </c>
      <c r="F195" s="7" t="s">
        <v>27</v>
      </c>
      <c r="G195" s="8" t="s">
        <v>28</v>
      </c>
      <c r="H195" s="7" t="s">
        <v>39</v>
      </c>
      <c r="I195" s="7" t="s">
        <v>30</v>
      </c>
      <c r="J195" s="7" t="s">
        <v>364</v>
      </c>
      <c r="K195" s="7"/>
    </row>
    <row r="196" s="2" customFormat="1" ht="30" customHeight="1" spans="1:11">
      <c r="A196" s="7">
        <f t="shared" si="4"/>
        <v>193</v>
      </c>
      <c r="B196" s="8" t="s">
        <v>20</v>
      </c>
      <c r="C196" s="8" t="s">
        <v>107</v>
      </c>
      <c r="D196" s="8" t="s">
        <v>108</v>
      </c>
      <c r="E196" s="8" t="s">
        <v>1115</v>
      </c>
      <c r="F196" s="7" t="s">
        <v>27</v>
      </c>
      <c r="G196" s="8" t="s">
        <v>28</v>
      </c>
      <c r="H196" s="7" t="s">
        <v>39</v>
      </c>
      <c r="I196" s="7" t="s">
        <v>30</v>
      </c>
      <c r="J196" s="7" t="s">
        <v>420</v>
      </c>
      <c r="K196" s="8" t="s">
        <v>1116</v>
      </c>
    </row>
    <row r="197" s="2" customFormat="1" ht="30" customHeight="1" spans="1:11">
      <c r="A197" s="7">
        <f t="shared" si="4"/>
        <v>194</v>
      </c>
      <c r="B197" s="8" t="s">
        <v>20</v>
      </c>
      <c r="C197" s="8" t="s">
        <v>460</v>
      </c>
      <c r="D197" s="8" t="s">
        <v>461</v>
      </c>
      <c r="E197" s="8" t="s">
        <v>1117</v>
      </c>
      <c r="F197" s="7" t="s">
        <v>27</v>
      </c>
      <c r="G197" s="8" t="s">
        <v>28</v>
      </c>
      <c r="H197" s="7" t="s">
        <v>39</v>
      </c>
      <c r="I197" s="7" t="s">
        <v>30</v>
      </c>
      <c r="J197" s="7" t="s">
        <v>247</v>
      </c>
      <c r="K197" s="8" t="s">
        <v>1087</v>
      </c>
    </row>
    <row r="198" s="2" customFormat="1" ht="30" customHeight="1" spans="1:11">
      <c r="A198" s="7">
        <f t="shared" si="4"/>
        <v>195</v>
      </c>
      <c r="B198" s="8" t="s">
        <v>20</v>
      </c>
      <c r="C198" s="8" t="s">
        <v>460</v>
      </c>
      <c r="D198" s="8" t="s">
        <v>461</v>
      </c>
      <c r="E198" s="8" t="s">
        <v>1118</v>
      </c>
      <c r="F198" s="7" t="s">
        <v>27</v>
      </c>
      <c r="G198" s="8" t="s">
        <v>28</v>
      </c>
      <c r="H198" s="7" t="s">
        <v>39</v>
      </c>
      <c r="I198" s="7" t="s">
        <v>30</v>
      </c>
      <c r="J198" s="7" t="s">
        <v>1061</v>
      </c>
      <c r="K198" s="7"/>
    </row>
    <row r="199" s="2" customFormat="1" ht="30" customHeight="1" spans="1:11">
      <c r="A199" s="7">
        <f t="shared" si="4"/>
        <v>196</v>
      </c>
      <c r="B199" s="8" t="s">
        <v>20</v>
      </c>
      <c r="C199" s="8" t="s">
        <v>21</v>
      </c>
      <c r="D199" s="8" t="s">
        <v>22</v>
      </c>
      <c r="E199" s="8" t="s">
        <v>1119</v>
      </c>
      <c r="F199" s="7" t="s">
        <v>27</v>
      </c>
      <c r="G199" s="8" t="s">
        <v>28</v>
      </c>
      <c r="H199" s="7" t="s">
        <v>29</v>
      </c>
      <c r="I199" s="7" t="s">
        <v>30</v>
      </c>
      <c r="J199" s="7" t="s">
        <v>358</v>
      </c>
      <c r="K199" s="7"/>
    </row>
    <row r="200" s="2" customFormat="1" ht="30" customHeight="1" spans="1:11">
      <c r="A200" s="7">
        <f t="shared" ref="A200:A263" si="5">ROW()-3</f>
        <v>197</v>
      </c>
      <c r="B200" s="8" t="s">
        <v>20</v>
      </c>
      <c r="C200" s="8" t="s">
        <v>21</v>
      </c>
      <c r="D200" s="8" t="s">
        <v>22</v>
      </c>
      <c r="E200" s="8" t="s">
        <v>1123</v>
      </c>
      <c r="F200" s="7" t="s">
        <v>27</v>
      </c>
      <c r="G200" s="8" t="s">
        <v>28</v>
      </c>
      <c r="H200" s="7" t="s">
        <v>29</v>
      </c>
      <c r="I200" s="7" t="s">
        <v>30</v>
      </c>
      <c r="J200" s="7" t="s">
        <v>718</v>
      </c>
      <c r="K200" s="7"/>
    </row>
    <row r="201" s="2" customFormat="1" ht="30" customHeight="1" spans="1:11">
      <c r="A201" s="7">
        <f t="shared" si="5"/>
        <v>198</v>
      </c>
      <c r="B201" s="8" t="s">
        <v>20</v>
      </c>
      <c r="C201" s="8" t="s">
        <v>460</v>
      </c>
      <c r="D201" s="8" t="s">
        <v>461</v>
      </c>
      <c r="E201" s="8" t="s">
        <v>1124</v>
      </c>
      <c r="F201" s="7" t="s">
        <v>27</v>
      </c>
      <c r="G201" s="8" t="s">
        <v>28</v>
      </c>
      <c r="H201" s="7" t="s">
        <v>39</v>
      </c>
      <c r="I201" s="7" t="s">
        <v>30</v>
      </c>
      <c r="J201" s="7" t="s">
        <v>1061</v>
      </c>
      <c r="K201" s="7"/>
    </row>
    <row r="202" s="2" customFormat="1" ht="30" customHeight="1" spans="1:11">
      <c r="A202" s="7">
        <f t="shared" si="5"/>
        <v>199</v>
      </c>
      <c r="B202" s="8" t="s">
        <v>20</v>
      </c>
      <c r="C202" s="8" t="s">
        <v>460</v>
      </c>
      <c r="D202" s="8" t="s">
        <v>461</v>
      </c>
      <c r="E202" s="8" t="s">
        <v>1125</v>
      </c>
      <c r="F202" s="7" t="s">
        <v>27</v>
      </c>
      <c r="G202" s="8" t="s">
        <v>28</v>
      </c>
      <c r="H202" s="7" t="s">
        <v>39</v>
      </c>
      <c r="I202" s="7" t="s">
        <v>30</v>
      </c>
      <c r="J202" s="7" t="s">
        <v>247</v>
      </c>
      <c r="K202" s="8" t="s">
        <v>1087</v>
      </c>
    </row>
    <row r="203" s="2" customFormat="1" ht="30" customHeight="1" spans="1:11">
      <c r="A203" s="7">
        <f t="shared" si="5"/>
        <v>200</v>
      </c>
      <c r="B203" s="8" t="s">
        <v>20</v>
      </c>
      <c r="C203" s="8" t="s">
        <v>460</v>
      </c>
      <c r="D203" s="8" t="s">
        <v>461</v>
      </c>
      <c r="E203" s="8" t="s">
        <v>1126</v>
      </c>
      <c r="F203" s="7" t="s">
        <v>27</v>
      </c>
      <c r="G203" s="8" t="s">
        <v>28</v>
      </c>
      <c r="H203" s="7" t="s">
        <v>39</v>
      </c>
      <c r="I203" s="7" t="s">
        <v>30</v>
      </c>
      <c r="J203" s="7" t="s">
        <v>1061</v>
      </c>
      <c r="K203" s="7"/>
    </row>
    <row r="204" s="2" customFormat="1" ht="30" customHeight="1" spans="1:11">
      <c r="A204" s="7">
        <f t="shared" si="5"/>
        <v>201</v>
      </c>
      <c r="B204" s="8" t="s">
        <v>20</v>
      </c>
      <c r="C204" s="8" t="s">
        <v>989</v>
      </c>
      <c r="D204" s="8" t="s">
        <v>990</v>
      </c>
      <c r="E204" s="8" t="s">
        <v>1127</v>
      </c>
      <c r="F204" s="7" t="s">
        <v>27</v>
      </c>
      <c r="G204" s="8" t="s">
        <v>1184</v>
      </c>
      <c r="H204" s="7" t="s">
        <v>29</v>
      </c>
      <c r="I204" s="7" t="s">
        <v>30</v>
      </c>
      <c r="J204" s="7" t="s">
        <v>358</v>
      </c>
      <c r="K204" s="7"/>
    </row>
    <row r="205" s="2" customFormat="1" ht="30" customHeight="1" spans="1:11">
      <c r="A205" s="7">
        <f t="shared" si="5"/>
        <v>202</v>
      </c>
      <c r="B205" s="8" t="s">
        <v>20</v>
      </c>
      <c r="C205" s="8" t="s">
        <v>460</v>
      </c>
      <c r="D205" s="8" t="s">
        <v>461</v>
      </c>
      <c r="E205" s="8" t="s">
        <v>1128</v>
      </c>
      <c r="F205" s="7" t="s">
        <v>27</v>
      </c>
      <c r="G205" s="8" t="s">
        <v>28</v>
      </c>
      <c r="H205" s="7" t="s">
        <v>39</v>
      </c>
      <c r="I205" s="7" t="s">
        <v>30</v>
      </c>
      <c r="J205" s="7" t="s">
        <v>445</v>
      </c>
      <c r="K205" s="7"/>
    </row>
    <row r="206" s="2" customFormat="1" ht="30" customHeight="1" spans="1:11">
      <c r="A206" s="7">
        <f t="shared" si="5"/>
        <v>203</v>
      </c>
      <c r="B206" s="8" t="s">
        <v>20</v>
      </c>
      <c r="C206" s="8" t="s">
        <v>989</v>
      </c>
      <c r="D206" s="8" t="s">
        <v>990</v>
      </c>
      <c r="E206" s="8" t="s">
        <v>1129</v>
      </c>
      <c r="F206" s="7" t="s">
        <v>27</v>
      </c>
      <c r="G206" s="8" t="s">
        <v>1184</v>
      </c>
      <c r="H206" s="7" t="s">
        <v>29</v>
      </c>
      <c r="I206" s="7" t="s">
        <v>30</v>
      </c>
      <c r="J206" s="7" t="s">
        <v>358</v>
      </c>
      <c r="K206" s="7"/>
    </row>
    <row r="207" s="2" customFormat="1" ht="30" customHeight="1" spans="1:11">
      <c r="A207" s="7">
        <f t="shared" si="5"/>
        <v>204</v>
      </c>
      <c r="B207" s="8" t="s">
        <v>20</v>
      </c>
      <c r="C207" s="8" t="s">
        <v>460</v>
      </c>
      <c r="D207" s="8" t="s">
        <v>461</v>
      </c>
      <c r="E207" s="8" t="s">
        <v>1130</v>
      </c>
      <c r="F207" s="7" t="s">
        <v>27</v>
      </c>
      <c r="G207" s="8" t="s">
        <v>28</v>
      </c>
      <c r="H207" s="7" t="s">
        <v>39</v>
      </c>
      <c r="I207" s="7" t="s">
        <v>30</v>
      </c>
      <c r="J207" s="7" t="s">
        <v>445</v>
      </c>
      <c r="K207" s="7"/>
    </row>
    <row r="208" s="2" customFormat="1" ht="30" customHeight="1" spans="1:11">
      <c r="A208" s="7">
        <f t="shared" si="5"/>
        <v>205</v>
      </c>
      <c r="B208" s="8" t="s">
        <v>20</v>
      </c>
      <c r="C208" s="8" t="s">
        <v>989</v>
      </c>
      <c r="D208" s="8" t="s">
        <v>990</v>
      </c>
      <c r="E208" s="8" t="s">
        <v>1131</v>
      </c>
      <c r="F208" s="7" t="s">
        <v>27</v>
      </c>
      <c r="G208" s="8" t="s">
        <v>1184</v>
      </c>
      <c r="H208" s="7" t="s">
        <v>29</v>
      </c>
      <c r="I208" s="7" t="s">
        <v>30</v>
      </c>
      <c r="J208" s="7" t="s">
        <v>358</v>
      </c>
      <c r="K208" s="7"/>
    </row>
    <row r="209" s="2" customFormat="1" ht="30" customHeight="1" spans="1:11">
      <c r="A209" s="7">
        <f t="shared" si="5"/>
        <v>206</v>
      </c>
      <c r="B209" s="8" t="s">
        <v>20</v>
      </c>
      <c r="C209" s="8" t="s">
        <v>989</v>
      </c>
      <c r="D209" s="8" t="s">
        <v>990</v>
      </c>
      <c r="E209" s="8" t="s">
        <v>1132</v>
      </c>
      <c r="F209" s="7" t="s">
        <v>27</v>
      </c>
      <c r="G209" s="8" t="s">
        <v>1184</v>
      </c>
      <c r="H209" s="7" t="s">
        <v>29</v>
      </c>
      <c r="I209" s="7" t="s">
        <v>30</v>
      </c>
      <c r="J209" s="7" t="s">
        <v>358</v>
      </c>
      <c r="K209" s="7"/>
    </row>
    <row r="210" s="2" customFormat="1" ht="30" customHeight="1" spans="1:11">
      <c r="A210" s="7">
        <f t="shared" si="5"/>
        <v>207</v>
      </c>
      <c r="B210" s="8" t="s">
        <v>20</v>
      </c>
      <c r="C210" s="8" t="s">
        <v>989</v>
      </c>
      <c r="D210" s="8" t="s">
        <v>990</v>
      </c>
      <c r="E210" s="8" t="s">
        <v>1133</v>
      </c>
      <c r="F210" s="7" t="s">
        <v>27</v>
      </c>
      <c r="G210" s="8" t="s">
        <v>1184</v>
      </c>
      <c r="H210" s="7" t="s">
        <v>29</v>
      </c>
      <c r="I210" s="7" t="s">
        <v>30</v>
      </c>
      <c r="J210" s="7" t="s">
        <v>358</v>
      </c>
      <c r="K210" s="7"/>
    </row>
    <row r="211" s="2" customFormat="1" ht="30" customHeight="1" spans="1:11">
      <c r="A211" s="7">
        <f t="shared" si="5"/>
        <v>208</v>
      </c>
      <c r="B211" s="8" t="s">
        <v>20</v>
      </c>
      <c r="C211" s="8" t="s">
        <v>460</v>
      </c>
      <c r="D211" s="8" t="s">
        <v>461</v>
      </c>
      <c r="E211" s="8" t="s">
        <v>1134</v>
      </c>
      <c r="F211" s="7" t="s">
        <v>27</v>
      </c>
      <c r="G211" s="8" t="s">
        <v>28</v>
      </c>
      <c r="H211" s="7" t="s">
        <v>39</v>
      </c>
      <c r="I211" s="7" t="s">
        <v>30</v>
      </c>
      <c r="J211" s="7" t="s">
        <v>247</v>
      </c>
      <c r="K211" s="8" t="s">
        <v>1087</v>
      </c>
    </row>
    <row r="212" s="2" customFormat="1" ht="30" customHeight="1" spans="1:11">
      <c r="A212" s="7">
        <f t="shared" si="5"/>
        <v>209</v>
      </c>
      <c r="B212" s="8" t="s">
        <v>20</v>
      </c>
      <c r="C212" s="8" t="s">
        <v>460</v>
      </c>
      <c r="D212" s="8" t="s">
        <v>461</v>
      </c>
      <c r="E212" s="8" t="s">
        <v>1137</v>
      </c>
      <c r="F212" s="7" t="s">
        <v>27</v>
      </c>
      <c r="G212" s="8" t="s">
        <v>28</v>
      </c>
      <c r="H212" s="7" t="s">
        <v>39</v>
      </c>
      <c r="I212" s="7" t="s">
        <v>30</v>
      </c>
      <c r="J212" s="7" t="s">
        <v>71</v>
      </c>
      <c r="K212" s="8" t="s">
        <v>1138</v>
      </c>
    </row>
    <row r="213" s="2" customFormat="1" ht="30" customHeight="1" spans="1:11">
      <c r="A213" s="7">
        <f t="shared" si="5"/>
        <v>210</v>
      </c>
      <c r="B213" s="8" t="s">
        <v>20</v>
      </c>
      <c r="C213" s="8" t="s">
        <v>989</v>
      </c>
      <c r="D213" s="8" t="s">
        <v>990</v>
      </c>
      <c r="E213" s="8" t="s">
        <v>1139</v>
      </c>
      <c r="F213" s="7" t="s">
        <v>27</v>
      </c>
      <c r="G213" s="8" t="s">
        <v>1184</v>
      </c>
      <c r="H213" s="7" t="s">
        <v>29</v>
      </c>
      <c r="I213" s="7" t="s">
        <v>30</v>
      </c>
      <c r="J213" s="7" t="s">
        <v>358</v>
      </c>
      <c r="K213" s="7"/>
    </row>
    <row r="214" s="2" customFormat="1" ht="30" customHeight="1" spans="1:11">
      <c r="A214" s="7">
        <f t="shared" si="5"/>
        <v>211</v>
      </c>
      <c r="B214" s="8" t="s">
        <v>20</v>
      </c>
      <c r="C214" s="8" t="s">
        <v>982</v>
      </c>
      <c r="D214" s="8" t="s">
        <v>983</v>
      </c>
      <c r="E214" s="8" t="s">
        <v>1140</v>
      </c>
      <c r="F214" s="7" t="s">
        <v>27</v>
      </c>
      <c r="G214" s="8" t="s">
        <v>28</v>
      </c>
      <c r="H214" s="7" t="s">
        <v>39</v>
      </c>
      <c r="I214" s="7" t="s">
        <v>30</v>
      </c>
      <c r="J214" s="7" t="s">
        <v>358</v>
      </c>
      <c r="K214" s="7"/>
    </row>
    <row r="215" s="2" customFormat="1" ht="30" customHeight="1" spans="1:11">
      <c r="A215" s="7">
        <f t="shared" si="5"/>
        <v>212</v>
      </c>
      <c r="B215" s="8" t="s">
        <v>20</v>
      </c>
      <c r="C215" s="8" t="s">
        <v>982</v>
      </c>
      <c r="D215" s="8" t="s">
        <v>983</v>
      </c>
      <c r="E215" s="8" t="s">
        <v>1141</v>
      </c>
      <c r="F215" s="7" t="s">
        <v>27</v>
      </c>
      <c r="G215" s="8" t="s">
        <v>28</v>
      </c>
      <c r="H215" s="7" t="s">
        <v>39</v>
      </c>
      <c r="I215" s="7" t="s">
        <v>30</v>
      </c>
      <c r="J215" s="7" t="s">
        <v>535</v>
      </c>
      <c r="K215" s="7"/>
    </row>
    <row r="216" s="2" customFormat="1" ht="30" customHeight="1" spans="1:11">
      <c r="A216" s="7">
        <f t="shared" si="5"/>
        <v>213</v>
      </c>
      <c r="B216" s="8" t="s">
        <v>20</v>
      </c>
      <c r="C216" s="8" t="s">
        <v>21</v>
      </c>
      <c r="D216" s="8" t="s">
        <v>1091</v>
      </c>
      <c r="E216" s="8" t="s">
        <v>1142</v>
      </c>
      <c r="F216" s="7" t="s">
        <v>27</v>
      </c>
      <c r="G216" s="8" t="s">
        <v>28</v>
      </c>
      <c r="H216" s="7" t="s">
        <v>39</v>
      </c>
      <c r="I216" s="7" t="s">
        <v>30</v>
      </c>
      <c r="J216" s="7" t="s">
        <v>535</v>
      </c>
      <c r="K216" s="7"/>
    </row>
    <row r="217" s="2" customFormat="1" ht="30" customHeight="1" spans="1:11">
      <c r="A217" s="7">
        <f t="shared" si="5"/>
        <v>214</v>
      </c>
      <c r="B217" s="8" t="s">
        <v>20</v>
      </c>
      <c r="C217" s="8" t="s">
        <v>460</v>
      </c>
      <c r="D217" s="8" t="s">
        <v>1143</v>
      </c>
      <c r="E217" s="8" t="s">
        <v>1144</v>
      </c>
      <c r="F217" s="7" t="s">
        <v>27</v>
      </c>
      <c r="G217" s="8" t="s">
        <v>28</v>
      </c>
      <c r="H217" s="7" t="s">
        <v>39</v>
      </c>
      <c r="I217" s="7" t="s">
        <v>30</v>
      </c>
      <c r="J217" s="7" t="s">
        <v>535</v>
      </c>
      <c r="K217" s="7"/>
    </row>
    <row r="218" s="2" customFormat="1" ht="30" customHeight="1" spans="1:11">
      <c r="A218" s="7">
        <f t="shared" si="5"/>
        <v>215</v>
      </c>
      <c r="B218" s="8" t="s">
        <v>20</v>
      </c>
      <c r="C218" s="8" t="s">
        <v>460</v>
      </c>
      <c r="D218" s="8" t="s">
        <v>1143</v>
      </c>
      <c r="E218" s="8" t="s">
        <v>1145</v>
      </c>
      <c r="F218" s="7" t="s">
        <v>27</v>
      </c>
      <c r="G218" s="8" t="s">
        <v>28</v>
      </c>
      <c r="H218" s="7" t="s">
        <v>39</v>
      </c>
      <c r="I218" s="7" t="s">
        <v>30</v>
      </c>
      <c r="J218" s="7" t="s">
        <v>358</v>
      </c>
      <c r="K218" s="7"/>
    </row>
    <row r="219" s="2" customFormat="1" ht="30" customHeight="1" spans="1:11">
      <c r="A219" s="7">
        <f t="shared" si="5"/>
        <v>216</v>
      </c>
      <c r="B219" s="8" t="s">
        <v>20</v>
      </c>
      <c r="C219" s="8" t="s">
        <v>1029</v>
      </c>
      <c r="D219" s="8" t="s">
        <v>1030</v>
      </c>
      <c r="E219" s="8" t="s">
        <v>741</v>
      </c>
      <c r="F219" s="7" t="s">
        <v>27</v>
      </c>
      <c r="G219" s="8" t="s">
        <v>28</v>
      </c>
      <c r="H219" s="7" t="s">
        <v>39</v>
      </c>
      <c r="I219" s="7" t="s">
        <v>30</v>
      </c>
      <c r="J219" s="7" t="s">
        <v>143</v>
      </c>
      <c r="K219" s="7"/>
    </row>
    <row r="220" s="2" customFormat="1" ht="30" customHeight="1" spans="1:11">
      <c r="A220" s="7">
        <f t="shared" si="5"/>
        <v>217</v>
      </c>
      <c r="B220" s="8" t="s">
        <v>20</v>
      </c>
      <c r="C220" s="8" t="s">
        <v>74</v>
      </c>
      <c r="D220" s="8" t="s">
        <v>75</v>
      </c>
      <c r="E220" s="8" t="s">
        <v>1060</v>
      </c>
      <c r="F220" s="7" t="s">
        <v>27</v>
      </c>
      <c r="G220" s="8" t="s">
        <v>28</v>
      </c>
      <c r="H220" s="7" t="s">
        <v>29</v>
      </c>
      <c r="I220" s="7" t="s">
        <v>51</v>
      </c>
      <c r="J220" s="7" t="s">
        <v>1061</v>
      </c>
      <c r="K220" s="7"/>
    </row>
    <row r="221" s="2" customFormat="1" ht="30" customHeight="1" spans="1:11">
      <c r="A221" s="7">
        <f t="shared" si="5"/>
        <v>218</v>
      </c>
      <c r="B221" s="8" t="s">
        <v>20</v>
      </c>
      <c r="C221" s="8" t="s">
        <v>138</v>
      </c>
      <c r="D221" s="8" t="s">
        <v>998</v>
      </c>
      <c r="E221" s="8" t="s">
        <v>1146</v>
      </c>
      <c r="F221" s="7" t="s">
        <v>27</v>
      </c>
      <c r="G221" s="8" t="s">
        <v>28</v>
      </c>
      <c r="H221" s="7" t="s">
        <v>29</v>
      </c>
      <c r="I221" s="7" t="s">
        <v>30</v>
      </c>
      <c r="J221" s="7" t="s">
        <v>358</v>
      </c>
      <c r="K221" s="7"/>
    </row>
    <row r="222" s="2" customFormat="1" ht="30" customHeight="1" spans="1:11">
      <c r="A222" s="7">
        <f t="shared" si="5"/>
        <v>219</v>
      </c>
      <c r="B222" s="8" t="s">
        <v>20</v>
      </c>
      <c r="C222" s="8" t="s">
        <v>138</v>
      </c>
      <c r="D222" s="8" t="s">
        <v>998</v>
      </c>
      <c r="E222" s="8" t="s">
        <v>1147</v>
      </c>
      <c r="F222" s="7" t="s">
        <v>27</v>
      </c>
      <c r="G222" s="8" t="s">
        <v>28</v>
      </c>
      <c r="H222" s="7" t="s">
        <v>29</v>
      </c>
      <c r="I222" s="7" t="s">
        <v>30</v>
      </c>
      <c r="J222" s="7" t="s">
        <v>358</v>
      </c>
      <c r="K222" s="7"/>
    </row>
    <row r="223" s="2" customFormat="1" ht="30" customHeight="1" spans="1:11">
      <c r="A223" s="7">
        <f t="shared" si="5"/>
        <v>220</v>
      </c>
      <c r="B223" s="8" t="s">
        <v>20</v>
      </c>
      <c r="C223" s="8" t="s">
        <v>982</v>
      </c>
      <c r="D223" s="8" t="s">
        <v>983</v>
      </c>
      <c r="E223" s="8" t="s">
        <v>1148</v>
      </c>
      <c r="F223" s="7" t="s">
        <v>27</v>
      </c>
      <c r="G223" s="8" t="s">
        <v>28</v>
      </c>
      <c r="H223" s="7" t="s">
        <v>39</v>
      </c>
      <c r="I223" s="7" t="s">
        <v>30</v>
      </c>
      <c r="J223" s="7" t="s">
        <v>166</v>
      </c>
      <c r="K223" s="7"/>
    </row>
    <row r="224" s="2" customFormat="1" ht="30" customHeight="1" spans="1:11">
      <c r="A224" s="7">
        <f t="shared" si="5"/>
        <v>221</v>
      </c>
      <c r="B224" s="8" t="s">
        <v>20</v>
      </c>
      <c r="C224" s="8" t="s">
        <v>989</v>
      </c>
      <c r="D224" s="8" t="s">
        <v>1000</v>
      </c>
      <c r="E224" s="8" t="s">
        <v>1149</v>
      </c>
      <c r="F224" s="7" t="s">
        <v>27</v>
      </c>
      <c r="G224" s="8" t="s">
        <v>1184</v>
      </c>
      <c r="H224" s="7" t="s">
        <v>29</v>
      </c>
      <c r="I224" s="7" t="s">
        <v>30</v>
      </c>
      <c r="J224" s="7" t="s">
        <v>718</v>
      </c>
      <c r="K224" s="7"/>
    </row>
    <row r="225" s="2" customFormat="1" ht="30" customHeight="1" spans="1:11">
      <c r="A225" s="7">
        <f t="shared" si="5"/>
        <v>222</v>
      </c>
      <c r="B225" s="8" t="s">
        <v>20</v>
      </c>
      <c r="C225" s="8" t="s">
        <v>989</v>
      </c>
      <c r="D225" s="8" t="s">
        <v>990</v>
      </c>
      <c r="E225" s="8" t="s">
        <v>1150</v>
      </c>
      <c r="F225" s="7" t="s">
        <v>27</v>
      </c>
      <c r="G225" s="8" t="s">
        <v>1184</v>
      </c>
      <c r="H225" s="7" t="s">
        <v>29</v>
      </c>
      <c r="I225" s="7" t="s">
        <v>30</v>
      </c>
      <c r="J225" s="7" t="s">
        <v>261</v>
      </c>
      <c r="K225" s="7"/>
    </row>
    <row r="226" s="2" customFormat="1" ht="30" customHeight="1" spans="1:11">
      <c r="A226" s="7">
        <f t="shared" si="5"/>
        <v>223</v>
      </c>
      <c r="B226" s="8" t="s">
        <v>20</v>
      </c>
      <c r="C226" s="8" t="s">
        <v>982</v>
      </c>
      <c r="D226" s="8" t="s">
        <v>983</v>
      </c>
      <c r="E226" s="8" t="s">
        <v>1152</v>
      </c>
      <c r="F226" s="7" t="s">
        <v>27</v>
      </c>
      <c r="G226" s="8" t="s">
        <v>28</v>
      </c>
      <c r="H226" s="7" t="s">
        <v>39</v>
      </c>
      <c r="I226" s="7" t="s">
        <v>30</v>
      </c>
      <c r="J226" s="7" t="s">
        <v>535</v>
      </c>
      <c r="K226" s="7"/>
    </row>
    <row r="227" s="2" customFormat="1" ht="30" customHeight="1" spans="1:11">
      <c r="A227" s="7">
        <f t="shared" si="5"/>
        <v>224</v>
      </c>
      <c r="B227" s="8" t="s">
        <v>20</v>
      </c>
      <c r="C227" s="8" t="s">
        <v>982</v>
      </c>
      <c r="D227" s="8" t="s">
        <v>983</v>
      </c>
      <c r="E227" s="8" t="s">
        <v>1153</v>
      </c>
      <c r="F227" s="7" t="s">
        <v>27</v>
      </c>
      <c r="G227" s="8" t="s">
        <v>28</v>
      </c>
      <c r="H227" s="7" t="s">
        <v>39</v>
      </c>
      <c r="I227" s="7" t="s">
        <v>30</v>
      </c>
      <c r="J227" s="7" t="s">
        <v>535</v>
      </c>
      <c r="K227" s="7"/>
    </row>
    <row r="228" s="2" customFormat="1" ht="30" customHeight="1" spans="1:11">
      <c r="A228" s="7">
        <f t="shared" si="5"/>
        <v>225</v>
      </c>
      <c r="B228" s="8" t="s">
        <v>20</v>
      </c>
      <c r="C228" s="8" t="s">
        <v>989</v>
      </c>
      <c r="D228" s="8" t="s">
        <v>990</v>
      </c>
      <c r="E228" s="8" t="s">
        <v>1156</v>
      </c>
      <c r="F228" s="7" t="s">
        <v>27</v>
      </c>
      <c r="G228" s="8" t="s">
        <v>1184</v>
      </c>
      <c r="H228" s="7" t="s">
        <v>29</v>
      </c>
      <c r="I228" s="7" t="s">
        <v>30</v>
      </c>
      <c r="J228" s="7" t="s">
        <v>261</v>
      </c>
      <c r="K228" s="7"/>
    </row>
    <row r="229" s="2" customFormat="1" ht="30" customHeight="1" spans="1:11">
      <c r="A229" s="7">
        <f t="shared" si="5"/>
        <v>226</v>
      </c>
      <c r="B229" s="8" t="s">
        <v>20</v>
      </c>
      <c r="C229" s="8" t="s">
        <v>460</v>
      </c>
      <c r="D229" s="8" t="s">
        <v>461</v>
      </c>
      <c r="E229" s="8" t="s">
        <v>1157</v>
      </c>
      <c r="F229" s="7" t="s">
        <v>27</v>
      </c>
      <c r="G229" s="8" t="s">
        <v>28</v>
      </c>
      <c r="H229" s="7" t="s">
        <v>39</v>
      </c>
      <c r="I229" s="7" t="s">
        <v>30</v>
      </c>
      <c r="J229" s="7" t="s">
        <v>261</v>
      </c>
      <c r="K229" s="7"/>
    </row>
    <row r="230" s="2" customFormat="1" ht="30" customHeight="1" spans="1:11">
      <c r="A230" s="7">
        <f t="shared" si="5"/>
        <v>227</v>
      </c>
      <c r="B230" s="8" t="s">
        <v>20</v>
      </c>
      <c r="C230" s="8" t="s">
        <v>460</v>
      </c>
      <c r="D230" s="8" t="s">
        <v>461</v>
      </c>
      <c r="E230" s="8" t="s">
        <v>1158</v>
      </c>
      <c r="F230" s="7" t="s">
        <v>27</v>
      </c>
      <c r="G230" s="8" t="s">
        <v>28</v>
      </c>
      <c r="H230" s="7" t="s">
        <v>39</v>
      </c>
      <c r="I230" s="7" t="s">
        <v>30</v>
      </c>
      <c r="J230" s="7" t="s">
        <v>143</v>
      </c>
      <c r="K230" s="7"/>
    </row>
    <row r="231" s="2" customFormat="1" ht="30" customHeight="1" spans="1:11">
      <c r="A231" s="7">
        <f t="shared" si="5"/>
        <v>228</v>
      </c>
      <c r="B231" s="8" t="s">
        <v>20</v>
      </c>
      <c r="C231" s="8" t="s">
        <v>982</v>
      </c>
      <c r="D231" s="8" t="s">
        <v>983</v>
      </c>
      <c r="E231" s="8" t="s">
        <v>1159</v>
      </c>
      <c r="F231" s="7" t="s">
        <v>27</v>
      </c>
      <c r="G231" s="8" t="s">
        <v>28</v>
      </c>
      <c r="H231" s="7" t="s">
        <v>39</v>
      </c>
      <c r="I231" s="7" t="s">
        <v>30</v>
      </c>
      <c r="J231" s="7" t="s">
        <v>718</v>
      </c>
      <c r="K231" s="7"/>
    </row>
    <row r="232" s="2" customFormat="1" ht="30" customHeight="1" spans="1:11">
      <c r="A232" s="7">
        <f t="shared" si="5"/>
        <v>229</v>
      </c>
      <c r="B232" s="8" t="s">
        <v>20</v>
      </c>
      <c r="C232" s="8" t="s">
        <v>982</v>
      </c>
      <c r="D232" s="8" t="s">
        <v>983</v>
      </c>
      <c r="E232" s="8" t="s">
        <v>1160</v>
      </c>
      <c r="F232" s="7" t="s">
        <v>27</v>
      </c>
      <c r="G232" s="8" t="s">
        <v>28</v>
      </c>
      <c r="H232" s="7" t="s">
        <v>39</v>
      </c>
      <c r="I232" s="7" t="s">
        <v>30</v>
      </c>
      <c r="J232" s="7" t="s">
        <v>718</v>
      </c>
      <c r="K232" s="7"/>
    </row>
    <row r="233" s="2" customFormat="1" ht="30" customHeight="1" spans="1:11">
      <c r="A233" s="7">
        <f t="shared" si="5"/>
        <v>230</v>
      </c>
      <c r="B233" s="8" t="s">
        <v>20</v>
      </c>
      <c r="C233" s="8" t="s">
        <v>460</v>
      </c>
      <c r="D233" s="8" t="s">
        <v>461</v>
      </c>
      <c r="E233" s="8" t="s">
        <v>462</v>
      </c>
      <c r="F233" s="7" t="s">
        <v>27</v>
      </c>
      <c r="G233" s="8" t="s">
        <v>28</v>
      </c>
      <c r="H233" s="7" t="s">
        <v>39</v>
      </c>
      <c r="I233" s="7" t="s">
        <v>30</v>
      </c>
      <c r="J233" s="7" t="s">
        <v>247</v>
      </c>
      <c r="K233" s="8" t="s">
        <v>375</v>
      </c>
    </row>
    <row r="234" s="2" customFormat="1" ht="30" customHeight="1" spans="1:11">
      <c r="A234" s="7">
        <f t="shared" si="5"/>
        <v>231</v>
      </c>
      <c r="B234" s="8" t="s">
        <v>20</v>
      </c>
      <c r="C234" s="8" t="s">
        <v>460</v>
      </c>
      <c r="D234" s="8" t="s">
        <v>461</v>
      </c>
      <c r="E234" s="8" t="s">
        <v>464</v>
      </c>
      <c r="F234" s="7" t="s">
        <v>27</v>
      </c>
      <c r="G234" s="8" t="s">
        <v>28</v>
      </c>
      <c r="H234" s="7" t="s">
        <v>39</v>
      </c>
      <c r="I234" s="7" t="s">
        <v>30</v>
      </c>
      <c r="J234" s="7" t="s">
        <v>247</v>
      </c>
      <c r="K234" s="8" t="s">
        <v>375</v>
      </c>
    </row>
    <row r="235" s="2" customFormat="1" ht="30" customHeight="1" spans="1:11">
      <c r="A235" s="7">
        <f t="shared" si="5"/>
        <v>232</v>
      </c>
      <c r="B235" s="8" t="s">
        <v>20</v>
      </c>
      <c r="C235" s="8" t="s">
        <v>138</v>
      </c>
      <c r="D235" s="8" t="s">
        <v>221</v>
      </c>
      <c r="E235" s="8" t="s">
        <v>1161</v>
      </c>
      <c r="F235" s="7" t="s">
        <v>27</v>
      </c>
      <c r="G235" s="8" t="s">
        <v>28</v>
      </c>
      <c r="H235" s="7" t="s">
        <v>29</v>
      </c>
      <c r="I235" s="7" t="s">
        <v>30</v>
      </c>
      <c r="J235" s="7" t="s">
        <v>261</v>
      </c>
      <c r="K235" s="7"/>
    </row>
    <row r="236" s="2" customFormat="1" ht="30" customHeight="1" spans="1:11">
      <c r="A236" s="7">
        <f t="shared" si="5"/>
        <v>233</v>
      </c>
      <c r="B236" s="8" t="s">
        <v>20</v>
      </c>
      <c r="C236" s="8" t="s">
        <v>138</v>
      </c>
      <c r="D236" s="8" t="s">
        <v>1162</v>
      </c>
      <c r="E236" s="8" t="s">
        <v>1163</v>
      </c>
      <c r="F236" s="7" t="s">
        <v>27</v>
      </c>
      <c r="G236" s="8" t="s">
        <v>28</v>
      </c>
      <c r="H236" s="7" t="s">
        <v>29</v>
      </c>
      <c r="I236" s="7" t="s">
        <v>30</v>
      </c>
      <c r="J236" s="7" t="s">
        <v>718</v>
      </c>
      <c r="K236" s="7"/>
    </row>
    <row r="237" s="2" customFormat="1" ht="30" customHeight="1" spans="1:11">
      <c r="A237" s="7">
        <f t="shared" si="5"/>
        <v>234</v>
      </c>
      <c r="B237" s="8" t="s">
        <v>20</v>
      </c>
      <c r="C237" s="8" t="s">
        <v>466</v>
      </c>
      <c r="D237" s="8" t="s">
        <v>467</v>
      </c>
      <c r="E237" s="8" t="s">
        <v>468</v>
      </c>
      <c r="F237" s="7" t="s">
        <v>27</v>
      </c>
      <c r="G237" s="8" t="s">
        <v>28</v>
      </c>
      <c r="H237" s="7" t="s">
        <v>39</v>
      </c>
      <c r="I237" s="7" t="s">
        <v>30</v>
      </c>
      <c r="J237" s="7" t="s">
        <v>358</v>
      </c>
      <c r="K237" s="7"/>
    </row>
    <row r="238" s="2" customFormat="1" ht="30" customHeight="1" spans="1:11">
      <c r="A238" s="7">
        <f t="shared" si="5"/>
        <v>235</v>
      </c>
      <c r="B238" s="8" t="s">
        <v>20</v>
      </c>
      <c r="C238" s="8" t="s">
        <v>470</v>
      </c>
      <c r="D238" s="8" t="s">
        <v>471</v>
      </c>
      <c r="E238" s="8" t="s">
        <v>472</v>
      </c>
      <c r="F238" s="7" t="s">
        <v>27</v>
      </c>
      <c r="G238" s="8" t="s">
        <v>28</v>
      </c>
      <c r="H238" s="7" t="s">
        <v>29</v>
      </c>
      <c r="I238" s="7" t="s">
        <v>30</v>
      </c>
      <c r="J238" s="7" t="s">
        <v>143</v>
      </c>
      <c r="K238" s="7"/>
    </row>
    <row r="239" s="2" customFormat="1" ht="30" customHeight="1" spans="1:11">
      <c r="A239" s="7">
        <f t="shared" si="5"/>
        <v>236</v>
      </c>
      <c r="B239" s="8" t="s">
        <v>20</v>
      </c>
      <c r="C239" s="8" t="s">
        <v>200</v>
      </c>
      <c r="D239" s="8" t="s">
        <v>474</v>
      </c>
      <c r="E239" s="8" t="s">
        <v>475</v>
      </c>
      <c r="F239" s="7" t="s">
        <v>27</v>
      </c>
      <c r="G239" s="8" t="s">
        <v>28</v>
      </c>
      <c r="H239" s="7" t="s">
        <v>29</v>
      </c>
      <c r="I239" s="7" t="s">
        <v>30</v>
      </c>
      <c r="J239" s="7" t="s">
        <v>364</v>
      </c>
      <c r="K239" s="7"/>
    </row>
    <row r="240" s="2" customFormat="1" ht="30" customHeight="1" spans="1:11">
      <c r="A240" s="7">
        <f t="shared" si="5"/>
        <v>237</v>
      </c>
      <c r="B240" s="8" t="s">
        <v>20</v>
      </c>
      <c r="C240" s="8" t="s">
        <v>163</v>
      </c>
      <c r="D240" s="8" t="s">
        <v>168</v>
      </c>
      <c r="E240" s="8" t="s">
        <v>165</v>
      </c>
      <c r="F240" s="7" t="s">
        <v>27</v>
      </c>
      <c r="G240" s="8" t="s">
        <v>28</v>
      </c>
      <c r="H240" s="7" t="s">
        <v>39</v>
      </c>
      <c r="I240" s="7" t="s">
        <v>51</v>
      </c>
      <c r="J240" s="7" t="s">
        <v>143</v>
      </c>
      <c r="K240" s="7"/>
    </row>
    <row r="241" s="2" customFormat="1" ht="30" customHeight="1" spans="1:11">
      <c r="A241" s="7">
        <f t="shared" si="5"/>
        <v>238</v>
      </c>
      <c r="B241" s="8" t="s">
        <v>20</v>
      </c>
      <c r="C241" s="8" t="s">
        <v>478</v>
      </c>
      <c r="D241" s="8" t="s">
        <v>479</v>
      </c>
      <c r="E241" s="8" t="s">
        <v>480</v>
      </c>
      <c r="F241" s="7" t="s">
        <v>27</v>
      </c>
      <c r="G241" s="8" t="s">
        <v>28</v>
      </c>
      <c r="H241" s="7" t="s">
        <v>39</v>
      </c>
      <c r="I241" s="7" t="s">
        <v>30</v>
      </c>
      <c r="J241" s="7" t="s">
        <v>364</v>
      </c>
      <c r="K241" s="7"/>
    </row>
    <row r="242" s="2" customFormat="1" ht="30" customHeight="1" spans="1:11">
      <c r="A242" s="7">
        <f t="shared" si="5"/>
        <v>239</v>
      </c>
      <c r="B242" s="8" t="s">
        <v>20</v>
      </c>
      <c r="C242" s="8" t="s">
        <v>485</v>
      </c>
      <c r="D242" s="8" t="s">
        <v>486</v>
      </c>
      <c r="E242" s="8" t="s">
        <v>487</v>
      </c>
      <c r="F242" s="7" t="s">
        <v>27</v>
      </c>
      <c r="G242" s="8" t="s">
        <v>28</v>
      </c>
      <c r="H242" s="7" t="s">
        <v>39</v>
      </c>
      <c r="I242" s="7" t="s">
        <v>30</v>
      </c>
      <c r="J242" s="7" t="s">
        <v>364</v>
      </c>
      <c r="K242" s="7"/>
    </row>
    <row r="243" s="2" customFormat="1" ht="30" customHeight="1" spans="1:11">
      <c r="A243" s="7">
        <f t="shared" si="5"/>
        <v>240</v>
      </c>
      <c r="B243" s="8" t="s">
        <v>20</v>
      </c>
      <c r="C243" s="8" t="s">
        <v>295</v>
      </c>
      <c r="D243" s="8" t="s">
        <v>489</v>
      </c>
      <c r="E243" s="8" t="s">
        <v>490</v>
      </c>
      <c r="F243" s="7" t="s">
        <v>27</v>
      </c>
      <c r="G243" s="8" t="s">
        <v>28</v>
      </c>
      <c r="H243" s="7" t="s">
        <v>29</v>
      </c>
      <c r="I243" s="7" t="s">
        <v>30</v>
      </c>
      <c r="J243" s="7" t="s">
        <v>358</v>
      </c>
      <c r="K243" s="7"/>
    </row>
    <row r="244" s="2" customFormat="1" ht="30" customHeight="1" spans="1:11">
      <c r="A244" s="7">
        <f t="shared" si="5"/>
        <v>241</v>
      </c>
      <c r="B244" s="8" t="s">
        <v>20</v>
      </c>
      <c r="C244" s="8" t="s">
        <v>494</v>
      </c>
      <c r="D244" s="8" t="s">
        <v>495</v>
      </c>
      <c r="E244" s="8" t="s">
        <v>496</v>
      </c>
      <c r="F244" s="7" t="s">
        <v>27</v>
      </c>
      <c r="G244" s="8" t="s">
        <v>28</v>
      </c>
      <c r="H244" s="7" t="s">
        <v>39</v>
      </c>
      <c r="I244" s="7" t="s">
        <v>30</v>
      </c>
      <c r="J244" s="7" t="s">
        <v>364</v>
      </c>
      <c r="K244" s="7"/>
    </row>
    <row r="245" s="2" customFormat="1" ht="30" customHeight="1" spans="1:11">
      <c r="A245" s="7">
        <f t="shared" si="5"/>
        <v>242</v>
      </c>
      <c r="B245" s="8" t="s">
        <v>20</v>
      </c>
      <c r="C245" s="8" t="s">
        <v>498</v>
      </c>
      <c r="D245" s="8" t="s">
        <v>233</v>
      </c>
      <c r="E245" s="8" t="s">
        <v>499</v>
      </c>
      <c r="F245" s="7" t="s">
        <v>27</v>
      </c>
      <c r="G245" s="8" t="s">
        <v>28</v>
      </c>
      <c r="H245" s="7" t="s">
        <v>39</v>
      </c>
      <c r="I245" s="7" t="s">
        <v>30</v>
      </c>
      <c r="J245" s="7" t="s">
        <v>358</v>
      </c>
      <c r="K245" s="7"/>
    </row>
    <row r="246" s="2" customFormat="1" ht="30" customHeight="1" spans="1:11">
      <c r="A246" s="7">
        <f t="shared" si="5"/>
        <v>243</v>
      </c>
      <c r="B246" s="8" t="s">
        <v>20</v>
      </c>
      <c r="C246" s="8" t="s">
        <v>466</v>
      </c>
      <c r="D246" s="8" t="s">
        <v>501</v>
      </c>
      <c r="E246" s="8" t="s">
        <v>502</v>
      </c>
      <c r="F246" s="7" t="s">
        <v>27</v>
      </c>
      <c r="G246" s="8" t="s">
        <v>28</v>
      </c>
      <c r="H246" s="7" t="s">
        <v>39</v>
      </c>
      <c r="I246" s="7" t="s">
        <v>30</v>
      </c>
      <c r="J246" s="7" t="s">
        <v>358</v>
      </c>
      <c r="K246" s="7"/>
    </row>
    <row r="247" s="2" customFormat="1" ht="30" customHeight="1" spans="1:11">
      <c r="A247" s="7">
        <f t="shared" si="5"/>
        <v>244</v>
      </c>
      <c r="B247" s="8" t="s">
        <v>20</v>
      </c>
      <c r="C247" s="8" t="s">
        <v>466</v>
      </c>
      <c r="D247" s="8" t="s">
        <v>504</v>
      </c>
      <c r="E247" s="8" t="s">
        <v>505</v>
      </c>
      <c r="F247" s="7" t="s">
        <v>27</v>
      </c>
      <c r="G247" s="8" t="s">
        <v>28</v>
      </c>
      <c r="H247" s="7" t="s">
        <v>39</v>
      </c>
      <c r="I247" s="7" t="s">
        <v>30</v>
      </c>
      <c r="J247" s="7" t="s">
        <v>247</v>
      </c>
      <c r="K247" s="8" t="s">
        <v>375</v>
      </c>
    </row>
    <row r="248" s="2" customFormat="1" ht="30" customHeight="1" spans="1:11">
      <c r="A248" s="7">
        <f t="shared" si="5"/>
        <v>245</v>
      </c>
      <c r="B248" s="8" t="s">
        <v>20</v>
      </c>
      <c r="C248" s="8" t="s">
        <v>48</v>
      </c>
      <c r="D248" s="8" t="s">
        <v>49</v>
      </c>
      <c r="E248" s="8" t="s">
        <v>507</v>
      </c>
      <c r="F248" s="7" t="s">
        <v>27</v>
      </c>
      <c r="G248" s="8" t="s">
        <v>28</v>
      </c>
      <c r="H248" s="7" t="s">
        <v>29</v>
      </c>
      <c r="I248" s="7" t="s">
        <v>30</v>
      </c>
      <c r="J248" s="7" t="s">
        <v>247</v>
      </c>
      <c r="K248" s="8" t="s">
        <v>256</v>
      </c>
    </row>
    <row r="249" s="2" customFormat="1" ht="30" customHeight="1" spans="1:11">
      <c r="A249" s="7">
        <f t="shared" si="5"/>
        <v>246</v>
      </c>
      <c r="B249" s="8" t="s">
        <v>20</v>
      </c>
      <c r="C249" s="8" t="s">
        <v>509</v>
      </c>
      <c r="D249" s="8" t="s">
        <v>510</v>
      </c>
      <c r="E249" s="8" t="s">
        <v>511</v>
      </c>
      <c r="F249" s="7" t="s">
        <v>27</v>
      </c>
      <c r="G249" s="8" t="s">
        <v>28</v>
      </c>
      <c r="H249" s="7" t="s">
        <v>29</v>
      </c>
      <c r="I249" s="7" t="s">
        <v>30</v>
      </c>
      <c r="J249" s="7" t="s">
        <v>247</v>
      </c>
      <c r="K249" s="8" t="s">
        <v>248</v>
      </c>
    </row>
    <row r="250" s="2" customFormat="1" ht="30" customHeight="1" spans="1:11">
      <c r="A250" s="7">
        <f t="shared" si="5"/>
        <v>247</v>
      </c>
      <c r="B250" s="8" t="s">
        <v>20</v>
      </c>
      <c r="C250" s="8" t="s">
        <v>217</v>
      </c>
      <c r="D250" s="8" t="s">
        <v>514</v>
      </c>
      <c r="E250" s="8" t="s">
        <v>515</v>
      </c>
      <c r="F250" s="7" t="s">
        <v>27</v>
      </c>
      <c r="G250" s="8" t="s">
        <v>28</v>
      </c>
      <c r="H250" s="7" t="s">
        <v>39</v>
      </c>
      <c r="I250" s="7" t="s">
        <v>30</v>
      </c>
      <c r="J250" s="7" t="s">
        <v>247</v>
      </c>
      <c r="K250" s="8" t="s">
        <v>256</v>
      </c>
    </row>
    <row r="251" s="2" customFormat="1" ht="30" customHeight="1" spans="1:11">
      <c r="A251" s="7">
        <f t="shared" si="5"/>
        <v>248</v>
      </c>
      <c r="B251" s="8" t="s">
        <v>20</v>
      </c>
      <c r="C251" s="8" t="s">
        <v>217</v>
      </c>
      <c r="D251" s="8" t="s">
        <v>517</v>
      </c>
      <c r="E251" s="8" t="s">
        <v>518</v>
      </c>
      <c r="F251" s="7" t="s">
        <v>27</v>
      </c>
      <c r="G251" s="8" t="s">
        <v>28</v>
      </c>
      <c r="H251" s="7" t="s">
        <v>39</v>
      </c>
      <c r="I251" s="7" t="s">
        <v>30</v>
      </c>
      <c r="J251" s="7" t="s">
        <v>358</v>
      </c>
      <c r="K251" s="7"/>
    </row>
    <row r="252" s="2" customFormat="1" ht="30" customHeight="1" spans="1:11">
      <c r="A252" s="7">
        <f t="shared" si="5"/>
        <v>249</v>
      </c>
      <c r="B252" s="8" t="s">
        <v>20</v>
      </c>
      <c r="C252" s="8" t="s">
        <v>217</v>
      </c>
      <c r="D252" s="8" t="s">
        <v>218</v>
      </c>
      <c r="E252" s="8" t="s">
        <v>520</v>
      </c>
      <c r="F252" s="7" t="s">
        <v>27</v>
      </c>
      <c r="G252" s="8" t="s">
        <v>28</v>
      </c>
      <c r="H252" s="7" t="s">
        <v>39</v>
      </c>
      <c r="I252" s="7" t="s">
        <v>30</v>
      </c>
      <c r="J252" s="7" t="s">
        <v>247</v>
      </c>
      <c r="K252" s="8" t="s">
        <v>256</v>
      </c>
    </row>
    <row r="253" s="2" customFormat="1" ht="30" customHeight="1" spans="1:11">
      <c r="A253" s="7">
        <f t="shared" si="5"/>
        <v>250</v>
      </c>
      <c r="B253" s="8" t="s">
        <v>20</v>
      </c>
      <c r="C253" s="8" t="s">
        <v>258</v>
      </c>
      <c r="D253" s="8" t="s">
        <v>322</v>
      </c>
      <c r="E253" s="8" t="s">
        <v>522</v>
      </c>
      <c r="F253" s="7" t="s">
        <v>27</v>
      </c>
      <c r="G253" s="8" t="s">
        <v>28</v>
      </c>
      <c r="H253" s="7" t="s">
        <v>39</v>
      </c>
      <c r="I253" s="7" t="s">
        <v>30</v>
      </c>
      <c r="J253" s="7" t="s">
        <v>166</v>
      </c>
      <c r="K253" s="7"/>
    </row>
    <row r="254" s="2" customFormat="1" ht="30" customHeight="1" spans="1:11">
      <c r="A254" s="7">
        <f t="shared" si="5"/>
        <v>251</v>
      </c>
      <c r="B254" s="8" t="s">
        <v>20</v>
      </c>
      <c r="C254" s="8" t="s">
        <v>258</v>
      </c>
      <c r="D254" s="8" t="s">
        <v>322</v>
      </c>
      <c r="E254" s="8" t="s">
        <v>524</v>
      </c>
      <c r="F254" s="7" t="s">
        <v>27</v>
      </c>
      <c r="G254" s="8" t="s">
        <v>28</v>
      </c>
      <c r="H254" s="7" t="s">
        <v>39</v>
      </c>
      <c r="I254" s="7" t="s">
        <v>30</v>
      </c>
      <c r="J254" s="7" t="s">
        <v>166</v>
      </c>
      <c r="K254" s="7"/>
    </row>
    <row r="255" s="2" customFormat="1" ht="30" customHeight="1" spans="1:11">
      <c r="A255" s="7">
        <f t="shared" si="5"/>
        <v>252</v>
      </c>
      <c r="B255" s="8" t="s">
        <v>20</v>
      </c>
      <c r="C255" s="8" t="s">
        <v>258</v>
      </c>
      <c r="D255" s="8" t="s">
        <v>526</v>
      </c>
      <c r="E255" s="8" t="s">
        <v>527</v>
      </c>
      <c r="F255" s="7" t="s">
        <v>27</v>
      </c>
      <c r="G255" s="8" t="s">
        <v>28</v>
      </c>
      <c r="H255" s="7" t="s">
        <v>39</v>
      </c>
      <c r="I255" s="7" t="s">
        <v>30</v>
      </c>
      <c r="J255" s="7" t="s">
        <v>358</v>
      </c>
      <c r="K255" s="7"/>
    </row>
    <row r="256" s="2" customFormat="1" ht="30" customHeight="1" spans="1:11">
      <c r="A256" s="7">
        <f t="shared" si="5"/>
        <v>253</v>
      </c>
      <c r="B256" s="8" t="s">
        <v>20</v>
      </c>
      <c r="C256" s="8" t="s">
        <v>258</v>
      </c>
      <c r="D256" s="8" t="s">
        <v>529</v>
      </c>
      <c r="E256" s="8" t="s">
        <v>530</v>
      </c>
      <c r="F256" s="7" t="s">
        <v>27</v>
      </c>
      <c r="G256" s="8" t="s">
        <v>28</v>
      </c>
      <c r="H256" s="7" t="s">
        <v>39</v>
      </c>
      <c r="I256" s="7" t="s">
        <v>30</v>
      </c>
      <c r="J256" s="7" t="s">
        <v>364</v>
      </c>
      <c r="K256" s="7"/>
    </row>
    <row r="257" s="2" customFormat="1" ht="30" customHeight="1" spans="1:11">
      <c r="A257" s="7">
        <f t="shared" si="5"/>
        <v>254</v>
      </c>
      <c r="B257" s="8" t="s">
        <v>20</v>
      </c>
      <c r="C257" s="8" t="s">
        <v>200</v>
      </c>
      <c r="D257" s="8" t="s">
        <v>474</v>
      </c>
      <c r="E257" s="8" t="s">
        <v>532</v>
      </c>
      <c r="F257" s="7" t="s">
        <v>27</v>
      </c>
      <c r="G257" s="8" t="s">
        <v>28</v>
      </c>
      <c r="H257" s="7" t="s">
        <v>29</v>
      </c>
      <c r="I257" s="7" t="s">
        <v>30</v>
      </c>
      <c r="J257" s="7" t="s">
        <v>358</v>
      </c>
      <c r="K257" s="7"/>
    </row>
    <row r="258" s="2" customFormat="1" ht="30" customHeight="1" spans="1:11">
      <c r="A258" s="7">
        <f t="shared" si="5"/>
        <v>255</v>
      </c>
      <c r="B258" s="8" t="s">
        <v>20</v>
      </c>
      <c r="C258" s="8" t="s">
        <v>200</v>
      </c>
      <c r="D258" s="8" t="s">
        <v>201</v>
      </c>
      <c r="E258" s="8" t="s">
        <v>534</v>
      </c>
      <c r="F258" s="7" t="s">
        <v>27</v>
      </c>
      <c r="G258" s="8" t="s">
        <v>28</v>
      </c>
      <c r="H258" s="7" t="s">
        <v>29</v>
      </c>
      <c r="I258" s="7" t="s">
        <v>30</v>
      </c>
      <c r="J258" s="7" t="s">
        <v>535</v>
      </c>
      <c r="K258" s="7"/>
    </row>
    <row r="259" s="2" customFormat="1" ht="30" customHeight="1" spans="1:11">
      <c r="A259" s="7">
        <f t="shared" si="5"/>
        <v>256</v>
      </c>
      <c r="B259" s="8" t="s">
        <v>20</v>
      </c>
      <c r="C259" s="8" t="s">
        <v>537</v>
      </c>
      <c r="D259" s="8" t="s">
        <v>538</v>
      </c>
      <c r="E259" s="8" t="s">
        <v>539</v>
      </c>
      <c r="F259" s="7" t="s">
        <v>27</v>
      </c>
      <c r="G259" s="8" t="s">
        <v>28</v>
      </c>
      <c r="H259" s="7" t="s">
        <v>39</v>
      </c>
      <c r="I259" s="7" t="s">
        <v>30</v>
      </c>
      <c r="J259" s="7" t="s">
        <v>261</v>
      </c>
      <c r="K259" s="8" t="s">
        <v>375</v>
      </c>
    </row>
    <row r="260" s="2" customFormat="1" ht="30" customHeight="1" spans="1:11">
      <c r="A260" s="7">
        <f t="shared" si="5"/>
        <v>257</v>
      </c>
      <c r="B260" s="8" t="s">
        <v>20</v>
      </c>
      <c r="C260" s="8" t="s">
        <v>541</v>
      </c>
      <c r="D260" s="8" t="s">
        <v>542</v>
      </c>
      <c r="E260" s="8" t="s">
        <v>543</v>
      </c>
      <c r="F260" s="7" t="s">
        <v>27</v>
      </c>
      <c r="G260" s="8" t="s">
        <v>28</v>
      </c>
      <c r="H260" s="7" t="s">
        <v>39</v>
      </c>
      <c r="I260" s="7" t="s">
        <v>30</v>
      </c>
      <c r="J260" s="7" t="s">
        <v>166</v>
      </c>
      <c r="K260" s="7"/>
    </row>
    <row r="261" s="2" customFormat="1" ht="30" customHeight="1" spans="1:11">
      <c r="A261" s="7">
        <f t="shared" si="5"/>
        <v>258</v>
      </c>
      <c r="B261" s="8" t="s">
        <v>20</v>
      </c>
      <c r="C261" s="8" t="s">
        <v>100</v>
      </c>
      <c r="D261" s="8" t="s">
        <v>176</v>
      </c>
      <c r="E261" s="8" t="s">
        <v>545</v>
      </c>
      <c r="F261" s="7" t="s">
        <v>27</v>
      </c>
      <c r="G261" s="8" t="s">
        <v>28</v>
      </c>
      <c r="H261" s="7" t="s">
        <v>29</v>
      </c>
      <c r="I261" s="7" t="s">
        <v>30</v>
      </c>
      <c r="J261" s="7" t="s">
        <v>247</v>
      </c>
      <c r="K261" s="8" t="s">
        <v>248</v>
      </c>
    </row>
    <row r="262" s="2" customFormat="1" ht="30" customHeight="1" spans="1:11">
      <c r="A262" s="7">
        <f t="shared" si="5"/>
        <v>259</v>
      </c>
      <c r="B262" s="8" t="s">
        <v>20</v>
      </c>
      <c r="C262" s="8" t="s">
        <v>100</v>
      </c>
      <c r="D262" s="8" t="s">
        <v>399</v>
      </c>
      <c r="E262" s="8" t="s">
        <v>547</v>
      </c>
      <c r="F262" s="7" t="s">
        <v>27</v>
      </c>
      <c r="G262" s="8" t="s">
        <v>28</v>
      </c>
      <c r="H262" s="7" t="s">
        <v>29</v>
      </c>
      <c r="I262" s="7" t="s">
        <v>30</v>
      </c>
      <c r="J262" s="7" t="s">
        <v>364</v>
      </c>
      <c r="K262" s="7"/>
    </row>
    <row r="263" s="2" customFormat="1" ht="30" customHeight="1" spans="1:11">
      <c r="A263" s="7">
        <f t="shared" si="5"/>
        <v>260</v>
      </c>
      <c r="B263" s="8" t="s">
        <v>20</v>
      </c>
      <c r="C263" s="8" t="s">
        <v>549</v>
      </c>
      <c r="D263" s="8" t="s">
        <v>550</v>
      </c>
      <c r="E263" s="8" t="s">
        <v>551</v>
      </c>
      <c r="F263" s="7" t="s">
        <v>27</v>
      </c>
      <c r="G263" s="8" t="s">
        <v>28</v>
      </c>
      <c r="H263" s="7" t="s">
        <v>39</v>
      </c>
      <c r="I263" s="7" t="s">
        <v>30</v>
      </c>
      <c r="J263" s="7" t="s">
        <v>166</v>
      </c>
      <c r="K263" s="7"/>
    </row>
    <row r="264" s="2" customFormat="1" ht="30" customHeight="1" spans="1:11">
      <c r="A264" s="7">
        <f t="shared" ref="A264:A280" si="6">ROW()-3</f>
        <v>261</v>
      </c>
      <c r="B264" s="8" t="s">
        <v>20</v>
      </c>
      <c r="C264" s="8" t="s">
        <v>295</v>
      </c>
      <c r="D264" s="8" t="s">
        <v>489</v>
      </c>
      <c r="E264" s="8" t="s">
        <v>555</v>
      </c>
      <c r="F264" s="7" t="s">
        <v>27</v>
      </c>
      <c r="G264" s="8" t="s">
        <v>28</v>
      </c>
      <c r="H264" s="7" t="s">
        <v>29</v>
      </c>
      <c r="I264" s="7" t="s">
        <v>30</v>
      </c>
      <c r="J264" s="7" t="s">
        <v>166</v>
      </c>
      <c r="K264" s="7"/>
    </row>
    <row r="265" s="2" customFormat="1" ht="30" customHeight="1" spans="1:11">
      <c r="A265" s="7">
        <f t="shared" si="6"/>
        <v>262</v>
      </c>
      <c r="B265" s="8" t="s">
        <v>20</v>
      </c>
      <c r="C265" s="8" t="s">
        <v>985</v>
      </c>
      <c r="D265" s="8" t="s">
        <v>986</v>
      </c>
      <c r="E265" s="8" t="s">
        <v>1164</v>
      </c>
      <c r="F265" s="7" t="s">
        <v>27</v>
      </c>
      <c r="G265" s="8" t="s">
        <v>28</v>
      </c>
      <c r="H265" s="7" t="s">
        <v>39</v>
      </c>
      <c r="I265" s="7" t="s">
        <v>30</v>
      </c>
      <c r="J265" s="7" t="s">
        <v>247</v>
      </c>
      <c r="K265" s="8" t="s">
        <v>375</v>
      </c>
    </row>
    <row r="266" s="2" customFormat="1" ht="30" customHeight="1" spans="1:11">
      <c r="A266" s="7">
        <f t="shared" si="6"/>
        <v>263</v>
      </c>
      <c r="B266" s="8" t="s">
        <v>20</v>
      </c>
      <c r="C266" s="8" t="s">
        <v>985</v>
      </c>
      <c r="D266" s="8" t="s">
        <v>986</v>
      </c>
      <c r="E266" s="8" t="s">
        <v>1165</v>
      </c>
      <c r="F266" s="7" t="s">
        <v>27</v>
      </c>
      <c r="G266" s="8" t="s">
        <v>28</v>
      </c>
      <c r="H266" s="7" t="s">
        <v>39</v>
      </c>
      <c r="I266" s="7" t="s">
        <v>30</v>
      </c>
      <c r="J266" s="7" t="s">
        <v>247</v>
      </c>
      <c r="K266" s="8" t="s">
        <v>375</v>
      </c>
    </row>
    <row r="267" s="2" customFormat="1" ht="30" customHeight="1" spans="1:11">
      <c r="A267" s="7">
        <f t="shared" si="6"/>
        <v>264</v>
      </c>
      <c r="B267" s="8" t="s">
        <v>20</v>
      </c>
      <c r="C267" s="8" t="s">
        <v>100</v>
      </c>
      <c r="D267" s="8" t="s">
        <v>559</v>
      </c>
      <c r="E267" s="8" t="s">
        <v>560</v>
      </c>
      <c r="F267" s="7" t="s">
        <v>27</v>
      </c>
      <c r="G267" s="8" t="s">
        <v>28</v>
      </c>
      <c r="H267" s="7" t="s">
        <v>39</v>
      </c>
      <c r="I267" s="7" t="s">
        <v>30</v>
      </c>
      <c r="J267" s="7" t="s">
        <v>293</v>
      </c>
      <c r="K267" s="7"/>
    </row>
    <row r="268" s="2" customFormat="1" ht="30" customHeight="1" spans="1:11">
      <c r="A268" s="7">
        <f t="shared" si="6"/>
        <v>265</v>
      </c>
      <c r="B268" s="8" t="s">
        <v>20</v>
      </c>
      <c r="C268" s="8" t="s">
        <v>100</v>
      </c>
      <c r="D268" s="8" t="s">
        <v>564</v>
      </c>
      <c r="E268" s="8" t="s">
        <v>565</v>
      </c>
      <c r="F268" s="7" t="s">
        <v>27</v>
      </c>
      <c r="G268" s="8" t="s">
        <v>28</v>
      </c>
      <c r="H268" s="7" t="s">
        <v>39</v>
      </c>
      <c r="I268" s="7" t="s">
        <v>30</v>
      </c>
      <c r="J268" s="7" t="s">
        <v>293</v>
      </c>
      <c r="K268" s="7"/>
    </row>
    <row r="269" s="2" customFormat="1" ht="30" customHeight="1" spans="1:11">
      <c r="A269" s="7">
        <f t="shared" si="6"/>
        <v>266</v>
      </c>
      <c r="B269" s="8" t="s">
        <v>20</v>
      </c>
      <c r="C269" s="8" t="s">
        <v>985</v>
      </c>
      <c r="D269" s="8" t="s">
        <v>986</v>
      </c>
      <c r="E269" s="8" t="s">
        <v>1166</v>
      </c>
      <c r="F269" s="7" t="s">
        <v>27</v>
      </c>
      <c r="G269" s="8" t="s">
        <v>28</v>
      </c>
      <c r="H269" s="7" t="s">
        <v>39</v>
      </c>
      <c r="I269" s="7" t="s">
        <v>30</v>
      </c>
      <c r="J269" s="7" t="s">
        <v>247</v>
      </c>
      <c r="K269" s="8" t="s">
        <v>375</v>
      </c>
    </row>
    <row r="270" s="2" customFormat="1" ht="30" customHeight="1" spans="1:11">
      <c r="A270" s="7">
        <f t="shared" si="6"/>
        <v>267</v>
      </c>
      <c r="B270" s="8" t="s">
        <v>20</v>
      </c>
      <c r="C270" s="8" t="s">
        <v>100</v>
      </c>
      <c r="D270" s="8" t="s">
        <v>564</v>
      </c>
      <c r="E270" s="8" t="s">
        <v>567</v>
      </c>
      <c r="F270" s="7" t="s">
        <v>27</v>
      </c>
      <c r="G270" s="8" t="s">
        <v>28</v>
      </c>
      <c r="H270" s="7" t="s">
        <v>39</v>
      </c>
      <c r="I270" s="7" t="s">
        <v>30</v>
      </c>
      <c r="J270" s="7" t="s">
        <v>293</v>
      </c>
      <c r="K270" s="7"/>
    </row>
    <row r="271" s="2" customFormat="1" ht="30" customHeight="1" spans="1:11">
      <c r="A271" s="7">
        <f t="shared" si="6"/>
        <v>268</v>
      </c>
      <c r="B271" s="8" t="s">
        <v>20</v>
      </c>
      <c r="C271" s="8" t="s">
        <v>985</v>
      </c>
      <c r="D271" s="8" t="s">
        <v>986</v>
      </c>
      <c r="E271" s="8" t="s">
        <v>1167</v>
      </c>
      <c r="F271" s="7" t="s">
        <v>27</v>
      </c>
      <c r="G271" s="8" t="s">
        <v>28</v>
      </c>
      <c r="H271" s="7" t="s">
        <v>39</v>
      </c>
      <c r="I271" s="7" t="s">
        <v>30</v>
      </c>
      <c r="J271" s="7" t="s">
        <v>129</v>
      </c>
      <c r="K271" s="7"/>
    </row>
    <row r="272" s="2" customFormat="1" ht="30" customHeight="1" spans="1:11">
      <c r="A272" s="7">
        <f t="shared" si="6"/>
        <v>269</v>
      </c>
      <c r="B272" s="8" t="s">
        <v>20</v>
      </c>
      <c r="C272" s="8" t="s">
        <v>100</v>
      </c>
      <c r="D272" s="8" t="s">
        <v>564</v>
      </c>
      <c r="E272" s="8" t="s">
        <v>569</v>
      </c>
      <c r="F272" s="7" t="s">
        <v>27</v>
      </c>
      <c r="G272" s="8" t="s">
        <v>28</v>
      </c>
      <c r="H272" s="7" t="s">
        <v>39</v>
      </c>
      <c r="I272" s="7" t="s">
        <v>30</v>
      </c>
      <c r="J272" s="7" t="s">
        <v>293</v>
      </c>
      <c r="K272" s="7"/>
    </row>
    <row r="273" s="2" customFormat="1" ht="30" customHeight="1" spans="1:11">
      <c r="A273" s="7">
        <f t="shared" si="6"/>
        <v>270</v>
      </c>
      <c r="B273" s="8" t="s">
        <v>20</v>
      </c>
      <c r="C273" s="8" t="s">
        <v>985</v>
      </c>
      <c r="D273" s="8" t="s">
        <v>986</v>
      </c>
      <c r="E273" s="8" t="s">
        <v>1168</v>
      </c>
      <c r="F273" s="7" t="s">
        <v>27</v>
      </c>
      <c r="G273" s="8" t="s">
        <v>28</v>
      </c>
      <c r="H273" s="7" t="s">
        <v>39</v>
      </c>
      <c r="I273" s="7" t="s">
        <v>30</v>
      </c>
      <c r="J273" s="7" t="s">
        <v>133</v>
      </c>
      <c r="K273" s="8" t="s">
        <v>375</v>
      </c>
    </row>
    <row r="274" s="2" customFormat="1" ht="30" customHeight="1" spans="1:11">
      <c r="A274" s="7">
        <f t="shared" si="6"/>
        <v>271</v>
      </c>
      <c r="B274" s="8" t="s">
        <v>20</v>
      </c>
      <c r="C274" s="8" t="s">
        <v>100</v>
      </c>
      <c r="D274" s="8" t="s">
        <v>564</v>
      </c>
      <c r="E274" s="8" t="s">
        <v>571</v>
      </c>
      <c r="F274" s="7" t="s">
        <v>27</v>
      </c>
      <c r="G274" s="8" t="s">
        <v>28</v>
      </c>
      <c r="H274" s="7" t="s">
        <v>39</v>
      </c>
      <c r="I274" s="7" t="s">
        <v>30</v>
      </c>
      <c r="J274" s="7" t="s">
        <v>293</v>
      </c>
      <c r="K274" s="7"/>
    </row>
    <row r="275" s="2" customFormat="1" ht="30" customHeight="1" spans="1:11">
      <c r="A275" s="7">
        <f t="shared" si="6"/>
        <v>272</v>
      </c>
      <c r="B275" s="8" t="s">
        <v>20</v>
      </c>
      <c r="C275" s="8" t="s">
        <v>985</v>
      </c>
      <c r="D275" s="8" t="s">
        <v>986</v>
      </c>
      <c r="E275" s="8" t="s">
        <v>1169</v>
      </c>
      <c r="F275" s="7" t="s">
        <v>27</v>
      </c>
      <c r="G275" s="8" t="s">
        <v>28</v>
      </c>
      <c r="H275" s="7" t="s">
        <v>39</v>
      </c>
      <c r="I275" s="7" t="s">
        <v>30</v>
      </c>
      <c r="J275" s="7" t="s">
        <v>261</v>
      </c>
      <c r="K275" s="8" t="s">
        <v>375</v>
      </c>
    </row>
    <row r="276" s="2" customFormat="1" ht="30" customHeight="1" spans="1:11">
      <c r="A276" s="7">
        <f t="shared" si="6"/>
        <v>273</v>
      </c>
      <c r="B276" s="8" t="s">
        <v>20</v>
      </c>
      <c r="C276" s="8" t="s">
        <v>573</v>
      </c>
      <c r="D276" s="8" t="s">
        <v>574</v>
      </c>
      <c r="E276" s="8" t="s">
        <v>575</v>
      </c>
      <c r="F276" s="7" t="s">
        <v>27</v>
      </c>
      <c r="G276" s="8" t="s">
        <v>28</v>
      </c>
      <c r="H276" s="7" t="s">
        <v>29</v>
      </c>
      <c r="I276" s="7" t="s">
        <v>30</v>
      </c>
      <c r="J276" s="7" t="s">
        <v>578</v>
      </c>
      <c r="K276" s="8" t="s">
        <v>579</v>
      </c>
    </row>
    <row r="277" s="2" customFormat="1" ht="30" customHeight="1" spans="1:11">
      <c r="A277" s="7">
        <f t="shared" si="6"/>
        <v>274</v>
      </c>
      <c r="B277" s="8" t="s">
        <v>20</v>
      </c>
      <c r="C277" s="8" t="s">
        <v>53</v>
      </c>
      <c r="D277" s="8" t="s">
        <v>54</v>
      </c>
      <c r="E277" s="8" t="s">
        <v>1170</v>
      </c>
      <c r="F277" s="7" t="s">
        <v>27</v>
      </c>
      <c r="G277" s="8" t="s">
        <v>28</v>
      </c>
      <c r="H277" s="7" t="s">
        <v>39</v>
      </c>
      <c r="I277" s="7" t="s">
        <v>30</v>
      </c>
      <c r="J277" s="7" t="s">
        <v>718</v>
      </c>
      <c r="K277" s="7"/>
    </row>
    <row r="278" s="2" customFormat="1" ht="30" customHeight="1" spans="1:11">
      <c r="A278" s="7">
        <f t="shared" si="6"/>
        <v>275</v>
      </c>
      <c r="B278" s="8" t="s">
        <v>20</v>
      </c>
      <c r="C278" s="8" t="s">
        <v>573</v>
      </c>
      <c r="D278" s="8" t="s">
        <v>581</v>
      </c>
      <c r="E278" s="8" t="s">
        <v>582</v>
      </c>
      <c r="F278" s="7" t="s">
        <v>27</v>
      </c>
      <c r="G278" s="8" t="s">
        <v>28</v>
      </c>
      <c r="H278" s="7" t="s">
        <v>29</v>
      </c>
      <c r="I278" s="7" t="s">
        <v>30</v>
      </c>
      <c r="J278" s="7" t="s">
        <v>578</v>
      </c>
      <c r="K278" s="8" t="s">
        <v>579</v>
      </c>
    </row>
    <row r="279" s="2" customFormat="1" ht="30" customHeight="1" spans="1:11">
      <c r="A279" s="7">
        <f t="shared" si="6"/>
        <v>276</v>
      </c>
      <c r="B279" s="8" t="s">
        <v>20</v>
      </c>
      <c r="C279" s="8" t="s">
        <v>573</v>
      </c>
      <c r="D279" s="8" t="s">
        <v>574</v>
      </c>
      <c r="E279" s="8" t="s">
        <v>584</v>
      </c>
      <c r="F279" s="7" t="s">
        <v>27</v>
      </c>
      <c r="G279" s="8" t="s">
        <v>28</v>
      </c>
      <c r="H279" s="7" t="s">
        <v>29</v>
      </c>
      <c r="I279" s="7" t="s">
        <v>30</v>
      </c>
      <c r="J279" s="7" t="s">
        <v>578</v>
      </c>
      <c r="K279" s="8" t="s">
        <v>579</v>
      </c>
    </row>
    <row r="280" s="2" customFormat="1" ht="30" customHeight="1" spans="1:11">
      <c r="A280" s="7">
        <f t="shared" si="6"/>
        <v>277</v>
      </c>
      <c r="B280" s="8" t="s">
        <v>20</v>
      </c>
      <c r="C280" s="8" t="s">
        <v>573</v>
      </c>
      <c r="D280" s="8" t="s">
        <v>574</v>
      </c>
      <c r="E280" s="8" t="s">
        <v>586</v>
      </c>
      <c r="F280" s="7" t="s">
        <v>27</v>
      </c>
      <c r="G280" s="8" t="s">
        <v>28</v>
      </c>
      <c r="H280" s="7" t="s">
        <v>29</v>
      </c>
      <c r="I280" s="7" t="s">
        <v>30</v>
      </c>
      <c r="J280" s="7" t="s">
        <v>578</v>
      </c>
      <c r="K280" s="8" t="s">
        <v>579</v>
      </c>
    </row>
    <row r="281" s="2" customFormat="1" ht="30" customHeight="1" spans="1:11">
      <c r="A281" s="7">
        <f t="shared" ref="A281:A313" si="7">ROW()-3</f>
        <v>278</v>
      </c>
      <c r="B281" s="8" t="s">
        <v>20</v>
      </c>
      <c r="C281" s="8" t="s">
        <v>573</v>
      </c>
      <c r="D281" s="8" t="s">
        <v>574</v>
      </c>
      <c r="E281" s="8" t="s">
        <v>588</v>
      </c>
      <c r="F281" s="7" t="s">
        <v>27</v>
      </c>
      <c r="G281" s="8" t="s">
        <v>28</v>
      </c>
      <c r="H281" s="7" t="s">
        <v>29</v>
      </c>
      <c r="I281" s="7" t="s">
        <v>30</v>
      </c>
      <c r="J281" s="7" t="s">
        <v>578</v>
      </c>
      <c r="K281" s="8" t="s">
        <v>579</v>
      </c>
    </row>
    <row r="282" s="2" customFormat="1" ht="30" customHeight="1" spans="1:11">
      <c r="A282" s="7">
        <f t="shared" si="7"/>
        <v>279</v>
      </c>
      <c r="B282" s="8" t="s">
        <v>20</v>
      </c>
      <c r="C282" s="8" t="s">
        <v>980</v>
      </c>
      <c r="D282" s="8" t="s">
        <v>112</v>
      </c>
      <c r="E282" s="8" t="s">
        <v>1172</v>
      </c>
      <c r="F282" s="7" t="s">
        <v>27</v>
      </c>
      <c r="G282" s="8" t="s">
        <v>28</v>
      </c>
      <c r="H282" s="7" t="s">
        <v>39</v>
      </c>
      <c r="I282" s="7" t="s">
        <v>30</v>
      </c>
      <c r="J282" s="7" t="s">
        <v>364</v>
      </c>
      <c r="K282" s="7"/>
    </row>
    <row r="283" s="2" customFormat="1" ht="30" customHeight="1" spans="1:11">
      <c r="A283" s="7">
        <f t="shared" si="7"/>
        <v>280</v>
      </c>
      <c r="B283" s="8" t="s">
        <v>20</v>
      </c>
      <c r="C283" s="8" t="s">
        <v>460</v>
      </c>
      <c r="D283" s="8" t="s">
        <v>461</v>
      </c>
      <c r="E283" s="8" t="s">
        <v>590</v>
      </c>
      <c r="F283" s="7" t="s">
        <v>27</v>
      </c>
      <c r="G283" s="8" t="s">
        <v>28</v>
      </c>
      <c r="H283" s="7" t="s">
        <v>39</v>
      </c>
      <c r="I283" s="7" t="s">
        <v>30</v>
      </c>
      <c r="J283" s="7" t="s">
        <v>535</v>
      </c>
      <c r="K283" s="7"/>
    </row>
    <row r="284" s="2" customFormat="1" ht="30" customHeight="1" spans="1:11">
      <c r="A284" s="7">
        <f t="shared" si="7"/>
        <v>281</v>
      </c>
      <c r="B284" s="8" t="s">
        <v>20</v>
      </c>
      <c r="C284" s="8" t="s">
        <v>782</v>
      </c>
      <c r="D284" s="8" t="s">
        <v>747</v>
      </c>
      <c r="E284" s="8" t="s">
        <v>747</v>
      </c>
      <c r="F284" s="7" t="s">
        <v>27</v>
      </c>
      <c r="G284" s="8" t="s">
        <v>28</v>
      </c>
      <c r="H284" s="7" t="s">
        <v>39</v>
      </c>
      <c r="I284" s="7" t="s">
        <v>30</v>
      </c>
      <c r="J284" s="7" t="s">
        <v>364</v>
      </c>
      <c r="K284" s="7"/>
    </row>
    <row r="285" s="2" customFormat="1" ht="30" customHeight="1" spans="1:11">
      <c r="A285" s="7">
        <f t="shared" si="7"/>
        <v>282</v>
      </c>
      <c r="B285" s="8" t="s">
        <v>20</v>
      </c>
      <c r="C285" s="8" t="s">
        <v>460</v>
      </c>
      <c r="D285" s="8" t="s">
        <v>461</v>
      </c>
      <c r="E285" s="8" t="s">
        <v>594</v>
      </c>
      <c r="F285" s="7" t="s">
        <v>27</v>
      </c>
      <c r="G285" s="8" t="s">
        <v>28</v>
      </c>
      <c r="H285" s="7" t="s">
        <v>39</v>
      </c>
      <c r="I285" s="7" t="s">
        <v>30</v>
      </c>
      <c r="J285" s="7" t="s">
        <v>358</v>
      </c>
      <c r="K285" s="7"/>
    </row>
    <row r="286" s="2" customFormat="1" ht="30" customHeight="1" spans="1:11">
      <c r="A286" s="7">
        <f t="shared" si="7"/>
        <v>283</v>
      </c>
      <c r="B286" s="8" t="s">
        <v>20</v>
      </c>
      <c r="C286" s="8" t="s">
        <v>782</v>
      </c>
      <c r="D286" s="8" t="s">
        <v>1173</v>
      </c>
      <c r="E286" s="8" t="s">
        <v>1173</v>
      </c>
      <c r="F286" s="7" t="s">
        <v>27</v>
      </c>
      <c r="G286" s="8" t="s">
        <v>28</v>
      </c>
      <c r="H286" s="7" t="s">
        <v>39</v>
      </c>
      <c r="I286" s="7" t="s">
        <v>30</v>
      </c>
      <c r="J286" s="7" t="s">
        <v>364</v>
      </c>
      <c r="K286" s="7"/>
    </row>
    <row r="287" s="2" customFormat="1" ht="30" customHeight="1" spans="1:11">
      <c r="A287" s="7">
        <f t="shared" si="7"/>
        <v>284</v>
      </c>
      <c r="B287" s="8" t="s">
        <v>20</v>
      </c>
      <c r="C287" s="8" t="s">
        <v>596</v>
      </c>
      <c r="D287" s="8" t="s">
        <v>597</v>
      </c>
      <c r="E287" s="8" t="s">
        <v>598</v>
      </c>
      <c r="F287" s="7" t="s">
        <v>27</v>
      </c>
      <c r="G287" s="8" t="s">
        <v>28</v>
      </c>
      <c r="H287" s="7" t="s">
        <v>39</v>
      </c>
      <c r="I287" s="7" t="s">
        <v>30</v>
      </c>
      <c r="J287" s="7" t="s">
        <v>358</v>
      </c>
      <c r="K287" s="7"/>
    </row>
    <row r="288" s="2" customFormat="1" ht="30" customHeight="1" spans="1:11">
      <c r="A288" s="7">
        <f t="shared" si="7"/>
        <v>285</v>
      </c>
      <c r="B288" s="8" t="s">
        <v>20</v>
      </c>
      <c r="C288" s="8" t="s">
        <v>1174</v>
      </c>
      <c r="D288" s="8" t="s">
        <v>1175</v>
      </c>
      <c r="E288" s="8" t="s">
        <v>1176</v>
      </c>
      <c r="F288" s="7" t="s">
        <v>27</v>
      </c>
      <c r="G288" s="8" t="s">
        <v>28</v>
      </c>
      <c r="H288" s="7" t="s">
        <v>39</v>
      </c>
      <c r="I288" s="7" t="s">
        <v>30</v>
      </c>
      <c r="J288" s="7" t="s">
        <v>364</v>
      </c>
      <c r="K288" s="7"/>
    </row>
    <row r="289" s="2" customFormat="1" ht="30" customHeight="1" spans="1:11">
      <c r="A289" s="7">
        <f t="shared" si="7"/>
        <v>286</v>
      </c>
      <c r="B289" s="8" t="s">
        <v>20</v>
      </c>
      <c r="C289" s="8" t="s">
        <v>602</v>
      </c>
      <c r="D289" s="8" t="s">
        <v>603</v>
      </c>
      <c r="E289" s="8" t="s">
        <v>604</v>
      </c>
      <c r="F289" s="7" t="s">
        <v>27</v>
      </c>
      <c r="G289" s="8" t="s">
        <v>28</v>
      </c>
      <c r="H289" s="7" t="s">
        <v>39</v>
      </c>
      <c r="I289" s="7" t="s">
        <v>30</v>
      </c>
      <c r="J289" s="7" t="s">
        <v>578</v>
      </c>
      <c r="K289" s="7"/>
    </row>
    <row r="290" s="2" customFormat="1" ht="30" customHeight="1" spans="1:11">
      <c r="A290" s="7">
        <f t="shared" si="7"/>
        <v>287</v>
      </c>
      <c r="B290" s="8" t="s">
        <v>20</v>
      </c>
      <c r="C290" s="8" t="s">
        <v>460</v>
      </c>
      <c r="D290" s="8" t="s">
        <v>461</v>
      </c>
      <c r="E290" s="8" t="s">
        <v>606</v>
      </c>
      <c r="F290" s="7" t="s">
        <v>27</v>
      </c>
      <c r="G290" s="8" t="s">
        <v>28</v>
      </c>
      <c r="H290" s="7" t="s">
        <v>39</v>
      </c>
      <c r="I290" s="7" t="s">
        <v>30</v>
      </c>
      <c r="J290" s="7" t="s">
        <v>535</v>
      </c>
      <c r="K290" s="7"/>
    </row>
    <row r="291" s="2" customFormat="1" ht="30" customHeight="1" spans="1:11">
      <c r="A291" s="7">
        <f t="shared" si="7"/>
        <v>288</v>
      </c>
      <c r="B291" s="8" t="s">
        <v>20</v>
      </c>
      <c r="C291" s="8" t="s">
        <v>460</v>
      </c>
      <c r="D291" s="8" t="s">
        <v>461</v>
      </c>
      <c r="E291" s="8" t="s">
        <v>1177</v>
      </c>
      <c r="F291" s="7" t="s">
        <v>27</v>
      </c>
      <c r="G291" s="8" t="s">
        <v>28</v>
      </c>
      <c r="H291" s="7" t="s">
        <v>39</v>
      </c>
      <c r="I291" s="7" t="s">
        <v>30</v>
      </c>
      <c r="J291" s="7" t="s">
        <v>247</v>
      </c>
      <c r="K291" s="8" t="s">
        <v>375</v>
      </c>
    </row>
    <row r="292" s="2" customFormat="1" ht="30" customHeight="1" spans="1:11">
      <c r="A292" s="7">
        <f t="shared" si="7"/>
        <v>289</v>
      </c>
      <c r="B292" s="8" t="s">
        <v>20</v>
      </c>
      <c r="C292" s="8" t="s">
        <v>549</v>
      </c>
      <c r="D292" s="8" t="s">
        <v>608</v>
      </c>
      <c r="E292" s="8" t="s">
        <v>609</v>
      </c>
      <c r="F292" s="7" t="s">
        <v>27</v>
      </c>
      <c r="G292" s="8" t="s">
        <v>28</v>
      </c>
      <c r="H292" s="7" t="s">
        <v>39</v>
      </c>
      <c r="I292" s="7" t="s">
        <v>30</v>
      </c>
      <c r="J292" s="7" t="s">
        <v>358</v>
      </c>
      <c r="K292" s="7"/>
    </row>
    <row r="293" s="2" customFormat="1" ht="30" customHeight="1" spans="1:11">
      <c r="A293" s="7">
        <f t="shared" si="7"/>
        <v>290</v>
      </c>
      <c r="B293" s="8" t="s">
        <v>20</v>
      </c>
      <c r="C293" s="8" t="s">
        <v>100</v>
      </c>
      <c r="D293" s="8" t="s">
        <v>559</v>
      </c>
      <c r="E293" s="8" t="s">
        <v>613</v>
      </c>
      <c r="F293" s="7" t="s">
        <v>27</v>
      </c>
      <c r="G293" s="8" t="s">
        <v>28</v>
      </c>
      <c r="H293" s="7" t="s">
        <v>39</v>
      </c>
      <c r="I293" s="7" t="s">
        <v>30</v>
      </c>
      <c r="J293" s="7" t="s">
        <v>293</v>
      </c>
      <c r="K293" s="7"/>
    </row>
    <row r="294" s="2" customFormat="1" ht="30" customHeight="1" spans="1:11">
      <c r="A294" s="7">
        <f t="shared" si="7"/>
        <v>291</v>
      </c>
      <c r="B294" s="8" t="s">
        <v>20</v>
      </c>
      <c r="C294" s="8" t="s">
        <v>985</v>
      </c>
      <c r="D294" s="8" t="s">
        <v>986</v>
      </c>
      <c r="E294" s="8" t="s">
        <v>1178</v>
      </c>
      <c r="F294" s="7" t="s">
        <v>27</v>
      </c>
      <c r="G294" s="8" t="s">
        <v>28</v>
      </c>
      <c r="H294" s="7" t="s">
        <v>39</v>
      </c>
      <c r="I294" s="7" t="s">
        <v>30</v>
      </c>
      <c r="J294" s="7" t="s">
        <v>247</v>
      </c>
      <c r="K294" s="8" t="s">
        <v>375</v>
      </c>
    </row>
    <row r="295" s="2" customFormat="1" ht="30" customHeight="1" spans="1:11">
      <c r="A295" s="7">
        <f t="shared" si="7"/>
        <v>292</v>
      </c>
      <c r="B295" s="8" t="s">
        <v>20</v>
      </c>
      <c r="C295" s="8" t="s">
        <v>460</v>
      </c>
      <c r="D295" s="8" t="s">
        <v>461</v>
      </c>
      <c r="E295" s="8" t="s">
        <v>1179</v>
      </c>
      <c r="F295" s="7" t="s">
        <v>27</v>
      </c>
      <c r="G295" s="8" t="s">
        <v>28</v>
      </c>
      <c r="H295" s="7" t="s">
        <v>39</v>
      </c>
      <c r="I295" s="7" t="s">
        <v>30</v>
      </c>
      <c r="J295" s="7" t="s">
        <v>166</v>
      </c>
      <c r="K295" s="7"/>
    </row>
    <row r="296" s="2" customFormat="1" ht="30" customHeight="1" spans="1:11">
      <c r="A296" s="7">
        <f t="shared" si="7"/>
        <v>293</v>
      </c>
      <c r="B296" s="8" t="s">
        <v>20</v>
      </c>
      <c r="C296" s="8" t="s">
        <v>615</v>
      </c>
      <c r="D296" s="8" t="s">
        <v>616</v>
      </c>
      <c r="E296" s="8" t="s">
        <v>617</v>
      </c>
      <c r="F296" s="7" t="s">
        <v>27</v>
      </c>
      <c r="G296" s="8" t="s">
        <v>28</v>
      </c>
      <c r="H296" s="7" t="s">
        <v>39</v>
      </c>
      <c r="I296" s="7" t="s">
        <v>30</v>
      </c>
      <c r="J296" s="7" t="s">
        <v>247</v>
      </c>
      <c r="K296" s="8" t="s">
        <v>375</v>
      </c>
    </row>
    <row r="297" s="2" customFormat="1" ht="30" customHeight="1" spans="1:11">
      <c r="A297" s="7">
        <f t="shared" si="7"/>
        <v>294</v>
      </c>
      <c r="B297" s="8" t="s">
        <v>20</v>
      </c>
      <c r="C297" s="8" t="s">
        <v>107</v>
      </c>
      <c r="D297" s="8" t="s">
        <v>108</v>
      </c>
      <c r="E297" s="8" t="s">
        <v>619</v>
      </c>
      <c r="F297" s="7" t="s">
        <v>27</v>
      </c>
      <c r="G297" s="8" t="s">
        <v>28</v>
      </c>
      <c r="H297" s="7" t="s">
        <v>39</v>
      </c>
      <c r="I297" s="7" t="s">
        <v>30</v>
      </c>
      <c r="J297" s="7" t="s">
        <v>396</v>
      </c>
      <c r="K297" s="8" t="s">
        <v>401</v>
      </c>
    </row>
    <row r="298" s="2" customFormat="1" ht="30" customHeight="1" spans="1:11">
      <c r="A298" s="7">
        <f t="shared" si="7"/>
        <v>295</v>
      </c>
      <c r="B298" s="8" t="s">
        <v>20</v>
      </c>
      <c r="C298" s="8" t="s">
        <v>107</v>
      </c>
      <c r="D298" s="8" t="s">
        <v>108</v>
      </c>
      <c r="E298" s="8" t="s">
        <v>621</v>
      </c>
      <c r="F298" s="7" t="s">
        <v>27</v>
      </c>
      <c r="G298" s="8" t="s">
        <v>28</v>
      </c>
      <c r="H298" s="7" t="s">
        <v>39</v>
      </c>
      <c r="I298" s="7" t="s">
        <v>30</v>
      </c>
      <c r="J298" s="7" t="s">
        <v>396</v>
      </c>
      <c r="K298" s="8" t="s">
        <v>397</v>
      </c>
    </row>
    <row r="299" s="2" customFormat="1" ht="30" customHeight="1" spans="1:11">
      <c r="A299" s="7">
        <f t="shared" si="7"/>
        <v>296</v>
      </c>
      <c r="B299" s="8" t="s">
        <v>20</v>
      </c>
      <c r="C299" s="8" t="s">
        <v>138</v>
      </c>
      <c r="D299" s="8" t="s">
        <v>221</v>
      </c>
      <c r="E299" s="8" t="s">
        <v>623</v>
      </c>
      <c r="F299" s="7" t="s">
        <v>27</v>
      </c>
      <c r="G299" s="8" t="s">
        <v>28</v>
      </c>
      <c r="H299" s="7" t="s">
        <v>29</v>
      </c>
      <c r="I299" s="7" t="s">
        <v>30</v>
      </c>
      <c r="J299" s="7" t="s">
        <v>364</v>
      </c>
      <c r="K299" s="7"/>
    </row>
    <row r="300" s="2" customFormat="1" ht="30" customHeight="1" spans="1:11">
      <c r="A300" s="7">
        <f t="shared" si="7"/>
        <v>297</v>
      </c>
      <c r="B300" s="8" t="s">
        <v>20</v>
      </c>
      <c r="C300" s="8" t="s">
        <v>138</v>
      </c>
      <c r="D300" s="8" t="s">
        <v>152</v>
      </c>
      <c r="E300" s="8" t="s">
        <v>627</v>
      </c>
      <c r="F300" s="7" t="s">
        <v>27</v>
      </c>
      <c r="G300" s="8" t="s">
        <v>28</v>
      </c>
      <c r="H300" s="7" t="s">
        <v>29</v>
      </c>
      <c r="I300" s="7" t="s">
        <v>30</v>
      </c>
      <c r="J300" s="7" t="s">
        <v>358</v>
      </c>
      <c r="K300" s="7"/>
    </row>
    <row r="301" s="2" customFormat="1" ht="30" customHeight="1" spans="1:11">
      <c r="A301" s="7">
        <f t="shared" si="7"/>
        <v>298</v>
      </c>
      <c r="B301" s="8" t="s">
        <v>20</v>
      </c>
      <c r="C301" s="8" t="s">
        <v>615</v>
      </c>
      <c r="D301" s="8" t="s">
        <v>629</v>
      </c>
      <c r="E301" s="8" t="s">
        <v>630</v>
      </c>
      <c r="F301" s="7" t="s">
        <v>27</v>
      </c>
      <c r="G301" s="8" t="s">
        <v>28</v>
      </c>
      <c r="H301" s="7" t="s">
        <v>39</v>
      </c>
      <c r="I301" s="7" t="s">
        <v>30</v>
      </c>
      <c r="J301" s="7" t="s">
        <v>247</v>
      </c>
      <c r="K301" s="8" t="s">
        <v>579</v>
      </c>
    </row>
    <row r="302" s="2" customFormat="1" ht="30" customHeight="1" spans="1:11">
      <c r="A302" s="7">
        <f t="shared" si="7"/>
        <v>299</v>
      </c>
      <c r="B302" s="8" t="s">
        <v>20</v>
      </c>
      <c r="C302" s="8" t="s">
        <v>537</v>
      </c>
      <c r="D302" s="8" t="s">
        <v>616</v>
      </c>
      <c r="E302" s="8" t="s">
        <v>632</v>
      </c>
      <c r="F302" s="7" t="s">
        <v>27</v>
      </c>
      <c r="G302" s="8" t="s">
        <v>28</v>
      </c>
      <c r="H302" s="7" t="s">
        <v>39</v>
      </c>
      <c r="I302" s="7" t="s">
        <v>30</v>
      </c>
      <c r="J302" s="7" t="s">
        <v>247</v>
      </c>
      <c r="K302" s="8" t="s">
        <v>375</v>
      </c>
    </row>
    <row r="303" s="2" customFormat="1" ht="30" customHeight="1" spans="1:11">
      <c r="A303" s="7">
        <f t="shared" si="7"/>
        <v>300</v>
      </c>
      <c r="B303" s="8" t="s">
        <v>20</v>
      </c>
      <c r="C303" s="8" t="s">
        <v>634</v>
      </c>
      <c r="D303" s="8" t="s">
        <v>116</v>
      </c>
      <c r="E303" s="8" t="s">
        <v>635</v>
      </c>
      <c r="F303" s="7" t="s">
        <v>27</v>
      </c>
      <c r="G303" s="8" t="s">
        <v>28</v>
      </c>
      <c r="H303" s="7" t="s">
        <v>39</v>
      </c>
      <c r="I303" s="7" t="s">
        <v>30</v>
      </c>
      <c r="J303" s="7" t="s">
        <v>364</v>
      </c>
      <c r="K303" s="7"/>
    </row>
    <row r="304" s="2" customFormat="1" ht="30" customHeight="1" spans="1:11">
      <c r="A304" s="7">
        <f t="shared" si="7"/>
        <v>301</v>
      </c>
      <c r="B304" s="8" t="s">
        <v>20</v>
      </c>
      <c r="C304" s="8" t="s">
        <v>107</v>
      </c>
      <c r="D304" s="8" t="s">
        <v>108</v>
      </c>
      <c r="E304" s="8" t="s">
        <v>639</v>
      </c>
      <c r="F304" s="7" t="s">
        <v>27</v>
      </c>
      <c r="G304" s="8" t="s">
        <v>28</v>
      </c>
      <c r="H304" s="7" t="s">
        <v>39</v>
      </c>
      <c r="I304" s="7" t="s">
        <v>30</v>
      </c>
      <c r="J304" s="7" t="s">
        <v>247</v>
      </c>
      <c r="K304" s="8" t="s">
        <v>579</v>
      </c>
    </row>
    <row r="305" s="2" customFormat="1" ht="30" customHeight="1" spans="1:11">
      <c r="A305" s="7">
        <f t="shared" si="7"/>
        <v>302</v>
      </c>
      <c r="B305" s="8" t="s">
        <v>20</v>
      </c>
      <c r="C305" s="8" t="s">
        <v>66</v>
      </c>
      <c r="D305" s="8" t="s">
        <v>67</v>
      </c>
      <c r="E305" s="8" t="s">
        <v>641</v>
      </c>
      <c r="F305" s="7" t="s">
        <v>27</v>
      </c>
      <c r="G305" s="8" t="s">
        <v>28</v>
      </c>
      <c r="H305" s="7" t="s">
        <v>29</v>
      </c>
      <c r="I305" s="7" t="s">
        <v>30</v>
      </c>
      <c r="J305" s="7" t="s">
        <v>578</v>
      </c>
      <c r="K305" s="8" t="s">
        <v>579</v>
      </c>
    </row>
    <row r="306" s="2" customFormat="1" ht="30" customHeight="1" spans="1:11">
      <c r="A306" s="7">
        <f t="shared" si="7"/>
        <v>303</v>
      </c>
      <c r="B306" s="8" t="s">
        <v>20</v>
      </c>
      <c r="C306" s="8" t="s">
        <v>643</v>
      </c>
      <c r="D306" s="8" t="s">
        <v>644</v>
      </c>
      <c r="E306" s="8" t="s">
        <v>645</v>
      </c>
      <c r="F306" s="7" t="s">
        <v>27</v>
      </c>
      <c r="G306" s="8" t="s">
        <v>28</v>
      </c>
      <c r="H306" s="7" t="s">
        <v>29</v>
      </c>
      <c r="I306" s="7" t="s">
        <v>30</v>
      </c>
      <c r="J306" s="7" t="s">
        <v>364</v>
      </c>
      <c r="K306" s="7"/>
    </row>
    <row r="307" s="2" customFormat="1" ht="30" customHeight="1" spans="1:11">
      <c r="A307" s="7">
        <f t="shared" si="7"/>
        <v>304</v>
      </c>
      <c r="B307" s="8" t="s">
        <v>20</v>
      </c>
      <c r="C307" s="8" t="s">
        <v>66</v>
      </c>
      <c r="D307" s="8" t="s">
        <v>67</v>
      </c>
      <c r="E307" s="8" t="s">
        <v>647</v>
      </c>
      <c r="F307" s="7" t="s">
        <v>27</v>
      </c>
      <c r="G307" s="8" t="s">
        <v>28</v>
      </c>
      <c r="H307" s="7" t="s">
        <v>29</v>
      </c>
      <c r="I307" s="7" t="s">
        <v>30</v>
      </c>
      <c r="J307" s="7" t="s">
        <v>578</v>
      </c>
      <c r="K307" s="8" t="s">
        <v>579</v>
      </c>
    </row>
    <row r="308" s="2" customFormat="1" ht="30" customHeight="1" spans="1:11">
      <c r="A308" s="7">
        <f t="shared" si="7"/>
        <v>305</v>
      </c>
      <c r="B308" s="8" t="s">
        <v>20</v>
      </c>
      <c r="C308" s="8" t="s">
        <v>107</v>
      </c>
      <c r="D308" s="8" t="s">
        <v>108</v>
      </c>
      <c r="E308" s="8" t="s">
        <v>649</v>
      </c>
      <c r="F308" s="7" t="s">
        <v>27</v>
      </c>
      <c r="G308" s="8" t="s">
        <v>28</v>
      </c>
      <c r="H308" s="7" t="s">
        <v>39</v>
      </c>
      <c r="I308" s="7" t="s">
        <v>30</v>
      </c>
      <c r="J308" s="7" t="s">
        <v>247</v>
      </c>
      <c r="K308" s="8" t="s">
        <v>579</v>
      </c>
    </row>
    <row r="309" s="2" customFormat="1" ht="30" customHeight="1" spans="1:11">
      <c r="A309" s="7">
        <f t="shared" si="7"/>
        <v>306</v>
      </c>
      <c r="B309" s="8" t="s">
        <v>20</v>
      </c>
      <c r="C309" s="8" t="s">
        <v>21</v>
      </c>
      <c r="D309" s="8" t="s">
        <v>22</v>
      </c>
      <c r="E309" s="8" t="s">
        <v>651</v>
      </c>
      <c r="F309" s="7" t="s">
        <v>27</v>
      </c>
      <c r="G309" s="8" t="s">
        <v>28</v>
      </c>
      <c r="H309" s="7" t="s">
        <v>29</v>
      </c>
      <c r="I309" s="7" t="s">
        <v>30</v>
      </c>
      <c r="J309" s="7" t="s">
        <v>358</v>
      </c>
      <c r="K309" s="7"/>
    </row>
    <row r="310" s="2" customFormat="1" ht="30" customHeight="1" spans="1:11">
      <c r="A310" s="7">
        <f t="shared" si="7"/>
        <v>307</v>
      </c>
      <c r="B310" s="8" t="s">
        <v>20</v>
      </c>
      <c r="C310" s="8" t="s">
        <v>107</v>
      </c>
      <c r="D310" s="8" t="s">
        <v>108</v>
      </c>
      <c r="E310" s="8" t="s">
        <v>655</v>
      </c>
      <c r="F310" s="7" t="s">
        <v>27</v>
      </c>
      <c r="G310" s="8" t="s">
        <v>28</v>
      </c>
      <c r="H310" s="7" t="s">
        <v>39</v>
      </c>
      <c r="I310" s="7" t="s">
        <v>30</v>
      </c>
      <c r="J310" s="7" t="s">
        <v>247</v>
      </c>
      <c r="K310" s="8" t="s">
        <v>579</v>
      </c>
    </row>
    <row r="311" s="2" customFormat="1" ht="30" customHeight="1" spans="1:11">
      <c r="A311" s="7">
        <f t="shared" si="7"/>
        <v>308</v>
      </c>
      <c r="B311" s="8" t="s">
        <v>20</v>
      </c>
      <c r="C311" s="8" t="s">
        <v>21</v>
      </c>
      <c r="D311" s="8" t="s">
        <v>22</v>
      </c>
      <c r="E311" s="8" t="s">
        <v>657</v>
      </c>
      <c r="F311" s="7" t="s">
        <v>27</v>
      </c>
      <c r="G311" s="8" t="s">
        <v>28</v>
      </c>
      <c r="H311" s="7" t="s">
        <v>29</v>
      </c>
      <c r="I311" s="7" t="s">
        <v>30</v>
      </c>
      <c r="J311" s="7" t="s">
        <v>358</v>
      </c>
      <c r="K311" s="7"/>
    </row>
    <row r="312" s="2" customFormat="1" ht="30" customHeight="1" spans="1:11">
      <c r="A312" s="7">
        <f t="shared" si="7"/>
        <v>309</v>
      </c>
      <c r="B312" s="8" t="s">
        <v>20</v>
      </c>
      <c r="C312" s="8" t="s">
        <v>107</v>
      </c>
      <c r="D312" s="8" t="s">
        <v>108</v>
      </c>
      <c r="E312" s="8" t="s">
        <v>659</v>
      </c>
      <c r="F312" s="7" t="s">
        <v>27</v>
      </c>
      <c r="G312" s="8" t="s">
        <v>28</v>
      </c>
      <c r="H312" s="7" t="s">
        <v>39</v>
      </c>
      <c r="I312" s="7" t="s">
        <v>30</v>
      </c>
      <c r="J312" s="7" t="s">
        <v>247</v>
      </c>
      <c r="K312" s="8" t="s">
        <v>579</v>
      </c>
    </row>
    <row r="313" s="2" customFormat="1" ht="30" customHeight="1" spans="1:11">
      <c r="A313" s="7">
        <f t="shared" si="7"/>
        <v>310</v>
      </c>
      <c r="B313" s="8" t="s">
        <v>20</v>
      </c>
      <c r="C313" s="8" t="s">
        <v>537</v>
      </c>
      <c r="D313" s="8" t="s">
        <v>538</v>
      </c>
      <c r="E313" s="8" t="s">
        <v>661</v>
      </c>
      <c r="F313" s="7" t="s">
        <v>27</v>
      </c>
      <c r="G313" s="8" t="s">
        <v>28</v>
      </c>
      <c r="H313" s="7" t="s">
        <v>39</v>
      </c>
      <c r="I313" s="7" t="s">
        <v>30</v>
      </c>
      <c r="J313" s="7" t="s">
        <v>247</v>
      </c>
      <c r="K313" s="8" t="s">
        <v>375</v>
      </c>
    </row>
    <row r="314" s="2" customFormat="1" ht="30" customHeight="1" spans="1:11">
      <c r="A314" s="7">
        <f t="shared" ref="A314:A352" si="8">ROW()-3</f>
        <v>311</v>
      </c>
      <c r="B314" s="8" t="s">
        <v>20</v>
      </c>
      <c r="C314" s="8" t="s">
        <v>460</v>
      </c>
      <c r="D314" s="8" t="s">
        <v>461</v>
      </c>
      <c r="E314" s="8" t="s">
        <v>691</v>
      </c>
      <c r="F314" s="7" t="s">
        <v>27</v>
      </c>
      <c r="G314" s="8" t="s">
        <v>28</v>
      </c>
      <c r="H314" s="7" t="s">
        <v>39</v>
      </c>
      <c r="I314" s="7" t="s">
        <v>30</v>
      </c>
      <c r="J314" s="7" t="s">
        <v>247</v>
      </c>
      <c r="K314" s="8" t="s">
        <v>375</v>
      </c>
    </row>
    <row r="315" s="2" customFormat="1" ht="30" customHeight="1" spans="1:11">
      <c r="A315" s="7">
        <f t="shared" si="8"/>
        <v>312</v>
      </c>
      <c r="B315" s="8" t="s">
        <v>20</v>
      </c>
      <c r="C315" s="8" t="s">
        <v>537</v>
      </c>
      <c r="D315" s="8" t="s">
        <v>538</v>
      </c>
      <c r="E315" s="8" t="s">
        <v>693</v>
      </c>
      <c r="F315" s="7" t="s">
        <v>27</v>
      </c>
      <c r="G315" s="8" t="s">
        <v>28</v>
      </c>
      <c r="H315" s="7" t="s">
        <v>39</v>
      </c>
      <c r="I315" s="7" t="s">
        <v>30</v>
      </c>
      <c r="J315" s="7" t="s">
        <v>247</v>
      </c>
      <c r="K315" s="8" t="s">
        <v>579</v>
      </c>
    </row>
    <row r="316" s="2" customFormat="1" ht="30" customHeight="1" spans="1:11">
      <c r="A316" s="7">
        <f t="shared" si="8"/>
        <v>313</v>
      </c>
      <c r="B316" s="8" t="s">
        <v>20</v>
      </c>
      <c r="C316" s="8" t="s">
        <v>460</v>
      </c>
      <c r="D316" s="8" t="s">
        <v>461</v>
      </c>
      <c r="E316" s="8" t="s">
        <v>695</v>
      </c>
      <c r="F316" s="7" t="s">
        <v>27</v>
      </c>
      <c r="G316" s="8" t="s">
        <v>28</v>
      </c>
      <c r="H316" s="7" t="s">
        <v>39</v>
      </c>
      <c r="I316" s="7" t="s">
        <v>30</v>
      </c>
      <c r="J316" s="7" t="s">
        <v>247</v>
      </c>
      <c r="K316" s="8" t="s">
        <v>375</v>
      </c>
    </row>
    <row r="317" s="2" customFormat="1" ht="30" customHeight="1" spans="1:11">
      <c r="A317" s="7">
        <f t="shared" si="8"/>
        <v>314</v>
      </c>
      <c r="B317" s="8" t="s">
        <v>20</v>
      </c>
      <c r="C317" s="8" t="s">
        <v>537</v>
      </c>
      <c r="D317" s="8" t="s">
        <v>538</v>
      </c>
      <c r="E317" s="8" t="s">
        <v>697</v>
      </c>
      <c r="F317" s="7" t="s">
        <v>27</v>
      </c>
      <c r="G317" s="8" t="s">
        <v>28</v>
      </c>
      <c r="H317" s="7" t="s">
        <v>39</v>
      </c>
      <c r="I317" s="7" t="s">
        <v>30</v>
      </c>
      <c r="J317" s="7" t="s">
        <v>247</v>
      </c>
      <c r="K317" s="8" t="s">
        <v>375</v>
      </c>
    </row>
    <row r="318" s="2" customFormat="1" ht="30" customHeight="1" spans="1:11">
      <c r="A318" s="7">
        <f t="shared" si="8"/>
        <v>315</v>
      </c>
      <c r="B318" s="8" t="s">
        <v>20</v>
      </c>
      <c r="C318" s="8" t="s">
        <v>460</v>
      </c>
      <c r="D318" s="8" t="s">
        <v>461</v>
      </c>
      <c r="E318" s="8" t="s">
        <v>699</v>
      </c>
      <c r="F318" s="7" t="s">
        <v>27</v>
      </c>
      <c r="G318" s="8" t="s">
        <v>28</v>
      </c>
      <c r="H318" s="7" t="s">
        <v>39</v>
      </c>
      <c r="I318" s="7" t="s">
        <v>30</v>
      </c>
      <c r="J318" s="7" t="s">
        <v>247</v>
      </c>
      <c r="K318" s="8" t="s">
        <v>248</v>
      </c>
    </row>
    <row r="319" s="2" customFormat="1" ht="30" customHeight="1" spans="1:11">
      <c r="A319" s="7">
        <f t="shared" si="8"/>
        <v>316</v>
      </c>
      <c r="B319" s="8" t="s">
        <v>20</v>
      </c>
      <c r="C319" s="8" t="s">
        <v>33</v>
      </c>
      <c r="D319" s="8" t="s">
        <v>116</v>
      </c>
      <c r="E319" s="8" t="s">
        <v>701</v>
      </c>
      <c r="F319" s="7" t="s">
        <v>27</v>
      </c>
      <c r="G319" s="8" t="s">
        <v>28</v>
      </c>
      <c r="H319" s="7" t="s">
        <v>39</v>
      </c>
      <c r="I319" s="7" t="s">
        <v>30</v>
      </c>
      <c r="J319" s="7" t="s">
        <v>535</v>
      </c>
      <c r="K319" s="7"/>
    </row>
    <row r="320" s="2" customFormat="1" ht="30" customHeight="1" spans="1:11">
      <c r="A320" s="7">
        <f t="shared" si="8"/>
        <v>317</v>
      </c>
      <c r="B320" s="8" t="s">
        <v>20</v>
      </c>
      <c r="C320" s="8" t="s">
        <v>703</v>
      </c>
      <c r="D320" s="8" t="s">
        <v>495</v>
      </c>
      <c r="E320" s="8" t="s">
        <v>496</v>
      </c>
      <c r="F320" s="7" t="s">
        <v>27</v>
      </c>
      <c r="G320" s="8" t="s">
        <v>28</v>
      </c>
      <c r="H320" s="7" t="s">
        <v>39</v>
      </c>
      <c r="I320" s="7" t="s">
        <v>30</v>
      </c>
      <c r="J320" s="7" t="s">
        <v>364</v>
      </c>
      <c r="K320" s="7"/>
    </row>
    <row r="321" s="2" customFormat="1" ht="30" customHeight="1" spans="1:11">
      <c r="A321" s="7">
        <f t="shared" si="8"/>
        <v>318</v>
      </c>
      <c r="B321" s="8" t="s">
        <v>20</v>
      </c>
      <c r="C321" s="8" t="s">
        <v>537</v>
      </c>
      <c r="D321" s="8" t="s">
        <v>538</v>
      </c>
      <c r="E321" s="8" t="s">
        <v>705</v>
      </c>
      <c r="F321" s="7" t="s">
        <v>27</v>
      </c>
      <c r="G321" s="8" t="s">
        <v>28</v>
      </c>
      <c r="H321" s="7" t="s">
        <v>39</v>
      </c>
      <c r="I321" s="7" t="s">
        <v>30</v>
      </c>
      <c r="J321" s="7" t="s">
        <v>247</v>
      </c>
      <c r="K321" s="8" t="s">
        <v>375</v>
      </c>
    </row>
    <row r="322" s="2" customFormat="1" ht="30" customHeight="1" spans="1:11">
      <c r="A322" s="7">
        <f t="shared" si="8"/>
        <v>319</v>
      </c>
      <c r="B322" s="8" t="s">
        <v>20</v>
      </c>
      <c r="C322" s="8" t="s">
        <v>537</v>
      </c>
      <c r="D322" s="8" t="s">
        <v>538</v>
      </c>
      <c r="E322" s="8" t="s">
        <v>707</v>
      </c>
      <c r="F322" s="7" t="s">
        <v>27</v>
      </c>
      <c r="G322" s="8" t="s">
        <v>28</v>
      </c>
      <c r="H322" s="7" t="s">
        <v>39</v>
      </c>
      <c r="I322" s="7" t="s">
        <v>30</v>
      </c>
      <c r="J322" s="7" t="s">
        <v>247</v>
      </c>
      <c r="K322" s="8" t="s">
        <v>375</v>
      </c>
    </row>
    <row r="323" s="2" customFormat="1" ht="30" customHeight="1" spans="1:11">
      <c r="A323" s="7">
        <f t="shared" si="8"/>
        <v>320</v>
      </c>
      <c r="B323" s="8" t="s">
        <v>20</v>
      </c>
      <c r="C323" s="8" t="s">
        <v>643</v>
      </c>
      <c r="D323" s="8" t="s">
        <v>644</v>
      </c>
      <c r="E323" s="8" t="s">
        <v>709</v>
      </c>
      <c r="F323" s="7" t="s">
        <v>27</v>
      </c>
      <c r="G323" s="8" t="s">
        <v>28</v>
      </c>
      <c r="H323" s="7" t="s">
        <v>29</v>
      </c>
      <c r="I323" s="7" t="s">
        <v>30</v>
      </c>
      <c r="J323" s="7" t="s">
        <v>364</v>
      </c>
      <c r="K323" s="7"/>
    </row>
    <row r="324" s="2" customFormat="1" ht="30" customHeight="1" spans="1:11">
      <c r="A324" s="7">
        <f t="shared" si="8"/>
        <v>321</v>
      </c>
      <c r="B324" s="8" t="s">
        <v>20</v>
      </c>
      <c r="C324" s="8" t="s">
        <v>713</v>
      </c>
      <c r="D324" s="8" t="s">
        <v>714</v>
      </c>
      <c r="E324" s="8" t="s">
        <v>715</v>
      </c>
      <c r="F324" s="7" t="s">
        <v>27</v>
      </c>
      <c r="G324" s="8" t="s">
        <v>28</v>
      </c>
      <c r="H324" s="7" t="s">
        <v>39</v>
      </c>
      <c r="I324" s="7" t="s">
        <v>30</v>
      </c>
      <c r="J324" s="7" t="s">
        <v>718</v>
      </c>
      <c r="K324" s="7"/>
    </row>
    <row r="325" s="2" customFormat="1" ht="30" customHeight="1" spans="1:11">
      <c r="A325" s="7">
        <f t="shared" si="8"/>
        <v>322</v>
      </c>
      <c r="B325" s="8" t="s">
        <v>20</v>
      </c>
      <c r="C325" s="8" t="s">
        <v>720</v>
      </c>
      <c r="D325" s="8" t="s">
        <v>467</v>
      </c>
      <c r="E325" s="8" t="s">
        <v>721</v>
      </c>
      <c r="F325" s="7" t="s">
        <v>27</v>
      </c>
      <c r="G325" s="8" t="s">
        <v>28</v>
      </c>
      <c r="H325" s="7" t="s">
        <v>39</v>
      </c>
      <c r="I325" s="7" t="s">
        <v>30</v>
      </c>
      <c r="J325" s="7" t="s">
        <v>364</v>
      </c>
      <c r="K325" s="7"/>
    </row>
    <row r="326" s="2" customFormat="1" ht="30" customHeight="1" spans="1:11">
      <c r="A326" s="7">
        <f t="shared" si="8"/>
        <v>323</v>
      </c>
      <c r="B326" s="8" t="s">
        <v>20</v>
      </c>
      <c r="C326" s="8" t="s">
        <v>111</v>
      </c>
      <c r="D326" s="8" t="s">
        <v>723</v>
      </c>
      <c r="E326" s="8" t="s">
        <v>724</v>
      </c>
      <c r="F326" s="7" t="s">
        <v>27</v>
      </c>
      <c r="G326" s="8" t="s">
        <v>28</v>
      </c>
      <c r="H326" s="7" t="s">
        <v>39</v>
      </c>
      <c r="I326" s="7" t="s">
        <v>30</v>
      </c>
      <c r="J326" s="7" t="s">
        <v>364</v>
      </c>
      <c r="K326" s="7"/>
    </row>
    <row r="327" s="2" customFormat="1" ht="30" customHeight="1" spans="1:11">
      <c r="A327" s="7">
        <f t="shared" si="8"/>
        <v>324</v>
      </c>
      <c r="B327" s="8" t="s">
        <v>20</v>
      </c>
      <c r="C327" s="8" t="s">
        <v>107</v>
      </c>
      <c r="D327" s="8" t="s">
        <v>726</v>
      </c>
      <c r="E327" s="8" t="s">
        <v>727</v>
      </c>
      <c r="F327" s="7" t="s">
        <v>27</v>
      </c>
      <c r="G327" s="8" t="s">
        <v>28</v>
      </c>
      <c r="H327" s="7" t="s">
        <v>39</v>
      </c>
      <c r="I327" s="7" t="s">
        <v>30</v>
      </c>
      <c r="J327" s="7" t="s">
        <v>247</v>
      </c>
      <c r="K327" s="8" t="s">
        <v>579</v>
      </c>
    </row>
    <row r="328" s="2" customFormat="1" ht="30" customHeight="1" spans="1:11">
      <c r="A328" s="7">
        <f t="shared" si="8"/>
        <v>325</v>
      </c>
      <c r="B328" s="8" t="s">
        <v>20</v>
      </c>
      <c r="C328" s="8" t="s">
        <v>731</v>
      </c>
      <c r="D328" s="8" t="s">
        <v>732</v>
      </c>
      <c r="E328" s="8" t="s">
        <v>733</v>
      </c>
      <c r="F328" s="7" t="s">
        <v>27</v>
      </c>
      <c r="G328" s="8" t="s">
        <v>28</v>
      </c>
      <c r="H328" s="7" t="s">
        <v>39</v>
      </c>
      <c r="I328" s="7" t="s">
        <v>30</v>
      </c>
      <c r="J328" s="7" t="s">
        <v>71</v>
      </c>
      <c r="K328" s="7"/>
    </row>
    <row r="329" s="2" customFormat="1" ht="30" customHeight="1" spans="1:11">
      <c r="A329" s="7">
        <f t="shared" si="8"/>
        <v>326</v>
      </c>
      <c r="B329" s="8" t="s">
        <v>20</v>
      </c>
      <c r="C329" s="8" t="s">
        <v>731</v>
      </c>
      <c r="D329" s="8" t="s">
        <v>732</v>
      </c>
      <c r="E329" s="8" t="s">
        <v>737</v>
      </c>
      <c r="F329" s="7" t="s">
        <v>27</v>
      </c>
      <c r="G329" s="8" t="s">
        <v>28</v>
      </c>
      <c r="H329" s="7" t="s">
        <v>39</v>
      </c>
      <c r="I329" s="7" t="s">
        <v>30</v>
      </c>
      <c r="J329" s="7" t="s">
        <v>71</v>
      </c>
      <c r="K329" s="7"/>
    </row>
    <row r="330" s="2" customFormat="1" ht="30" customHeight="1" spans="1:11">
      <c r="A330" s="7">
        <f t="shared" si="8"/>
        <v>327</v>
      </c>
      <c r="B330" s="8" t="s">
        <v>20</v>
      </c>
      <c r="C330" s="8" t="s">
        <v>731</v>
      </c>
      <c r="D330" s="8" t="s">
        <v>732</v>
      </c>
      <c r="E330" s="8" t="s">
        <v>739</v>
      </c>
      <c r="F330" s="7" t="s">
        <v>27</v>
      </c>
      <c r="G330" s="8" t="s">
        <v>28</v>
      </c>
      <c r="H330" s="7" t="s">
        <v>39</v>
      </c>
      <c r="I330" s="7" t="s">
        <v>30</v>
      </c>
      <c r="J330" s="7" t="s">
        <v>71</v>
      </c>
      <c r="K330" s="7"/>
    </row>
    <row r="331" s="2" customFormat="1" ht="30" customHeight="1" spans="1:11">
      <c r="A331" s="7">
        <f t="shared" si="8"/>
        <v>328</v>
      </c>
      <c r="B331" s="8" t="s">
        <v>20</v>
      </c>
      <c r="C331" s="8" t="s">
        <v>460</v>
      </c>
      <c r="D331" s="8" t="s">
        <v>741</v>
      </c>
      <c r="E331" s="8" t="s">
        <v>742</v>
      </c>
      <c r="F331" s="7" t="s">
        <v>27</v>
      </c>
      <c r="G331" s="8" t="s">
        <v>28</v>
      </c>
      <c r="H331" s="7" t="s">
        <v>39</v>
      </c>
      <c r="I331" s="7" t="s">
        <v>30</v>
      </c>
      <c r="J331" s="7" t="s">
        <v>143</v>
      </c>
      <c r="K331" s="7"/>
    </row>
    <row r="332" s="2" customFormat="1" ht="30" customHeight="1" spans="1:11">
      <c r="A332" s="7">
        <f t="shared" si="8"/>
        <v>329</v>
      </c>
      <c r="B332" s="8" t="s">
        <v>20</v>
      </c>
      <c r="C332" s="8" t="s">
        <v>107</v>
      </c>
      <c r="D332" s="8" t="s">
        <v>726</v>
      </c>
      <c r="E332" s="8" t="s">
        <v>744</v>
      </c>
      <c r="F332" s="7" t="s">
        <v>27</v>
      </c>
      <c r="G332" s="8" t="s">
        <v>28</v>
      </c>
      <c r="H332" s="7" t="s">
        <v>39</v>
      </c>
      <c r="I332" s="7" t="s">
        <v>30</v>
      </c>
      <c r="J332" s="7" t="s">
        <v>247</v>
      </c>
      <c r="K332" s="8" t="s">
        <v>579</v>
      </c>
    </row>
    <row r="333" s="2" customFormat="1" ht="30" customHeight="1" spans="1:11">
      <c r="A333" s="7">
        <f t="shared" si="8"/>
        <v>330</v>
      </c>
      <c r="B333" s="8" t="s">
        <v>20</v>
      </c>
      <c r="C333" s="8" t="s">
        <v>746</v>
      </c>
      <c r="D333" s="8" t="s">
        <v>747</v>
      </c>
      <c r="E333" s="8" t="s">
        <v>741</v>
      </c>
      <c r="F333" s="7" t="s">
        <v>27</v>
      </c>
      <c r="G333" s="8" t="s">
        <v>28</v>
      </c>
      <c r="H333" s="7" t="s">
        <v>39</v>
      </c>
      <c r="I333" s="7" t="s">
        <v>30</v>
      </c>
      <c r="J333" s="7" t="s">
        <v>364</v>
      </c>
      <c r="K333" s="7"/>
    </row>
    <row r="334" s="2" customFormat="1" ht="30" customHeight="1" spans="1:11">
      <c r="A334" s="7">
        <f t="shared" si="8"/>
        <v>331</v>
      </c>
      <c r="B334" s="8" t="s">
        <v>20</v>
      </c>
      <c r="C334" s="8" t="s">
        <v>751</v>
      </c>
      <c r="D334" s="8" t="s">
        <v>752</v>
      </c>
      <c r="E334" s="8" t="s">
        <v>753</v>
      </c>
      <c r="F334" s="7" t="s">
        <v>27</v>
      </c>
      <c r="G334" s="8" t="s">
        <v>28</v>
      </c>
      <c r="H334" s="7" t="s">
        <v>39</v>
      </c>
      <c r="I334" s="7" t="s">
        <v>30</v>
      </c>
      <c r="J334" s="7" t="s">
        <v>247</v>
      </c>
      <c r="K334" s="8" t="s">
        <v>756</v>
      </c>
    </row>
    <row r="335" s="2" customFormat="1" ht="30" customHeight="1" spans="1:11">
      <c r="A335" s="7">
        <f t="shared" si="8"/>
        <v>332</v>
      </c>
      <c r="B335" s="8" t="s">
        <v>20</v>
      </c>
      <c r="C335" s="8" t="s">
        <v>758</v>
      </c>
      <c r="D335" s="8" t="s">
        <v>67</v>
      </c>
      <c r="E335" s="8" t="s">
        <v>759</v>
      </c>
      <c r="F335" s="7" t="s">
        <v>27</v>
      </c>
      <c r="G335" s="8" t="s">
        <v>28</v>
      </c>
      <c r="H335" s="7" t="s">
        <v>29</v>
      </c>
      <c r="I335" s="7" t="s">
        <v>30</v>
      </c>
      <c r="J335" s="7" t="s">
        <v>578</v>
      </c>
      <c r="K335" s="8" t="s">
        <v>401</v>
      </c>
    </row>
    <row r="336" s="2" customFormat="1" ht="30" customHeight="1" spans="1:11">
      <c r="A336" s="7">
        <f t="shared" si="8"/>
        <v>333</v>
      </c>
      <c r="B336" s="8" t="s">
        <v>20</v>
      </c>
      <c r="C336" s="8" t="s">
        <v>763</v>
      </c>
      <c r="D336" s="8" t="s">
        <v>34</v>
      </c>
      <c r="E336" s="8" t="s">
        <v>764</v>
      </c>
      <c r="F336" s="7" t="s">
        <v>27</v>
      </c>
      <c r="G336" s="8" t="s">
        <v>28</v>
      </c>
      <c r="H336" s="7" t="s">
        <v>39</v>
      </c>
      <c r="I336" s="7" t="s">
        <v>30</v>
      </c>
      <c r="J336" s="7" t="s">
        <v>535</v>
      </c>
      <c r="K336" s="7"/>
    </row>
    <row r="337" s="2" customFormat="1" ht="30" customHeight="1" spans="1:11">
      <c r="A337" s="7">
        <f t="shared" si="8"/>
        <v>334</v>
      </c>
      <c r="B337" s="8" t="s">
        <v>20</v>
      </c>
      <c r="C337" s="8" t="s">
        <v>460</v>
      </c>
      <c r="D337" s="8" t="s">
        <v>766</v>
      </c>
      <c r="E337" s="8" t="s">
        <v>767</v>
      </c>
      <c r="F337" s="7" t="s">
        <v>27</v>
      </c>
      <c r="G337" s="8" t="s">
        <v>28</v>
      </c>
      <c r="H337" s="7" t="s">
        <v>39</v>
      </c>
      <c r="I337" s="7" t="s">
        <v>30</v>
      </c>
      <c r="J337" s="7" t="s">
        <v>143</v>
      </c>
      <c r="K337" s="7"/>
    </row>
    <row r="338" s="2" customFormat="1" ht="30" customHeight="1" spans="1:11">
      <c r="A338" s="7">
        <f t="shared" si="8"/>
        <v>335</v>
      </c>
      <c r="B338" s="8" t="s">
        <v>20</v>
      </c>
      <c r="C338" s="8" t="s">
        <v>460</v>
      </c>
      <c r="D338" s="8" t="s">
        <v>769</v>
      </c>
      <c r="E338" s="8" t="s">
        <v>770</v>
      </c>
      <c r="F338" s="7" t="s">
        <v>27</v>
      </c>
      <c r="G338" s="8" t="s">
        <v>28</v>
      </c>
      <c r="H338" s="7" t="s">
        <v>39</v>
      </c>
      <c r="I338" s="7" t="s">
        <v>30</v>
      </c>
      <c r="J338" s="7" t="s">
        <v>143</v>
      </c>
      <c r="K338" s="7"/>
    </row>
    <row r="339" s="2" customFormat="1" ht="30" customHeight="1" spans="1:11">
      <c r="A339" s="7">
        <f t="shared" si="8"/>
        <v>336</v>
      </c>
      <c r="B339" s="8" t="s">
        <v>20</v>
      </c>
      <c r="C339" s="8" t="s">
        <v>460</v>
      </c>
      <c r="D339" s="8" t="s">
        <v>769</v>
      </c>
      <c r="E339" s="8" t="s">
        <v>772</v>
      </c>
      <c r="F339" s="7" t="s">
        <v>27</v>
      </c>
      <c r="G339" s="8" t="s">
        <v>28</v>
      </c>
      <c r="H339" s="7" t="s">
        <v>39</v>
      </c>
      <c r="I339" s="7" t="s">
        <v>30</v>
      </c>
      <c r="J339" s="7" t="s">
        <v>143</v>
      </c>
      <c r="K339" s="7"/>
    </row>
    <row r="340" s="2" customFormat="1" ht="30" customHeight="1" spans="1:11">
      <c r="A340" s="7">
        <f t="shared" si="8"/>
        <v>337</v>
      </c>
      <c r="B340" s="8" t="s">
        <v>20</v>
      </c>
      <c r="C340" s="8" t="s">
        <v>774</v>
      </c>
      <c r="D340" s="8" t="s">
        <v>775</v>
      </c>
      <c r="E340" s="8" t="s">
        <v>776</v>
      </c>
      <c r="F340" s="7" t="s">
        <v>27</v>
      </c>
      <c r="G340" s="8" t="s">
        <v>28</v>
      </c>
      <c r="H340" s="7" t="s">
        <v>39</v>
      </c>
      <c r="I340" s="7" t="s">
        <v>30</v>
      </c>
      <c r="J340" s="7" t="s">
        <v>166</v>
      </c>
      <c r="K340" s="7"/>
    </row>
    <row r="341" s="2" customFormat="1" ht="30" customHeight="1" spans="1:11">
      <c r="A341" s="7">
        <f t="shared" si="8"/>
        <v>338</v>
      </c>
      <c r="B341" s="8" t="s">
        <v>20</v>
      </c>
      <c r="C341" s="8" t="s">
        <v>778</v>
      </c>
      <c r="D341" s="8" t="s">
        <v>779</v>
      </c>
      <c r="E341" s="8" t="s">
        <v>780</v>
      </c>
      <c r="F341" s="7" t="s">
        <v>27</v>
      </c>
      <c r="G341" s="8" t="s">
        <v>28</v>
      </c>
      <c r="H341" s="7" t="s">
        <v>39</v>
      </c>
      <c r="I341" s="7" t="s">
        <v>30</v>
      </c>
      <c r="J341" s="7" t="s">
        <v>166</v>
      </c>
      <c r="K341" s="7"/>
    </row>
    <row r="342" s="2" customFormat="1" ht="30" customHeight="1" spans="1:11">
      <c r="A342" s="7">
        <f t="shared" si="8"/>
        <v>339</v>
      </c>
      <c r="B342" s="8" t="s">
        <v>20</v>
      </c>
      <c r="C342" s="8" t="s">
        <v>782</v>
      </c>
      <c r="D342" s="8" t="s">
        <v>783</v>
      </c>
      <c r="E342" s="8" t="s">
        <v>741</v>
      </c>
      <c r="F342" s="7" t="s">
        <v>27</v>
      </c>
      <c r="G342" s="8" t="s">
        <v>28</v>
      </c>
      <c r="H342" s="7" t="s">
        <v>39</v>
      </c>
      <c r="I342" s="7" t="s">
        <v>30</v>
      </c>
      <c r="J342" s="7" t="s">
        <v>166</v>
      </c>
      <c r="K342" s="7"/>
    </row>
    <row r="343" s="2" customFormat="1" ht="30" customHeight="1" spans="1:11">
      <c r="A343" s="7">
        <f t="shared" si="8"/>
        <v>340</v>
      </c>
      <c r="B343" s="8" t="s">
        <v>20</v>
      </c>
      <c r="C343" s="8" t="s">
        <v>782</v>
      </c>
      <c r="D343" s="8" t="s">
        <v>785</v>
      </c>
      <c r="E343" s="8" t="s">
        <v>741</v>
      </c>
      <c r="F343" s="7" t="s">
        <v>27</v>
      </c>
      <c r="G343" s="8" t="s">
        <v>28</v>
      </c>
      <c r="H343" s="7" t="s">
        <v>39</v>
      </c>
      <c r="I343" s="7" t="s">
        <v>30</v>
      </c>
      <c r="J343" s="7" t="s">
        <v>166</v>
      </c>
      <c r="K343" s="7"/>
    </row>
    <row r="344" s="2" customFormat="1" ht="30" customHeight="1" spans="1:11">
      <c r="A344" s="7">
        <f t="shared" si="8"/>
        <v>341</v>
      </c>
      <c r="B344" s="8" t="s">
        <v>20</v>
      </c>
      <c r="C344" s="8" t="s">
        <v>295</v>
      </c>
      <c r="D344" s="8" t="s">
        <v>787</v>
      </c>
      <c r="E344" s="8" t="s">
        <v>788</v>
      </c>
      <c r="F344" s="7" t="s">
        <v>27</v>
      </c>
      <c r="G344" s="8" t="s">
        <v>28</v>
      </c>
      <c r="H344" s="7" t="s">
        <v>29</v>
      </c>
      <c r="I344" s="7" t="s">
        <v>30</v>
      </c>
      <c r="J344" s="7" t="s">
        <v>247</v>
      </c>
      <c r="K344" s="8" t="s">
        <v>791</v>
      </c>
    </row>
    <row r="345" s="2" customFormat="1" ht="30" customHeight="1" spans="1:11">
      <c r="A345" s="7">
        <f t="shared" si="8"/>
        <v>342</v>
      </c>
      <c r="B345" s="8" t="s">
        <v>20</v>
      </c>
      <c r="C345" s="8" t="s">
        <v>793</v>
      </c>
      <c r="D345" s="8" t="s">
        <v>116</v>
      </c>
      <c r="E345" s="8" t="s">
        <v>794</v>
      </c>
      <c r="F345" s="7" t="s">
        <v>27</v>
      </c>
      <c r="G345" s="8" t="s">
        <v>28</v>
      </c>
      <c r="H345" s="7" t="s">
        <v>39</v>
      </c>
      <c r="I345" s="7" t="s">
        <v>30</v>
      </c>
      <c r="J345" s="7" t="s">
        <v>166</v>
      </c>
      <c r="K345" s="7"/>
    </row>
    <row r="346" s="2" customFormat="1" ht="30" customHeight="1" spans="1:11">
      <c r="A346" s="7">
        <f t="shared" si="8"/>
        <v>343</v>
      </c>
      <c r="B346" s="8" t="s">
        <v>20</v>
      </c>
      <c r="C346" s="8" t="s">
        <v>793</v>
      </c>
      <c r="D346" s="8" t="s">
        <v>34</v>
      </c>
      <c r="E346" s="8" t="s">
        <v>798</v>
      </c>
      <c r="F346" s="7" t="s">
        <v>27</v>
      </c>
      <c r="G346" s="8" t="s">
        <v>28</v>
      </c>
      <c r="H346" s="7" t="s">
        <v>39</v>
      </c>
      <c r="I346" s="7" t="s">
        <v>30</v>
      </c>
      <c r="J346" s="7" t="s">
        <v>166</v>
      </c>
      <c r="K346" s="7"/>
    </row>
    <row r="347" s="2" customFormat="1" ht="30" customHeight="1" spans="1:11">
      <c r="A347" s="7">
        <f t="shared" si="8"/>
        <v>344</v>
      </c>
      <c r="B347" s="8" t="s">
        <v>20</v>
      </c>
      <c r="C347" s="8" t="s">
        <v>800</v>
      </c>
      <c r="D347" s="8" t="s">
        <v>34</v>
      </c>
      <c r="E347" s="8" t="s">
        <v>801</v>
      </c>
      <c r="F347" s="7" t="s">
        <v>27</v>
      </c>
      <c r="G347" s="8" t="s">
        <v>28</v>
      </c>
      <c r="H347" s="7" t="s">
        <v>39</v>
      </c>
      <c r="I347" s="7" t="s">
        <v>30</v>
      </c>
      <c r="J347" s="7" t="s">
        <v>166</v>
      </c>
      <c r="K347" s="7"/>
    </row>
    <row r="348" s="2" customFormat="1" ht="30" customHeight="1" spans="1:11">
      <c r="A348" s="7">
        <f t="shared" si="8"/>
        <v>345</v>
      </c>
      <c r="B348" s="8" t="s">
        <v>20</v>
      </c>
      <c r="C348" s="8" t="s">
        <v>615</v>
      </c>
      <c r="D348" s="8" t="s">
        <v>538</v>
      </c>
      <c r="E348" s="8" t="s">
        <v>803</v>
      </c>
      <c r="F348" s="7" t="s">
        <v>27</v>
      </c>
      <c r="G348" s="8" t="s">
        <v>28</v>
      </c>
      <c r="H348" s="7" t="s">
        <v>39</v>
      </c>
      <c r="I348" s="7" t="s">
        <v>30</v>
      </c>
      <c r="J348" s="7" t="s">
        <v>166</v>
      </c>
      <c r="K348" s="7"/>
    </row>
    <row r="349" s="2" customFormat="1" ht="30" customHeight="1" spans="1:11">
      <c r="A349" s="7">
        <f t="shared" si="8"/>
        <v>346</v>
      </c>
      <c r="B349" s="8" t="s">
        <v>20</v>
      </c>
      <c r="C349" s="8" t="s">
        <v>805</v>
      </c>
      <c r="D349" s="8" t="s">
        <v>806</v>
      </c>
      <c r="E349" s="8" t="s">
        <v>807</v>
      </c>
      <c r="F349" s="7" t="s">
        <v>27</v>
      </c>
      <c r="G349" s="8" t="s">
        <v>809</v>
      </c>
      <c r="H349" s="7" t="s">
        <v>29</v>
      </c>
      <c r="I349" s="7" t="s">
        <v>30</v>
      </c>
      <c r="J349" s="7" t="s">
        <v>143</v>
      </c>
      <c r="K349" s="8" t="s">
        <v>810</v>
      </c>
    </row>
    <row r="350" s="2" customFormat="1" ht="30" customHeight="1" spans="1:11">
      <c r="A350" s="7">
        <f t="shared" ref="A350:A411" si="9">ROW()-3</f>
        <v>347</v>
      </c>
      <c r="B350" s="8" t="s">
        <v>20</v>
      </c>
      <c r="C350" s="8" t="s">
        <v>812</v>
      </c>
      <c r="D350" s="8" t="s">
        <v>813</v>
      </c>
      <c r="E350" s="8" t="s">
        <v>830</v>
      </c>
      <c r="F350" s="7" t="s">
        <v>27</v>
      </c>
      <c r="G350" s="8" t="s">
        <v>809</v>
      </c>
      <c r="H350" s="7" t="s">
        <v>29</v>
      </c>
      <c r="I350" s="7" t="s">
        <v>30</v>
      </c>
      <c r="J350" s="7" t="s">
        <v>143</v>
      </c>
      <c r="K350" s="7"/>
    </row>
    <row r="351" s="2" customFormat="1" ht="30" customHeight="1" spans="1:11">
      <c r="A351" s="7">
        <f t="shared" si="9"/>
        <v>348</v>
      </c>
      <c r="B351" s="8" t="s">
        <v>20</v>
      </c>
      <c r="C351" s="8" t="s">
        <v>832</v>
      </c>
      <c r="D351" s="8" t="s">
        <v>833</v>
      </c>
      <c r="E351" s="8" t="s">
        <v>834</v>
      </c>
      <c r="F351" s="7" t="s">
        <v>27</v>
      </c>
      <c r="G351" s="8" t="s">
        <v>809</v>
      </c>
      <c r="H351" s="7" t="s">
        <v>29</v>
      </c>
      <c r="I351" s="7" t="s">
        <v>30</v>
      </c>
      <c r="J351" s="7" t="s">
        <v>143</v>
      </c>
      <c r="K351" s="7"/>
    </row>
    <row r="352" s="2" customFormat="1" ht="30" customHeight="1" spans="1:11">
      <c r="A352" s="7">
        <f t="shared" si="9"/>
        <v>349</v>
      </c>
      <c r="B352" s="8" t="s">
        <v>20</v>
      </c>
      <c r="C352" s="8" t="s">
        <v>812</v>
      </c>
      <c r="D352" s="8" t="s">
        <v>813</v>
      </c>
      <c r="E352" s="8" t="s">
        <v>814</v>
      </c>
      <c r="F352" s="7" t="s">
        <v>27</v>
      </c>
      <c r="G352" s="8" t="s">
        <v>809</v>
      </c>
      <c r="H352" s="7" t="s">
        <v>29</v>
      </c>
      <c r="I352" s="7" t="s">
        <v>30</v>
      </c>
      <c r="J352" s="7" t="s">
        <v>143</v>
      </c>
      <c r="K352" s="7"/>
    </row>
    <row r="353" s="2" customFormat="1" ht="30" customHeight="1" spans="1:11">
      <c r="A353" s="7">
        <f t="shared" si="9"/>
        <v>350</v>
      </c>
      <c r="B353" s="8" t="s">
        <v>20</v>
      </c>
      <c r="C353" s="8" t="s">
        <v>836</v>
      </c>
      <c r="D353" s="8" t="s">
        <v>837</v>
      </c>
      <c r="E353" s="8" t="s">
        <v>838</v>
      </c>
      <c r="F353" s="7" t="s">
        <v>27</v>
      </c>
      <c r="G353" s="8" t="s">
        <v>841</v>
      </c>
      <c r="H353" s="7" t="s">
        <v>29</v>
      </c>
      <c r="I353" s="7" t="s">
        <v>30</v>
      </c>
      <c r="J353" s="7" t="s">
        <v>143</v>
      </c>
      <c r="K353" s="7"/>
    </row>
    <row r="354" s="2" customFormat="1" ht="30" customHeight="1" spans="1:11">
      <c r="A354" s="7">
        <f t="shared" si="9"/>
        <v>351</v>
      </c>
      <c r="B354" s="8" t="s">
        <v>20</v>
      </c>
      <c r="C354" s="8" t="s">
        <v>812</v>
      </c>
      <c r="D354" s="8" t="s">
        <v>843</v>
      </c>
      <c r="E354" s="8" t="s">
        <v>844</v>
      </c>
      <c r="F354" s="7" t="s">
        <v>27</v>
      </c>
      <c r="G354" s="8" t="s">
        <v>809</v>
      </c>
      <c r="H354" s="7" t="s">
        <v>29</v>
      </c>
      <c r="I354" s="7" t="s">
        <v>30</v>
      </c>
      <c r="J354" s="7" t="s">
        <v>143</v>
      </c>
      <c r="K354" s="7"/>
    </row>
    <row r="355" s="2" customFormat="1" ht="30" customHeight="1" spans="1:11">
      <c r="A355" s="7">
        <f t="shared" si="9"/>
        <v>352</v>
      </c>
      <c r="B355" s="8" t="s">
        <v>20</v>
      </c>
      <c r="C355" s="8" t="s">
        <v>812</v>
      </c>
      <c r="D355" s="8" t="s">
        <v>843</v>
      </c>
      <c r="E355" s="8" t="s">
        <v>846</v>
      </c>
      <c r="F355" s="7" t="s">
        <v>27</v>
      </c>
      <c r="G355" s="8" t="s">
        <v>809</v>
      </c>
      <c r="H355" s="7" t="s">
        <v>29</v>
      </c>
      <c r="I355" s="7" t="s">
        <v>30</v>
      </c>
      <c r="J355" s="7" t="s">
        <v>143</v>
      </c>
      <c r="K355" s="7"/>
    </row>
    <row r="356" s="2" customFormat="1" ht="30" customHeight="1" spans="1:11">
      <c r="A356" s="7">
        <f t="shared" si="9"/>
        <v>353</v>
      </c>
      <c r="B356" s="8" t="s">
        <v>20</v>
      </c>
      <c r="C356" s="8" t="s">
        <v>848</v>
      </c>
      <c r="D356" s="8" t="s">
        <v>849</v>
      </c>
      <c r="E356" s="8" t="s">
        <v>850</v>
      </c>
      <c r="F356" s="7" t="s">
        <v>27</v>
      </c>
      <c r="G356" s="8" t="s">
        <v>841</v>
      </c>
      <c r="H356" s="7" t="s">
        <v>29</v>
      </c>
      <c r="I356" s="7" t="s">
        <v>30</v>
      </c>
      <c r="J356" s="7" t="s">
        <v>143</v>
      </c>
      <c r="K356" s="7"/>
    </row>
    <row r="357" s="2" customFormat="1" ht="30" customHeight="1" spans="1:11">
      <c r="A357" s="7">
        <f t="shared" si="9"/>
        <v>354</v>
      </c>
      <c r="B357" s="8" t="s">
        <v>20</v>
      </c>
      <c r="C357" s="8" t="s">
        <v>48</v>
      </c>
      <c r="D357" s="8" t="s">
        <v>852</v>
      </c>
      <c r="E357" s="8" t="s">
        <v>853</v>
      </c>
      <c r="F357" s="7" t="s">
        <v>27</v>
      </c>
      <c r="G357" s="8" t="s">
        <v>28</v>
      </c>
      <c r="H357" s="7" t="s">
        <v>39</v>
      </c>
      <c r="I357" s="7" t="s">
        <v>51</v>
      </c>
      <c r="J357" s="7" t="s">
        <v>718</v>
      </c>
      <c r="K357" s="7"/>
    </row>
    <row r="358" s="2" customFormat="1" ht="30" customHeight="1" spans="1:11">
      <c r="A358" s="7">
        <f t="shared" si="9"/>
        <v>355</v>
      </c>
      <c r="B358" s="8" t="s">
        <v>20</v>
      </c>
      <c r="C358" s="8" t="s">
        <v>163</v>
      </c>
      <c r="D358" s="8" t="s">
        <v>168</v>
      </c>
      <c r="E358" s="8" t="s">
        <v>855</v>
      </c>
      <c r="F358" s="7" t="s">
        <v>27</v>
      </c>
      <c r="G358" s="8" t="s">
        <v>28</v>
      </c>
      <c r="H358" s="7" t="s">
        <v>39</v>
      </c>
      <c r="I358" s="7" t="s">
        <v>51</v>
      </c>
      <c r="J358" s="7" t="s">
        <v>143</v>
      </c>
      <c r="K358" s="7"/>
    </row>
    <row r="359" s="2" customFormat="1" ht="30" customHeight="1" spans="1:11">
      <c r="A359" s="7">
        <f t="shared" si="9"/>
        <v>356</v>
      </c>
      <c r="B359" s="8" t="s">
        <v>20</v>
      </c>
      <c r="C359" s="8" t="s">
        <v>857</v>
      </c>
      <c r="D359" s="8" t="s">
        <v>858</v>
      </c>
      <c r="E359" s="8" t="s">
        <v>859</v>
      </c>
      <c r="F359" s="7" t="s">
        <v>27</v>
      </c>
      <c r="G359" s="8" t="s">
        <v>28</v>
      </c>
      <c r="H359" s="7" t="s">
        <v>29</v>
      </c>
      <c r="I359" s="7" t="s">
        <v>51</v>
      </c>
      <c r="J359" s="7" t="s">
        <v>364</v>
      </c>
      <c r="K359" s="7"/>
    </row>
    <row r="360" s="2" customFormat="1" ht="30" customHeight="1" spans="1:11">
      <c r="A360" s="7">
        <f t="shared" si="9"/>
        <v>357</v>
      </c>
      <c r="B360" s="8" t="s">
        <v>20</v>
      </c>
      <c r="C360" s="8" t="s">
        <v>857</v>
      </c>
      <c r="D360" s="8" t="s">
        <v>858</v>
      </c>
      <c r="E360" s="8" t="s">
        <v>861</v>
      </c>
      <c r="F360" s="7" t="s">
        <v>27</v>
      </c>
      <c r="G360" s="8" t="s">
        <v>28</v>
      </c>
      <c r="H360" s="7" t="s">
        <v>29</v>
      </c>
      <c r="I360" s="7" t="s">
        <v>51</v>
      </c>
      <c r="J360" s="7" t="s">
        <v>364</v>
      </c>
      <c r="K360" s="7"/>
    </row>
    <row r="361" s="2" customFormat="1" ht="30" customHeight="1" spans="1:11">
      <c r="A361" s="7">
        <f t="shared" si="9"/>
        <v>358</v>
      </c>
      <c r="B361" s="8" t="s">
        <v>20</v>
      </c>
      <c r="C361" s="8" t="s">
        <v>868</v>
      </c>
      <c r="D361" s="8" t="s">
        <v>869</v>
      </c>
      <c r="E361" s="8" t="s">
        <v>1186</v>
      </c>
      <c r="F361" s="7" t="s">
        <v>27</v>
      </c>
      <c r="G361" s="8" t="s">
        <v>28</v>
      </c>
      <c r="H361" s="7" t="s">
        <v>29</v>
      </c>
      <c r="I361" s="7" t="s">
        <v>51</v>
      </c>
      <c r="J361" s="7" t="s">
        <v>364</v>
      </c>
      <c r="K361" s="7"/>
    </row>
    <row r="362" s="2" customFormat="1" ht="30" customHeight="1" spans="1:11">
      <c r="A362" s="7">
        <f t="shared" si="9"/>
        <v>359</v>
      </c>
      <c r="B362" s="8" t="s">
        <v>20</v>
      </c>
      <c r="C362" s="8" t="s">
        <v>89</v>
      </c>
      <c r="D362" s="8" t="s">
        <v>865</v>
      </c>
      <c r="E362" s="8" t="s">
        <v>1187</v>
      </c>
      <c r="F362" s="7" t="s">
        <v>27</v>
      </c>
      <c r="G362" s="8" t="s">
        <v>28</v>
      </c>
      <c r="H362" s="7" t="s">
        <v>29</v>
      </c>
      <c r="I362" s="7" t="s">
        <v>51</v>
      </c>
      <c r="J362" s="7" t="s">
        <v>364</v>
      </c>
      <c r="K362" s="7"/>
    </row>
    <row r="363" s="2" customFormat="1" ht="30" customHeight="1" spans="1:11">
      <c r="A363" s="7">
        <f t="shared" si="9"/>
        <v>360</v>
      </c>
      <c r="B363" s="8" t="s">
        <v>20</v>
      </c>
      <c r="C363" s="8" t="s">
        <v>857</v>
      </c>
      <c r="D363" s="8" t="s">
        <v>858</v>
      </c>
      <c r="E363" s="8" t="s">
        <v>863</v>
      </c>
      <c r="F363" s="7" t="s">
        <v>27</v>
      </c>
      <c r="G363" s="8" t="s">
        <v>28</v>
      </c>
      <c r="H363" s="7" t="s">
        <v>29</v>
      </c>
      <c r="I363" s="7" t="s">
        <v>51</v>
      </c>
      <c r="J363" s="7" t="s">
        <v>364</v>
      </c>
      <c r="K363" s="7"/>
    </row>
    <row r="364" s="2" customFormat="1" ht="30" customHeight="1" spans="1:11">
      <c r="A364" s="7">
        <f t="shared" si="9"/>
        <v>361</v>
      </c>
      <c r="B364" s="8" t="s">
        <v>20</v>
      </c>
      <c r="C364" s="8" t="s">
        <v>89</v>
      </c>
      <c r="D364" s="8" t="s">
        <v>865</v>
      </c>
      <c r="E364" s="8" t="s">
        <v>866</v>
      </c>
      <c r="F364" s="7" t="s">
        <v>27</v>
      </c>
      <c r="G364" s="8" t="s">
        <v>28</v>
      </c>
      <c r="H364" s="7" t="s">
        <v>29</v>
      </c>
      <c r="I364" s="7" t="s">
        <v>51</v>
      </c>
      <c r="J364" s="7" t="s">
        <v>364</v>
      </c>
      <c r="K364" s="7"/>
    </row>
    <row r="365" s="2" customFormat="1" ht="30" customHeight="1" spans="1:11">
      <c r="A365" s="7">
        <f t="shared" si="9"/>
        <v>362</v>
      </c>
      <c r="B365" s="8" t="s">
        <v>20</v>
      </c>
      <c r="C365" s="8" t="s">
        <v>89</v>
      </c>
      <c r="D365" s="8" t="s">
        <v>865</v>
      </c>
      <c r="E365" s="8" t="s">
        <v>1188</v>
      </c>
      <c r="F365" s="7" t="s">
        <v>27</v>
      </c>
      <c r="G365" s="8" t="s">
        <v>28</v>
      </c>
      <c r="H365" s="7" t="s">
        <v>29</v>
      </c>
      <c r="I365" s="7" t="s">
        <v>51</v>
      </c>
      <c r="J365" s="7" t="s">
        <v>364</v>
      </c>
      <c r="K365" s="7"/>
    </row>
    <row r="366" s="2" customFormat="1" ht="30" customHeight="1" spans="1:11">
      <c r="A366" s="7">
        <f t="shared" si="9"/>
        <v>363</v>
      </c>
      <c r="B366" s="8" t="s">
        <v>20</v>
      </c>
      <c r="C366" s="8" t="s">
        <v>868</v>
      </c>
      <c r="D366" s="8" t="s">
        <v>869</v>
      </c>
      <c r="E366" s="8" t="s">
        <v>870</v>
      </c>
      <c r="F366" s="7" t="s">
        <v>27</v>
      </c>
      <c r="G366" s="8" t="s">
        <v>28</v>
      </c>
      <c r="H366" s="7" t="s">
        <v>29</v>
      </c>
      <c r="I366" s="7" t="s">
        <v>51</v>
      </c>
      <c r="J366" s="7" t="s">
        <v>166</v>
      </c>
      <c r="K366" s="7"/>
    </row>
    <row r="367" s="2" customFormat="1" ht="30" customHeight="1" spans="1:11">
      <c r="A367" s="7">
        <f t="shared" si="9"/>
        <v>364</v>
      </c>
      <c r="B367" s="8" t="s">
        <v>20</v>
      </c>
      <c r="C367" s="8" t="s">
        <v>872</v>
      </c>
      <c r="D367" s="8" t="s">
        <v>873</v>
      </c>
      <c r="E367" s="8" t="s">
        <v>874</v>
      </c>
      <c r="F367" s="7" t="s">
        <v>27</v>
      </c>
      <c r="G367" s="8" t="s">
        <v>28</v>
      </c>
      <c r="H367" s="7" t="s">
        <v>29</v>
      </c>
      <c r="I367" s="7" t="s">
        <v>51</v>
      </c>
      <c r="J367" s="7" t="s">
        <v>247</v>
      </c>
      <c r="K367" s="8" t="s">
        <v>875</v>
      </c>
    </row>
    <row r="368" s="2" customFormat="1" ht="30" customHeight="1" spans="1:11">
      <c r="A368" s="7">
        <f t="shared" si="9"/>
        <v>365</v>
      </c>
      <c r="B368" s="8" t="s">
        <v>20</v>
      </c>
      <c r="C368" s="8" t="s">
        <v>872</v>
      </c>
      <c r="D368" s="8" t="s">
        <v>876</v>
      </c>
      <c r="E368" s="8" t="s">
        <v>877</v>
      </c>
      <c r="F368" s="7" t="s">
        <v>27</v>
      </c>
      <c r="G368" s="8" t="s">
        <v>28</v>
      </c>
      <c r="H368" s="7" t="s">
        <v>29</v>
      </c>
      <c r="I368" s="7" t="s">
        <v>51</v>
      </c>
      <c r="J368" s="7" t="s">
        <v>247</v>
      </c>
      <c r="K368" s="8" t="s">
        <v>878</v>
      </c>
    </row>
    <row r="369" s="2" customFormat="1" ht="30" customHeight="1" spans="1:11">
      <c r="A369" s="7">
        <f t="shared" si="9"/>
        <v>366</v>
      </c>
      <c r="B369" s="8" t="s">
        <v>20</v>
      </c>
      <c r="C369" s="8" t="s">
        <v>872</v>
      </c>
      <c r="D369" s="8" t="s">
        <v>873</v>
      </c>
      <c r="E369" s="8" t="s">
        <v>880</v>
      </c>
      <c r="F369" s="7" t="s">
        <v>27</v>
      </c>
      <c r="G369" s="8" t="s">
        <v>28</v>
      </c>
      <c r="H369" s="7" t="s">
        <v>29</v>
      </c>
      <c r="I369" s="7" t="s">
        <v>51</v>
      </c>
      <c r="J369" s="7" t="s">
        <v>247</v>
      </c>
      <c r="K369" s="8" t="s">
        <v>579</v>
      </c>
    </row>
    <row r="370" s="2" customFormat="1" ht="30" customHeight="1" spans="1:11">
      <c r="A370" s="7">
        <f t="shared" si="9"/>
        <v>367</v>
      </c>
      <c r="B370" s="8" t="s">
        <v>20</v>
      </c>
      <c r="C370" s="8" t="s">
        <v>872</v>
      </c>
      <c r="D370" s="8" t="s">
        <v>882</v>
      </c>
      <c r="E370" s="8" t="s">
        <v>883</v>
      </c>
      <c r="F370" s="7" t="s">
        <v>27</v>
      </c>
      <c r="G370" s="8" t="s">
        <v>28</v>
      </c>
      <c r="H370" s="7" t="s">
        <v>29</v>
      </c>
      <c r="I370" s="7" t="s">
        <v>51</v>
      </c>
      <c r="J370" s="7" t="s">
        <v>247</v>
      </c>
      <c r="K370" s="8" t="s">
        <v>884</v>
      </c>
    </row>
    <row r="371" s="2" customFormat="1" ht="30" customHeight="1" spans="1:11">
      <c r="A371" s="7">
        <f t="shared" si="9"/>
        <v>368</v>
      </c>
      <c r="B371" s="8" t="s">
        <v>20</v>
      </c>
      <c r="C371" s="8" t="s">
        <v>872</v>
      </c>
      <c r="D371" s="8" t="s">
        <v>873</v>
      </c>
      <c r="E371" s="8" t="s">
        <v>885</v>
      </c>
      <c r="F371" s="7" t="s">
        <v>27</v>
      </c>
      <c r="G371" s="8" t="s">
        <v>28</v>
      </c>
      <c r="H371" s="7" t="s">
        <v>29</v>
      </c>
      <c r="I371" s="7" t="s">
        <v>51</v>
      </c>
      <c r="J371" s="7" t="s">
        <v>247</v>
      </c>
      <c r="K371" s="8" t="s">
        <v>886</v>
      </c>
    </row>
    <row r="372" s="2" customFormat="1" ht="30" customHeight="1" spans="1:11">
      <c r="A372" s="7">
        <f t="shared" si="9"/>
        <v>369</v>
      </c>
      <c r="B372" s="8" t="s">
        <v>20</v>
      </c>
      <c r="C372" s="8" t="s">
        <v>872</v>
      </c>
      <c r="D372" s="8" t="s">
        <v>882</v>
      </c>
      <c r="E372" s="8" t="s">
        <v>888</v>
      </c>
      <c r="F372" s="7" t="s">
        <v>27</v>
      </c>
      <c r="G372" s="8" t="s">
        <v>28</v>
      </c>
      <c r="H372" s="7" t="s">
        <v>29</v>
      </c>
      <c r="I372" s="7" t="s">
        <v>51</v>
      </c>
      <c r="J372" s="7" t="s">
        <v>247</v>
      </c>
      <c r="K372" s="8" t="s">
        <v>889</v>
      </c>
    </row>
    <row r="373" s="2" customFormat="1" ht="30" customHeight="1" spans="1:11">
      <c r="A373" s="7">
        <f t="shared" si="9"/>
        <v>370</v>
      </c>
      <c r="B373" s="8" t="s">
        <v>20</v>
      </c>
      <c r="C373" s="8" t="s">
        <v>872</v>
      </c>
      <c r="D373" s="8" t="s">
        <v>873</v>
      </c>
      <c r="E373" s="8" t="s">
        <v>891</v>
      </c>
      <c r="F373" s="7" t="s">
        <v>27</v>
      </c>
      <c r="G373" s="8" t="s">
        <v>28</v>
      </c>
      <c r="H373" s="7" t="s">
        <v>29</v>
      </c>
      <c r="I373" s="7" t="s">
        <v>51</v>
      </c>
      <c r="J373" s="7" t="s">
        <v>247</v>
      </c>
      <c r="K373" s="8" t="s">
        <v>579</v>
      </c>
    </row>
    <row r="374" s="2" customFormat="1" ht="30" customHeight="1" spans="1:11">
      <c r="A374" s="7">
        <f t="shared" si="9"/>
        <v>371</v>
      </c>
      <c r="B374" s="8" t="s">
        <v>20</v>
      </c>
      <c r="C374" s="8" t="s">
        <v>872</v>
      </c>
      <c r="D374" s="8" t="s">
        <v>873</v>
      </c>
      <c r="E374" s="8" t="s">
        <v>892</v>
      </c>
      <c r="F374" s="7" t="s">
        <v>27</v>
      </c>
      <c r="G374" s="8" t="s">
        <v>28</v>
      </c>
      <c r="H374" s="7" t="s">
        <v>29</v>
      </c>
      <c r="I374" s="7" t="s">
        <v>51</v>
      </c>
      <c r="J374" s="7" t="s">
        <v>247</v>
      </c>
      <c r="K374" s="8" t="s">
        <v>894</v>
      </c>
    </row>
    <row r="375" s="2" customFormat="1" ht="30" customHeight="1" spans="1:11">
      <c r="A375" s="7">
        <f t="shared" si="9"/>
        <v>372</v>
      </c>
      <c r="B375" s="8" t="s">
        <v>1189</v>
      </c>
      <c r="C375" s="8" t="s">
        <v>295</v>
      </c>
      <c r="D375" s="8" t="s">
        <v>896</v>
      </c>
      <c r="E375" s="8" t="s">
        <v>818</v>
      </c>
      <c r="F375" s="7" t="s">
        <v>27</v>
      </c>
      <c r="G375" s="8" t="s">
        <v>28</v>
      </c>
      <c r="H375" s="7" t="s">
        <v>29</v>
      </c>
      <c r="I375" s="7" t="s">
        <v>51</v>
      </c>
      <c r="J375" s="7" t="s">
        <v>293</v>
      </c>
      <c r="K375" s="8" t="s">
        <v>1181</v>
      </c>
    </row>
    <row r="376" s="2" customFormat="1" ht="30" customHeight="1" spans="1:11">
      <c r="A376" s="7">
        <f t="shared" si="9"/>
        <v>373</v>
      </c>
      <c r="B376" s="8" t="s">
        <v>20</v>
      </c>
      <c r="C376" s="8" t="s">
        <v>295</v>
      </c>
      <c r="D376" s="8" t="s">
        <v>896</v>
      </c>
      <c r="E376" s="8" t="s">
        <v>818</v>
      </c>
      <c r="F376" s="7" t="s">
        <v>27</v>
      </c>
      <c r="G376" s="8" t="s">
        <v>28</v>
      </c>
      <c r="H376" s="7" t="s">
        <v>29</v>
      </c>
      <c r="I376" s="7" t="s">
        <v>51</v>
      </c>
      <c r="J376" s="7" t="s">
        <v>578</v>
      </c>
      <c r="K376" s="8" t="s">
        <v>579</v>
      </c>
    </row>
    <row r="377" s="2" customFormat="1" ht="30" customHeight="1" spans="1:11">
      <c r="A377" s="7">
        <f t="shared" si="9"/>
        <v>374</v>
      </c>
      <c r="B377" s="8" t="s">
        <v>1190</v>
      </c>
      <c r="C377" s="8" t="s">
        <v>295</v>
      </c>
      <c r="D377" s="8" t="s">
        <v>1191</v>
      </c>
      <c r="E377" s="8" t="s">
        <v>818</v>
      </c>
      <c r="F377" s="7" t="s">
        <v>27</v>
      </c>
      <c r="G377" s="8" t="s">
        <v>28</v>
      </c>
      <c r="H377" s="7" t="s">
        <v>29</v>
      </c>
      <c r="I377" s="7" t="s">
        <v>51</v>
      </c>
      <c r="J377" s="7" t="s">
        <v>342</v>
      </c>
      <c r="K377" s="8" t="s">
        <v>1192</v>
      </c>
    </row>
    <row r="378" s="2" customFormat="1" ht="30" customHeight="1" spans="1:11">
      <c r="A378" s="7">
        <f t="shared" si="9"/>
        <v>375</v>
      </c>
      <c r="B378" s="8" t="s">
        <v>1190</v>
      </c>
      <c r="C378" s="8" t="s">
        <v>295</v>
      </c>
      <c r="D378" s="8" t="s">
        <v>896</v>
      </c>
      <c r="E378" s="8" t="s">
        <v>818</v>
      </c>
      <c r="F378" s="7" t="s">
        <v>27</v>
      </c>
      <c r="G378" s="8" t="s">
        <v>28</v>
      </c>
      <c r="H378" s="7" t="s">
        <v>29</v>
      </c>
      <c r="I378" s="7" t="s">
        <v>51</v>
      </c>
      <c r="J378" s="7" t="s">
        <v>342</v>
      </c>
      <c r="K378" s="8" t="s">
        <v>1193</v>
      </c>
    </row>
    <row r="379" s="2" customFormat="1" ht="30" customHeight="1" spans="1:11">
      <c r="A379" s="7">
        <f t="shared" si="9"/>
        <v>376</v>
      </c>
      <c r="B379" s="8" t="s">
        <v>20</v>
      </c>
      <c r="C379" s="8" t="s">
        <v>1194</v>
      </c>
      <c r="D379" s="8" t="s">
        <v>597</v>
      </c>
      <c r="E379" s="8" t="s">
        <v>598</v>
      </c>
      <c r="F379" s="7" t="s">
        <v>27</v>
      </c>
      <c r="G379" s="8" t="s">
        <v>28</v>
      </c>
      <c r="H379" s="7" t="s">
        <v>39</v>
      </c>
      <c r="I379" s="7" t="s">
        <v>51</v>
      </c>
      <c r="J379" s="7" t="s">
        <v>364</v>
      </c>
      <c r="K379" s="7"/>
    </row>
    <row r="380" s="2" customFormat="1" ht="30" customHeight="1" spans="1:11">
      <c r="A380" s="7">
        <f t="shared" si="9"/>
        <v>377</v>
      </c>
      <c r="B380" s="8" t="s">
        <v>20</v>
      </c>
      <c r="C380" s="8" t="s">
        <v>138</v>
      </c>
      <c r="D380" s="8" t="s">
        <v>898</v>
      </c>
      <c r="E380" s="8" t="s">
        <v>899</v>
      </c>
      <c r="F380" s="7" t="s">
        <v>27</v>
      </c>
      <c r="G380" s="8" t="s">
        <v>28</v>
      </c>
      <c r="H380" s="7" t="s">
        <v>29</v>
      </c>
      <c r="I380" s="7" t="s">
        <v>30</v>
      </c>
      <c r="J380" s="7" t="s">
        <v>143</v>
      </c>
      <c r="K380" s="7"/>
    </row>
    <row r="381" s="2" customFormat="1" ht="30" customHeight="1" spans="1:11">
      <c r="A381" s="7">
        <f t="shared" si="9"/>
        <v>378</v>
      </c>
      <c r="B381" s="8" t="s">
        <v>20</v>
      </c>
      <c r="C381" s="8" t="s">
        <v>138</v>
      </c>
      <c r="D381" s="8" t="s">
        <v>902</v>
      </c>
      <c r="E381" s="8" t="s">
        <v>903</v>
      </c>
      <c r="F381" s="7" t="s">
        <v>27</v>
      </c>
      <c r="G381" s="8" t="s">
        <v>28</v>
      </c>
      <c r="H381" s="7" t="s">
        <v>29</v>
      </c>
      <c r="I381" s="7" t="s">
        <v>30</v>
      </c>
      <c r="J381" s="7" t="s">
        <v>143</v>
      </c>
      <c r="K381" s="7"/>
    </row>
    <row r="382" s="2" customFormat="1" ht="30" customHeight="1" spans="1:11">
      <c r="A382" s="7">
        <f t="shared" si="9"/>
        <v>379</v>
      </c>
      <c r="B382" s="8" t="s">
        <v>20</v>
      </c>
      <c r="C382" s="8" t="s">
        <v>494</v>
      </c>
      <c r="D382" s="8" t="s">
        <v>495</v>
      </c>
      <c r="E382" s="8" t="s">
        <v>496</v>
      </c>
      <c r="F382" s="7" t="s">
        <v>27</v>
      </c>
      <c r="G382" s="8" t="s">
        <v>28</v>
      </c>
      <c r="H382" s="7" t="s">
        <v>39</v>
      </c>
      <c r="I382" s="7" t="s">
        <v>30</v>
      </c>
      <c r="J382" s="7" t="s">
        <v>364</v>
      </c>
      <c r="K382" s="7"/>
    </row>
    <row r="383" s="2" customFormat="1" ht="30" customHeight="1" spans="1:11">
      <c r="A383" s="7">
        <f t="shared" si="9"/>
        <v>380</v>
      </c>
      <c r="B383" s="8" t="s">
        <v>20</v>
      </c>
      <c r="C383" s="8" t="s">
        <v>1195</v>
      </c>
      <c r="D383" s="8" t="s">
        <v>597</v>
      </c>
      <c r="E383" s="8" t="s">
        <v>598</v>
      </c>
      <c r="F383" s="7" t="s">
        <v>27</v>
      </c>
      <c r="G383" s="8" t="s">
        <v>28</v>
      </c>
      <c r="H383" s="7" t="s">
        <v>39</v>
      </c>
      <c r="I383" s="7" t="s">
        <v>51</v>
      </c>
      <c r="J383" s="7" t="s">
        <v>364</v>
      </c>
      <c r="K383" s="7"/>
    </row>
    <row r="384" s="2" customFormat="1" ht="30" customHeight="1" spans="1:11">
      <c r="A384" s="7">
        <f t="shared" si="9"/>
        <v>381</v>
      </c>
      <c r="B384" s="8" t="s">
        <v>20</v>
      </c>
      <c r="C384" s="8" t="s">
        <v>758</v>
      </c>
      <c r="D384" s="8" t="s">
        <v>67</v>
      </c>
      <c r="E384" s="8" t="s">
        <v>909</v>
      </c>
      <c r="F384" s="7" t="s">
        <v>27</v>
      </c>
      <c r="G384" s="8" t="s">
        <v>28</v>
      </c>
      <c r="H384" s="7" t="s">
        <v>39</v>
      </c>
      <c r="I384" s="7" t="s">
        <v>30</v>
      </c>
      <c r="J384" s="7" t="s">
        <v>578</v>
      </c>
      <c r="K384" s="8" t="s">
        <v>401</v>
      </c>
    </row>
    <row r="385" s="2" customFormat="1" ht="30" customHeight="1" spans="1:11">
      <c r="A385" s="7">
        <f t="shared" si="9"/>
        <v>382</v>
      </c>
      <c r="B385" s="8" t="s">
        <v>20</v>
      </c>
      <c r="C385" s="8" t="s">
        <v>758</v>
      </c>
      <c r="D385" s="8" t="s">
        <v>67</v>
      </c>
      <c r="E385" s="8" t="s">
        <v>913</v>
      </c>
      <c r="F385" s="7" t="s">
        <v>27</v>
      </c>
      <c r="G385" s="8" t="s">
        <v>28</v>
      </c>
      <c r="H385" s="7" t="s">
        <v>39</v>
      </c>
      <c r="I385" s="7" t="s">
        <v>30</v>
      </c>
      <c r="J385" s="7" t="s">
        <v>578</v>
      </c>
      <c r="K385" s="8" t="s">
        <v>397</v>
      </c>
    </row>
    <row r="386" s="2" customFormat="1" ht="30" customHeight="1" spans="1:11">
      <c r="A386" s="7">
        <f t="shared" si="9"/>
        <v>383</v>
      </c>
      <c r="B386" s="8" t="s">
        <v>1104</v>
      </c>
      <c r="C386" s="8" t="s">
        <v>812</v>
      </c>
      <c r="D386" s="8" t="s">
        <v>806</v>
      </c>
      <c r="E386" s="8" t="s">
        <v>807</v>
      </c>
      <c r="F386" s="7" t="s">
        <v>27</v>
      </c>
      <c r="G386" s="8" t="s">
        <v>809</v>
      </c>
      <c r="H386" s="7" t="s">
        <v>29</v>
      </c>
      <c r="I386" s="7" t="s">
        <v>30</v>
      </c>
      <c r="J386" s="7" t="s">
        <v>143</v>
      </c>
      <c r="K386" s="8" t="s">
        <v>1180</v>
      </c>
    </row>
    <row r="387" s="2" customFormat="1" ht="30" customHeight="1" spans="1:11">
      <c r="A387" s="7">
        <f t="shared" si="9"/>
        <v>384</v>
      </c>
      <c r="B387" s="8" t="s">
        <v>20</v>
      </c>
      <c r="C387" s="8" t="s">
        <v>914</v>
      </c>
      <c r="D387" s="8" t="s">
        <v>915</v>
      </c>
      <c r="E387" s="8" t="s">
        <v>916</v>
      </c>
      <c r="F387" s="7" t="s">
        <v>27</v>
      </c>
      <c r="G387" s="8" t="s">
        <v>28</v>
      </c>
      <c r="H387" s="7" t="s">
        <v>29</v>
      </c>
      <c r="I387" s="7" t="s">
        <v>51</v>
      </c>
      <c r="J387" s="7" t="s">
        <v>166</v>
      </c>
      <c r="K387" s="7"/>
    </row>
    <row r="388" s="2" customFormat="1" ht="30" customHeight="1" spans="1:11">
      <c r="A388" s="7">
        <f t="shared" si="9"/>
        <v>385</v>
      </c>
      <c r="B388" s="8" t="s">
        <v>20</v>
      </c>
      <c r="C388" s="8" t="s">
        <v>914</v>
      </c>
      <c r="D388" s="8" t="s">
        <v>915</v>
      </c>
      <c r="E388" s="8" t="s">
        <v>919</v>
      </c>
      <c r="F388" s="7" t="s">
        <v>27</v>
      </c>
      <c r="G388" s="8" t="s">
        <v>28</v>
      </c>
      <c r="H388" s="7" t="s">
        <v>29</v>
      </c>
      <c r="I388" s="7" t="s">
        <v>51</v>
      </c>
      <c r="J388" s="7" t="s">
        <v>166</v>
      </c>
      <c r="K388" s="7"/>
    </row>
    <row r="389" s="2" customFormat="1" ht="30" customHeight="1" spans="1:11">
      <c r="A389" s="7">
        <f t="shared" si="9"/>
        <v>386</v>
      </c>
      <c r="B389" s="8" t="s">
        <v>20</v>
      </c>
      <c r="C389" s="8" t="s">
        <v>914</v>
      </c>
      <c r="D389" s="8" t="s">
        <v>920</v>
      </c>
      <c r="E389" s="8" t="s">
        <v>921</v>
      </c>
      <c r="F389" s="7" t="s">
        <v>27</v>
      </c>
      <c r="G389" s="8" t="s">
        <v>28</v>
      </c>
      <c r="H389" s="7" t="s">
        <v>29</v>
      </c>
      <c r="I389" s="7" t="s">
        <v>51</v>
      </c>
      <c r="J389" s="7" t="s">
        <v>166</v>
      </c>
      <c r="K389" s="7"/>
    </row>
    <row r="390" s="2" customFormat="1" ht="30" customHeight="1" spans="1:11">
      <c r="A390" s="7">
        <f t="shared" si="9"/>
        <v>387</v>
      </c>
      <c r="B390" s="8" t="s">
        <v>20</v>
      </c>
      <c r="C390" s="8" t="s">
        <v>914</v>
      </c>
      <c r="D390" s="8" t="s">
        <v>920</v>
      </c>
      <c r="E390" s="8" t="s">
        <v>922</v>
      </c>
      <c r="F390" s="7" t="s">
        <v>27</v>
      </c>
      <c r="G390" s="8" t="s">
        <v>28</v>
      </c>
      <c r="H390" s="7" t="s">
        <v>29</v>
      </c>
      <c r="I390" s="7" t="s">
        <v>51</v>
      </c>
      <c r="J390" s="7" t="s">
        <v>166</v>
      </c>
      <c r="K390" s="7"/>
    </row>
    <row r="391" s="2" customFormat="1" ht="30" customHeight="1" spans="1:11">
      <c r="A391" s="7">
        <f t="shared" si="9"/>
        <v>388</v>
      </c>
      <c r="B391" s="8" t="s">
        <v>20</v>
      </c>
      <c r="C391" s="8" t="s">
        <v>924</v>
      </c>
      <c r="D391" s="8" t="s">
        <v>461</v>
      </c>
      <c r="E391" s="8" t="s">
        <v>925</v>
      </c>
      <c r="F391" s="7" t="s">
        <v>27</v>
      </c>
      <c r="G391" s="8" t="s">
        <v>28</v>
      </c>
      <c r="H391" s="7" t="s">
        <v>39</v>
      </c>
      <c r="I391" s="7" t="s">
        <v>51</v>
      </c>
      <c r="J391" s="7" t="s">
        <v>166</v>
      </c>
      <c r="K391" s="7"/>
    </row>
    <row r="392" s="2" customFormat="1" ht="30" customHeight="1" spans="1:11">
      <c r="A392" s="7">
        <f t="shared" si="9"/>
        <v>389</v>
      </c>
      <c r="B392" s="8" t="s">
        <v>20</v>
      </c>
      <c r="C392" s="8" t="s">
        <v>924</v>
      </c>
      <c r="D392" s="8" t="s">
        <v>927</v>
      </c>
      <c r="E392" s="8" t="s">
        <v>928</v>
      </c>
      <c r="F392" s="7" t="s">
        <v>27</v>
      </c>
      <c r="G392" s="8" t="s">
        <v>28</v>
      </c>
      <c r="H392" s="7" t="s">
        <v>39</v>
      </c>
      <c r="I392" s="7" t="s">
        <v>51</v>
      </c>
      <c r="J392" s="7" t="s">
        <v>247</v>
      </c>
      <c r="K392" s="8" t="s">
        <v>929</v>
      </c>
    </row>
    <row r="393" s="2" customFormat="1" ht="30" customHeight="1" spans="1:11">
      <c r="A393" s="7">
        <f t="shared" si="9"/>
        <v>390</v>
      </c>
      <c r="B393" s="8" t="s">
        <v>20</v>
      </c>
      <c r="C393" s="8" t="s">
        <v>924</v>
      </c>
      <c r="D393" s="8" t="s">
        <v>927</v>
      </c>
      <c r="E393" s="8" t="s">
        <v>931</v>
      </c>
      <c r="F393" s="7" t="s">
        <v>27</v>
      </c>
      <c r="G393" s="8" t="s">
        <v>28</v>
      </c>
      <c r="H393" s="7" t="s">
        <v>39</v>
      </c>
      <c r="I393" s="7" t="s">
        <v>51</v>
      </c>
      <c r="J393" s="7" t="s">
        <v>247</v>
      </c>
      <c r="K393" s="8" t="s">
        <v>929</v>
      </c>
    </row>
    <row r="394" s="2" customFormat="1" ht="30" customHeight="1" spans="1:11">
      <c r="A394" s="7">
        <f t="shared" si="9"/>
        <v>391</v>
      </c>
      <c r="B394" s="8" t="s">
        <v>20</v>
      </c>
      <c r="C394" s="8" t="s">
        <v>924</v>
      </c>
      <c r="D394" s="8" t="s">
        <v>927</v>
      </c>
      <c r="E394" s="8" t="s">
        <v>933</v>
      </c>
      <c r="F394" s="7" t="s">
        <v>27</v>
      </c>
      <c r="G394" s="8" t="s">
        <v>28</v>
      </c>
      <c r="H394" s="7" t="s">
        <v>39</v>
      </c>
      <c r="I394" s="7" t="s">
        <v>51</v>
      </c>
      <c r="J394" s="7" t="s">
        <v>247</v>
      </c>
      <c r="K394" s="8" t="s">
        <v>929</v>
      </c>
    </row>
    <row r="395" s="2" customFormat="1" ht="30" customHeight="1" spans="1:11">
      <c r="A395" s="7">
        <f t="shared" si="9"/>
        <v>392</v>
      </c>
      <c r="B395" s="8" t="s">
        <v>20</v>
      </c>
      <c r="C395" s="8" t="s">
        <v>914</v>
      </c>
      <c r="D395" s="8" t="s">
        <v>920</v>
      </c>
      <c r="E395" s="8" t="s">
        <v>934</v>
      </c>
      <c r="F395" s="7" t="s">
        <v>27</v>
      </c>
      <c r="G395" s="8" t="s">
        <v>28</v>
      </c>
      <c r="H395" s="7" t="s">
        <v>29</v>
      </c>
      <c r="I395" s="7" t="s">
        <v>51</v>
      </c>
      <c r="J395" s="7" t="s">
        <v>166</v>
      </c>
      <c r="K395" s="7"/>
    </row>
    <row r="396" s="2" customFormat="1" ht="30" customHeight="1" spans="1:11">
      <c r="A396" s="7">
        <f t="shared" si="9"/>
        <v>393</v>
      </c>
      <c r="B396" s="8" t="s">
        <v>20</v>
      </c>
      <c r="C396" s="8" t="s">
        <v>924</v>
      </c>
      <c r="D396" s="8" t="s">
        <v>461</v>
      </c>
      <c r="E396" s="8" t="s">
        <v>936</v>
      </c>
      <c r="F396" s="7" t="s">
        <v>27</v>
      </c>
      <c r="G396" s="8" t="s">
        <v>28</v>
      </c>
      <c r="H396" s="7" t="s">
        <v>39</v>
      </c>
      <c r="I396" s="7" t="s">
        <v>51</v>
      </c>
      <c r="J396" s="7" t="s">
        <v>166</v>
      </c>
      <c r="K396" s="7"/>
    </row>
    <row r="397" s="2" customFormat="1" ht="30" customHeight="1" spans="1:11">
      <c r="A397" s="7">
        <f t="shared" si="9"/>
        <v>394</v>
      </c>
      <c r="B397" s="8" t="s">
        <v>20</v>
      </c>
      <c r="C397" s="8" t="s">
        <v>924</v>
      </c>
      <c r="D397" s="8" t="s">
        <v>461</v>
      </c>
      <c r="E397" s="8" t="s">
        <v>938</v>
      </c>
      <c r="F397" s="7" t="s">
        <v>27</v>
      </c>
      <c r="G397" s="8" t="s">
        <v>28</v>
      </c>
      <c r="H397" s="7" t="s">
        <v>39</v>
      </c>
      <c r="I397" s="7" t="s">
        <v>51</v>
      </c>
      <c r="J397" s="7" t="s">
        <v>166</v>
      </c>
      <c r="K397" s="7"/>
    </row>
    <row r="398" s="2" customFormat="1" ht="30" customHeight="1" spans="1:11">
      <c r="A398" s="7">
        <f t="shared" si="9"/>
        <v>395</v>
      </c>
      <c r="B398" s="8" t="s">
        <v>20</v>
      </c>
      <c r="C398" s="8" t="s">
        <v>924</v>
      </c>
      <c r="D398" s="8" t="s">
        <v>927</v>
      </c>
      <c r="E398" s="8" t="s">
        <v>944</v>
      </c>
      <c r="F398" s="7" t="s">
        <v>27</v>
      </c>
      <c r="G398" s="8" t="s">
        <v>28</v>
      </c>
      <c r="H398" s="7" t="s">
        <v>39</v>
      </c>
      <c r="I398" s="7" t="s">
        <v>51</v>
      </c>
      <c r="J398" s="7" t="s">
        <v>247</v>
      </c>
      <c r="K398" s="8" t="s">
        <v>929</v>
      </c>
    </row>
    <row r="399" s="2" customFormat="1" ht="30" customHeight="1" spans="1:11">
      <c r="A399" s="7">
        <f t="shared" si="9"/>
        <v>396</v>
      </c>
      <c r="B399" s="8" t="s">
        <v>20</v>
      </c>
      <c r="C399" s="8" t="s">
        <v>946</v>
      </c>
      <c r="D399" s="8" t="s">
        <v>947</v>
      </c>
      <c r="E399" s="8" t="s">
        <v>948</v>
      </c>
      <c r="F399" s="7" t="s">
        <v>27</v>
      </c>
      <c r="G399" s="8" t="s">
        <v>28</v>
      </c>
      <c r="H399" s="7" t="s">
        <v>29</v>
      </c>
      <c r="I399" s="7" t="s">
        <v>30</v>
      </c>
      <c r="J399" s="7" t="s">
        <v>166</v>
      </c>
      <c r="K399" s="7"/>
    </row>
    <row r="400" s="2" customFormat="1" ht="30" customHeight="1" spans="1:11">
      <c r="A400" s="7">
        <f t="shared" si="9"/>
        <v>397</v>
      </c>
      <c r="B400" s="8" t="s">
        <v>20</v>
      </c>
      <c r="C400" s="8" t="s">
        <v>53</v>
      </c>
      <c r="D400" s="8" t="s">
        <v>54</v>
      </c>
      <c r="E400" s="8" t="s">
        <v>1072</v>
      </c>
      <c r="F400" s="7" t="s">
        <v>27</v>
      </c>
      <c r="G400" s="8" t="s">
        <v>28</v>
      </c>
      <c r="H400" s="7" t="s">
        <v>39</v>
      </c>
      <c r="I400" s="7" t="s">
        <v>30</v>
      </c>
      <c r="J400" s="7" t="s">
        <v>718</v>
      </c>
      <c r="K400" s="7"/>
    </row>
    <row r="401" s="2" customFormat="1" ht="30" customHeight="1" spans="1:11">
      <c r="A401" s="7">
        <f t="shared" si="9"/>
        <v>398</v>
      </c>
      <c r="B401" s="8" t="s">
        <v>1189</v>
      </c>
      <c r="C401" s="8" t="s">
        <v>295</v>
      </c>
      <c r="D401" s="8" t="s">
        <v>1181</v>
      </c>
      <c r="E401" s="8" t="s">
        <v>1182</v>
      </c>
      <c r="F401" s="7" t="s">
        <v>27</v>
      </c>
      <c r="G401" s="8" t="s">
        <v>28</v>
      </c>
      <c r="H401" s="7" t="s">
        <v>29</v>
      </c>
      <c r="I401" s="7" t="s">
        <v>30</v>
      </c>
      <c r="J401" s="7" t="s">
        <v>293</v>
      </c>
      <c r="K401" s="7"/>
    </row>
    <row r="402" s="2" customFormat="1" ht="30" customHeight="1" spans="1:11">
      <c r="A402" s="7">
        <f t="shared" si="9"/>
        <v>399</v>
      </c>
      <c r="B402" s="8" t="s">
        <v>20</v>
      </c>
      <c r="C402" s="8" t="s">
        <v>952</v>
      </c>
      <c r="D402" s="8" t="s">
        <v>953</v>
      </c>
      <c r="E402" s="8" t="s">
        <v>954</v>
      </c>
      <c r="F402" s="7" t="s">
        <v>27</v>
      </c>
      <c r="G402" s="8" t="s">
        <v>809</v>
      </c>
      <c r="H402" s="7" t="s">
        <v>29</v>
      </c>
      <c r="I402" s="7" t="s">
        <v>957</v>
      </c>
      <c r="J402" s="7" t="s">
        <v>247</v>
      </c>
      <c r="K402" s="8" t="s">
        <v>958</v>
      </c>
    </row>
    <row r="403" s="2" customFormat="1" ht="30" customHeight="1" spans="1:11">
      <c r="A403" s="7">
        <f t="shared" si="9"/>
        <v>400</v>
      </c>
      <c r="B403" s="8" t="s">
        <v>20</v>
      </c>
      <c r="C403" s="8" t="s">
        <v>960</v>
      </c>
      <c r="D403" s="8" t="s">
        <v>961</v>
      </c>
      <c r="E403" s="8" t="s">
        <v>962</v>
      </c>
      <c r="F403" s="7" t="s">
        <v>27</v>
      </c>
      <c r="G403" s="8" t="s">
        <v>841</v>
      </c>
      <c r="H403" s="7" t="s">
        <v>29</v>
      </c>
      <c r="I403" s="7" t="s">
        <v>957</v>
      </c>
      <c r="J403" s="7" t="s">
        <v>247</v>
      </c>
      <c r="K403" s="8" t="s">
        <v>878</v>
      </c>
    </row>
    <row r="404" s="2" customFormat="1" ht="30" customHeight="1" spans="1:11">
      <c r="A404" s="7">
        <f t="shared" si="9"/>
        <v>401</v>
      </c>
      <c r="B404" s="8" t="s">
        <v>20</v>
      </c>
      <c r="C404" s="8" t="s">
        <v>967</v>
      </c>
      <c r="D404" s="8" t="s">
        <v>968</v>
      </c>
      <c r="E404" s="8" t="s">
        <v>969</v>
      </c>
      <c r="F404" s="7" t="s">
        <v>27</v>
      </c>
      <c r="G404" s="8" t="s">
        <v>809</v>
      </c>
      <c r="H404" s="7" t="s">
        <v>29</v>
      </c>
      <c r="I404" s="7" t="s">
        <v>957</v>
      </c>
      <c r="J404" s="7" t="s">
        <v>247</v>
      </c>
      <c r="K404" s="8" t="s">
        <v>886</v>
      </c>
    </row>
    <row r="405" s="2" customFormat="1" ht="30" customHeight="1" spans="1:11">
      <c r="A405" s="7">
        <f t="shared" si="9"/>
        <v>402</v>
      </c>
      <c r="B405" s="8" t="s">
        <v>20</v>
      </c>
      <c r="C405" s="8" t="s">
        <v>967</v>
      </c>
      <c r="D405" s="8" t="s">
        <v>973</v>
      </c>
      <c r="E405" s="8" t="s">
        <v>974</v>
      </c>
      <c r="F405" s="7" t="s">
        <v>27</v>
      </c>
      <c r="G405" s="8" t="s">
        <v>809</v>
      </c>
      <c r="H405" s="7" t="s">
        <v>29</v>
      </c>
      <c r="I405" s="7" t="s">
        <v>957</v>
      </c>
      <c r="J405" s="7" t="s">
        <v>247</v>
      </c>
      <c r="K405" s="8" t="s">
        <v>894</v>
      </c>
    </row>
    <row r="406" s="2" customFormat="1" ht="30" customHeight="1" spans="1:11">
      <c r="A406" s="7">
        <f t="shared" si="9"/>
        <v>403</v>
      </c>
      <c r="B406" s="8" t="s">
        <v>20</v>
      </c>
      <c r="C406" s="8" t="s">
        <v>967</v>
      </c>
      <c r="D406" s="8" t="s">
        <v>968</v>
      </c>
      <c r="E406" s="8" t="s">
        <v>976</v>
      </c>
      <c r="F406" s="7" t="s">
        <v>27</v>
      </c>
      <c r="G406" s="8" t="s">
        <v>809</v>
      </c>
      <c r="H406" s="7" t="s">
        <v>29</v>
      </c>
      <c r="I406" s="7" t="s">
        <v>957</v>
      </c>
      <c r="J406" s="7" t="s">
        <v>247</v>
      </c>
      <c r="K406" s="8" t="s">
        <v>875</v>
      </c>
    </row>
    <row r="407" s="2" customFormat="1" ht="30" customHeight="1" spans="1:11">
      <c r="A407" s="7">
        <f t="shared" si="9"/>
        <v>404</v>
      </c>
      <c r="B407" s="8" t="s">
        <v>1104</v>
      </c>
      <c r="C407" s="8" t="s">
        <v>295</v>
      </c>
      <c r="D407" s="8" t="s">
        <v>1196</v>
      </c>
      <c r="E407" s="8" t="s">
        <v>1197</v>
      </c>
      <c r="F407" s="7" t="s">
        <v>27</v>
      </c>
      <c r="G407" s="8" t="s">
        <v>28</v>
      </c>
      <c r="H407" s="7" t="s">
        <v>29</v>
      </c>
      <c r="I407" s="7" t="s">
        <v>51</v>
      </c>
      <c r="J407" s="7" t="s">
        <v>293</v>
      </c>
      <c r="K407" s="7"/>
    </row>
    <row r="408" s="2" customFormat="1" ht="30" customHeight="1" spans="1:11">
      <c r="A408" s="7">
        <f t="shared" si="9"/>
        <v>405</v>
      </c>
      <c r="B408" s="8" t="s">
        <v>20</v>
      </c>
      <c r="C408" s="8" t="s">
        <v>138</v>
      </c>
      <c r="D408" s="8" t="s">
        <v>898</v>
      </c>
      <c r="E408" s="8" t="s">
        <v>899</v>
      </c>
      <c r="F408" s="7" t="s">
        <v>27</v>
      </c>
      <c r="G408" s="8" t="s">
        <v>28</v>
      </c>
      <c r="H408" s="7" t="s">
        <v>29</v>
      </c>
      <c r="I408" s="7" t="s">
        <v>30</v>
      </c>
      <c r="J408" s="7" t="s">
        <v>247</v>
      </c>
      <c r="K408" s="8" t="s">
        <v>248</v>
      </c>
    </row>
    <row r="409" s="2" customFormat="1" ht="30" customHeight="1" spans="1:11">
      <c r="A409" s="7">
        <f t="shared" si="9"/>
        <v>406</v>
      </c>
      <c r="B409" s="8" t="s">
        <v>20</v>
      </c>
      <c r="C409" s="8" t="s">
        <v>138</v>
      </c>
      <c r="D409" s="8" t="s">
        <v>902</v>
      </c>
      <c r="E409" s="8" t="s">
        <v>903</v>
      </c>
      <c r="F409" s="7" t="s">
        <v>27</v>
      </c>
      <c r="G409" s="8" t="s">
        <v>28</v>
      </c>
      <c r="H409" s="7" t="s">
        <v>29</v>
      </c>
      <c r="I409" s="7" t="s">
        <v>30</v>
      </c>
      <c r="J409" s="7" t="s">
        <v>247</v>
      </c>
      <c r="K409" s="8" t="s">
        <v>248</v>
      </c>
    </row>
  </sheetData>
  <autoFilter xmlns:etc="http://www.wps.cn/officeDocument/2017/etCustomData" ref="A3:K409" etc:filterBottomFollowUsedRange="0">
    <extLst/>
  </autoFilter>
  <mergeCells count="2">
    <mergeCell ref="A1:K1"/>
    <mergeCell ref="A2:K2"/>
  </mergeCells>
  <pageMargins left="0.2125" right="0.2125" top="0.2125" bottom="0.2125" header="0.511811023622047" footer="0.511811023622047"/>
  <pageSetup paperSize="9" scale="33" fitToHeight="0" orientation="landscape"/>
  <headerFooter/>
  <rowBreaks count="6" manualBreakCount="6">
    <brk id="62" max="10" man="1"/>
    <brk id="121" max="10" man="1"/>
    <brk id="180" max="10" man="1"/>
    <brk id="239" max="10" man="1"/>
    <brk id="298" max="10" man="1"/>
    <brk id="35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</vt:lpstr>
      <vt:lpstr>计划 (2)</vt:lpstr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陆岷</cp:lastModifiedBy>
  <dcterms:created xsi:type="dcterms:W3CDTF">2025-04-14T17:19:00Z</dcterms:created>
  <cp:lastPrinted>2025-04-23T07:29:00Z</cp:lastPrinted>
  <dcterms:modified xsi:type="dcterms:W3CDTF">2025-10-13T09:00:21Z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86C6E560D7364D34A657320495ECA64B_12</vt:lpwstr>
  </property>
  <property fmtid="{D5CDD505-2E9C-101B-9397-08002B2CF9AE}" pid="3" name="KSOProductBuildVer">
    <vt:lpwstr>2052-12.1.0.21915</vt:lpwstr>
  </property>
</Properties>
</file>